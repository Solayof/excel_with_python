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15" tabRatio="682" firstSheet="0" activeTab="2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5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374370555742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134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theme="7" tint="0.7999511703848384"/>
        <bgColor indexed="64"/>
      </patternFill>
    </fill>
    <fill>
      <patternFill patternType="solid">
        <fgColor theme="0" tint="-0.14993743705557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3" tint="0.799951170384838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53" fillId="0" borderId="0"/>
    <xf numFmtId="9" fontId="53" fillId="0" borderId="0"/>
  </cellStyleXfs>
  <cellXfs count="20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1">
      <alignment horizontal="center" vertical="center" wrapText="1"/>
      <protection locked="0" hidden="0"/>
    </xf>
    <xf numFmtId="0" fontId="2" fillId="4" borderId="2" applyAlignment="1" applyProtection="1" pivotButton="0" quotePrefix="0" xfId="1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53" fillId="0" borderId="2" applyAlignment="1" applyProtection="1" pivotButton="0" quotePrefix="0" xfId="1">
      <alignment horizontal="left"/>
      <protection locked="0" hidden="0"/>
    </xf>
    <xf numFmtId="1" fontId="53" fillId="0" borderId="2" applyAlignment="1" applyProtection="1" pivotButton="0" quotePrefix="0" xfId="1">
      <alignment horizontal="center"/>
      <protection locked="0" hidden="0"/>
    </xf>
    <xf numFmtId="0" fontId="53" fillId="0" borderId="2" applyAlignment="1" applyProtection="1" pivotButton="0" quotePrefix="0" xfId="1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3" fillId="4" borderId="2" applyAlignment="1" applyProtection="1" pivotButton="0" quotePrefix="0" xfId="1">
      <alignment horizontal="center" vertical="center" wrapText="1"/>
      <protection locked="0" hidden="0"/>
    </xf>
    <xf numFmtId="0" fontId="3" fillId="4" borderId="4" applyAlignment="1" applyProtection="1" pivotButton="0" quotePrefix="0" xfId="1">
      <alignment horizontal="center" vertical="center" wrapText="1"/>
      <protection locked="0" hidden="0"/>
    </xf>
    <xf numFmtId="0" fontId="3" fillId="4" borderId="3" applyAlignment="1" applyProtection="1" pivotButton="0" quotePrefix="0" xfId="1">
      <alignment horizontal="center" vertical="center" wrapText="1"/>
      <protection locked="0" hidden="0"/>
    </xf>
    <xf numFmtId="0" fontId="53" fillId="0" borderId="2" applyAlignment="1" pivotButton="0" quotePrefix="0" xfId="1">
      <alignment horizontal="center"/>
    </xf>
    <xf numFmtId="0" fontId="53" fillId="6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/>
      <protection locked="0" hidden="0"/>
    </xf>
    <xf numFmtId="9" fontId="53" fillId="7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1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4" fillId="0" borderId="11" applyAlignment="1" pivotButton="0" quotePrefix="0" xfId="0">
      <alignment horizontal="center" vertical="center" wrapText="1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13" fillId="12" borderId="0" applyProtection="1" pivotButton="0" quotePrefix="0" xfId="0">
      <protection locked="0" hidden="0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48" fillId="0" borderId="33" applyAlignment="1" applyProtection="1" pivotButton="0" quotePrefix="0" xfId="0">
      <alignment horizontal="center" vertical="center" wrapText="1"/>
      <protection locked="0" hidden="0"/>
    </xf>
    <xf numFmtId="0" fontId="49" fillId="0" borderId="34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164" fontId="53" fillId="0" borderId="2" applyAlignment="1" applyProtection="1" pivotButton="0" quotePrefix="0" xfId="1">
      <alignment horizontal="center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0" fillId="0" borderId="20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36" fillId="0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33" fillId="0" borderId="37" applyAlignment="1" pivotButton="0" quotePrefix="0" xfId="0">
      <alignment horizontal="center" vertical="center" wrapText="1"/>
    </xf>
    <xf numFmtId="0" fontId="0" fillId="0" borderId="35" pivotButton="0" quotePrefix="0" xfId="0"/>
    <xf numFmtId="0" fontId="15" fillId="0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0" fillId="0" borderId="24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18" fillId="0" borderId="16" applyAlignment="1" pivotButton="0" quotePrefix="0" xfId="0">
      <alignment horizontal="center" vertical="center"/>
    </xf>
    <xf numFmtId="0" fontId="47" fillId="0" borderId="37" applyAlignment="1" pivotButton="0" quotePrefix="0" xfId="0">
      <alignment horizontal="center" vertical="center" wrapText="1"/>
    </xf>
    <xf numFmtId="0" fontId="0" fillId="0" borderId="20" pivotButton="0" quotePrefix="0" xfId="0"/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16" fillId="0" borderId="1" applyAlignment="1" applyProtection="1" pivotButton="0" quotePrefix="0" xfId="0">
      <alignment horizontal="center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34" fillId="0" borderId="1" applyAlignment="1" pivotButton="0" quotePrefix="0" xfId="0">
      <alignment horizontal="center" vertical="center" wrapText="1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0" fillId="0" borderId="38" applyProtection="1" pivotButton="0" quotePrefix="0" xfId="0"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2" fillId="5" borderId="41" applyAlignment="1" applyProtection="1" pivotButton="0" quotePrefix="0" xfId="1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5" borderId="41" applyAlignment="1" applyProtection="1" pivotButton="0" quotePrefix="0" xfId="0">
      <alignment horizontal="center" vertical="center" wrapText="1"/>
      <protection locked="0" hidden="0"/>
    </xf>
    <xf numFmtId="0" fontId="4" fillId="4" borderId="41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0" fillId="0" borderId="7" applyProtection="1" pivotButton="0" quotePrefix="0" xfId="0"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8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/>
      <protection locked="0" hidden="0"/>
    </xf>
    <xf numFmtId="0" fontId="2" fillId="4" borderId="41" applyAlignment="1" applyProtection="1" pivotButton="0" quotePrefix="0" xfId="1">
      <alignment horizontal="center" vertical="center" wrapText="1"/>
      <protection locked="0" hidden="0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Relationship Type="http://schemas.openxmlformats.org/officeDocument/2006/relationships/image" Target="/xl/media/image5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11</col>
      <colOff>25400</colOff>
      <row>4</row>
      <rowOff>25400</rowOff>
    </from>
    <to>
      <col>11</col>
      <colOff>1409700</colOff>
      <row>6</row>
      <rowOff>279400</rowOff>
    </to>
    <pic>
      <nvPicPr>
        <cNvPr id="2" name="Picture 1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12687300" y="990600"/>
          <a:ext cx="1384300" cy="14859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1066800</colOff>
      <row>43</row>
      <rowOff>25400</rowOff>
    </from>
    <to>
      <col>5</col>
      <colOff>787401</colOff>
      <row>43</row>
      <rowOff>736599</rowOff>
    </to>
    <pic>
      <nvPicPr>
        <cNvPr id="6" name="Picture 5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5156200" y="18161000"/>
          <a:ext cx="1143001" cy="71119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opLeftCell="A65" workbookViewId="0">
      <selection activeCell="F83" sqref="F83"/>
    </sheetView>
  </sheetViews>
  <sheetFormatPr baseColWidth="8" defaultColWidth="9" defaultRowHeight="15"/>
  <sheetData>
    <row r="3"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6" t="n"/>
    </row>
    <row r="4">
      <c r="C4" s="126" t="n"/>
      <c r="R4" s="126" t="n"/>
    </row>
    <row r="5">
      <c r="C5" s="126" t="n"/>
      <c r="R5" s="126" t="n"/>
    </row>
    <row r="6">
      <c r="C6" s="126" t="n"/>
      <c r="R6" s="126" t="n"/>
    </row>
    <row r="7">
      <c r="C7" s="126" t="n"/>
      <c r="R7" s="126" t="n"/>
    </row>
    <row r="8">
      <c r="C8" s="126" t="n"/>
      <c r="R8" s="126" t="n"/>
    </row>
    <row r="9">
      <c r="C9" s="126" t="n"/>
      <c r="R9" s="126" t="n"/>
    </row>
    <row r="10">
      <c r="C10" s="126" t="n"/>
      <c r="R10" s="126" t="n"/>
    </row>
    <row r="11">
      <c r="C11" s="126" t="n"/>
      <c r="R11" s="126" t="n"/>
    </row>
    <row r="12">
      <c r="C12" s="126" t="n"/>
      <c r="R12" s="126" t="n"/>
    </row>
    <row r="13">
      <c r="C13" s="126" t="n"/>
      <c r="R13" s="126" t="n"/>
    </row>
    <row r="14">
      <c r="C14" s="126" t="n"/>
      <c r="R14" s="126" t="n"/>
    </row>
    <row r="15">
      <c r="C15" s="126" t="n"/>
      <c r="R15" s="126" t="n"/>
    </row>
    <row r="16">
      <c r="C16" s="126" t="n"/>
      <c r="R16" s="126" t="n"/>
    </row>
    <row r="17">
      <c r="C17" s="126" t="n"/>
      <c r="R17" s="126" t="n"/>
    </row>
    <row r="18">
      <c r="C18" s="126" t="n"/>
      <c r="R18" s="126" t="n"/>
    </row>
    <row r="19">
      <c r="C19" s="126" t="n"/>
      <c r="R19" s="126" t="n"/>
    </row>
    <row r="20">
      <c r="C20" s="126" t="n"/>
      <c r="R20" s="126" t="n"/>
    </row>
    <row r="21">
      <c r="C21" s="126" t="n"/>
      <c r="R21" s="126" t="n"/>
    </row>
    <row r="22">
      <c r="C22" s="126" t="n"/>
      <c r="R22" s="126" t="n"/>
    </row>
    <row r="23">
      <c r="C23" s="126" t="n"/>
      <c r="R23" s="126" t="n"/>
    </row>
    <row r="24">
      <c r="C24" s="126" t="n"/>
      <c r="R24" s="126" t="n"/>
    </row>
    <row r="25">
      <c r="C25" s="126" t="n"/>
      <c r="R25" s="126" t="n"/>
    </row>
    <row r="26">
      <c r="C26" s="126" t="n"/>
      <c r="R26" s="126" t="n"/>
    </row>
    <row r="27">
      <c r="C27" s="126" t="n"/>
      <c r="R27" s="126" t="n"/>
    </row>
    <row r="28">
      <c r="C28" s="126" t="n"/>
      <c r="R28" s="126" t="n"/>
    </row>
    <row r="29">
      <c r="C29" s="126" t="n"/>
      <c r="R29" s="126" t="n"/>
    </row>
    <row r="30">
      <c r="C30" s="126" t="n"/>
      <c r="R30" s="126" t="n"/>
    </row>
    <row r="31">
      <c r="C31" s="126" t="n"/>
      <c r="R31" s="126" t="n"/>
    </row>
    <row r="32">
      <c r="C32" s="126" t="n"/>
      <c r="R32" s="126" t="n"/>
    </row>
    <row r="33">
      <c r="C33" s="126" t="n"/>
      <c r="R33" s="126" t="n"/>
    </row>
    <row r="34">
      <c r="C34" s="126" t="n"/>
      <c r="R34" s="126" t="n"/>
    </row>
    <row r="35">
      <c r="C35" s="126" t="n"/>
      <c r="R35" s="126" t="n"/>
    </row>
    <row r="36">
      <c r="C36" s="126" t="n"/>
      <c r="R36" s="126" t="n"/>
    </row>
    <row r="37">
      <c r="C37" s="126" t="n"/>
      <c r="R37" s="126" t="n"/>
    </row>
    <row r="38">
      <c r="C38" s="126" t="n"/>
      <c r="R38" s="126" t="n"/>
    </row>
    <row r="39">
      <c r="C39" s="126" t="n"/>
      <c r="R39" s="126" t="n"/>
    </row>
    <row r="40">
      <c r="C40" s="126" t="n"/>
      <c r="R40" s="126" t="n"/>
    </row>
    <row r="41">
      <c r="C41" s="126" t="n"/>
      <c r="R41" s="126" t="n"/>
    </row>
    <row r="42">
      <c r="C42" s="126" t="n"/>
      <c r="R42" s="126" t="n"/>
    </row>
    <row r="43">
      <c r="C43" s="126" t="n"/>
      <c r="R43" s="126" t="n"/>
    </row>
    <row r="44">
      <c r="C44" s="126" t="n"/>
      <c r="R44" s="126" t="n"/>
    </row>
    <row r="45">
      <c r="C45" s="126" t="n"/>
      <c r="R45" s="126" t="n"/>
    </row>
    <row r="46">
      <c r="C46" s="126" t="n"/>
      <c r="R46" s="126" t="n"/>
    </row>
    <row r="47">
      <c r="C47" s="126" t="n"/>
      <c r="R47" s="126" t="n"/>
    </row>
    <row r="48">
      <c r="C48" s="126" t="n"/>
      <c r="R48" s="126" t="n"/>
    </row>
    <row r="49">
      <c r="C49" s="126" t="n"/>
      <c r="R49" s="126" t="n"/>
    </row>
    <row r="50">
      <c r="C50" s="126" t="n"/>
      <c r="R50" s="126" t="n"/>
    </row>
    <row r="51">
      <c r="C51" s="126" t="n"/>
      <c r="R51" s="126" t="n"/>
    </row>
    <row r="52">
      <c r="C52" s="126" t="n"/>
      <c r="R52" s="126" t="n"/>
    </row>
    <row r="53">
      <c r="C53" s="126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6" t="n"/>
    </row>
    <row r="54">
      <c r="C54" s="126" t="n"/>
      <c r="R54" s="126" t="n"/>
    </row>
    <row r="55">
      <c r="C55" s="126" t="n"/>
      <c r="R55" s="126" t="n"/>
    </row>
    <row r="56">
      <c r="C56" s="126" t="n"/>
      <c r="R56" s="126" t="n"/>
    </row>
    <row r="57">
      <c r="C57" s="126" t="n"/>
      <c r="R57" s="126" t="n"/>
    </row>
    <row r="58">
      <c r="C58" s="126" t="n"/>
      <c r="R58" s="126" t="n"/>
    </row>
    <row r="59">
      <c r="C59" s="126" t="n"/>
      <c r="R59" s="126" t="n"/>
    </row>
    <row r="60">
      <c r="C60" s="126" t="n"/>
      <c r="R60" s="126" t="n"/>
    </row>
    <row r="61">
      <c r="C61" s="126" t="n"/>
      <c r="R61" s="126" t="n"/>
    </row>
    <row r="62">
      <c r="C62" s="126" t="n"/>
      <c r="R62" s="126" t="n"/>
    </row>
    <row r="63">
      <c r="C63" s="126" t="n"/>
      <c r="R63" s="126" t="n"/>
    </row>
    <row r="64">
      <c r="C64" s="126" t="n"/>
      <c r="R64" s="126" t="n"/>
    </row>
    <row r="65">
      <c r="C65" s="126" t="n"/>
      <c r="R65" s="126" t="n"/>
    </row>
    <row r="66">
      <c r="C66" s="126" t="n"/>
      <c r="R66" s="126" t="n"/>
    </row>
    <row r="67">
      <c r="C67" s="126" t="n"/>
      <c r="R67" s="126" t="n"/>
    </row>
    <row r="68">
      <c r="C68" s="126" t="n"/>
      <c r="R68" s="126" t="n"/>
    </row>
    <row r="69">
      <c r="C69" s="126" t="n"/>
      <c r="R69" s="126" t="n"/>
    </row>
    <row r="70">
      <c r="C70" s="126" t="n"/>
      <c r="R70" s="126" t="n"/>
    </row>
    <row r="71">
      <c r="C71" s="126" t="n"/>
      <c r="R71" s="126" t="n"/>
    </row>
    <row r="72">
      <c r="C72" s="126" t="n"/>
      <c r="R72" s="126" t="n"/>
    </row>
    <row r="73">
      <c r="C73" s="126" t="n"/>
      <c r="D73" s="127" t="n"/>
      <c r="E73" s="127" t="n"/>
      <c r="F73" s="127" t="n"/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6" t="n"/>
    </row>
    <row r="74">
      <c r="C74" s="126" t="n"/>
      <c r="R74" s="126" t="n"/>
    </row>
    <row r="75">
      <c r="C75" s="126" t="n"/>
      <c r="D75" s="127" t="n"/>
      <c r="E75" s="127" t="n"/>
      <c r="F75" s="127" t="n"/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6" t="n"/>
    </row>
    <row r="76">
      <c r="C76" s="126" t="n"/>
      <c r="D76" s="127" t="n"/>
      <c r="E76" s="127" t="n"/>
      <c r="F76" s="127" t="n"/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6" t="n"/>
    </row>
    <row r="77">
      <c r="C77" s="126" t="n"/>
      <c r="D77" s="127" t="n"/>
      <c r="E77" s="127" t="n"/>
      <c r="F77" s="127" t="n"/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6" t="n"/>
    </row>
    <row r="78">
      <c r="C78" s="126" t="n"/>
      <c r="D78" s="126" t="n"/>
      <c r="E78" s="126" t="n"/>
      <c r="F78" s="126" t="n"/>
      <c r="G78" s="126" t="n"/>
      <c r="H78" s="126" t="n"/>
      <c r="I78" s="126" t="n"/>
      <c r="J78" s="126" t="n"/>
      <c r="K78" s="126" t="n"/>
      <c r="L78" s="126" t="n"/>
      <c r="M78" s="126" t="n"/>
      <c r="N78" s="126" t="n"/>
      <c r="O78" s="126" t="n"/>
      <c r="P78" s="126" t="n"/>
      <c r="Q78" s="126" t="n"/>
      <c r="R78" s="12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topLeftCell="A31" zoomScale="75" zoomScaleNormal="75" workbookViewId="0">
      <selection activeCell="Q47" sqref="Q47"/>
    </sheetView>
  </sheetViews>
  <sheetFormatPr baseColWidth="8" defaultColWidth="8.7109375" defaultRowHeight="18.75"/>
  <cols>
    <col width="8.7109375" customWidth="1" style="104" min="1" max="1"/>
    <col width="8.140625" customWidth="1" style="61" min="2" max="2"/>
    <col width="25.140625" customWidth="1" style="62" min="3" max="3"/>
    <col width="19.140625" customWidth="1" style="62" min="4" max="4"/>
    <col width="21.28515625" customWidth="1" style="62" min="5" max="5"/>
    <col width="17.5703125" customWidth="1" style="62" min="6" max="7"/>
    <col width="21.28515625" customWidth="1" style="62" min="8" max="8"/>
    <col width="17" customWidth="1" style="62" min="9" max="9"/>
    <col width="17.7109375" customWidth="1" style="62" min="10" max="10"/>
    <col width="16.140625" customWidth="1" style="62" min="11" max="11"/>
    <col width="21.5703125" customWidth="1" style="62" min="12" max="12"/>
    <col width="8.7109375" customWidth="1" style="104" min="13" max="13"/>
    <col width="8.7109375" customWidth="1" style="62" min="14" max="61"/>
    <col width="16" customWidth="1" style="62" min="62" max="62"/>
    <col width="15.140625" customWidth="1" style="62" min="63" max="63"/>
    <col width="8.7109375" customWidth="1" style="62" min="64" max="65"/>
    <col width="8.7109375" customWidth="1" style="62" min="66" max="16384"/>
  </cols>
  <sheetData>
    <row r="1" customFormat="1" s="58">
      <c r="B1" s="63" t="n"/>
    </row>
    <row r="2" customFormat="1" s="58">
      <c r="B2" s="63" t="n"/>
    </row>
    <row r="3" customFormat="1" s="104">
      <c r="B3" s="64" t="n"/>
    </row>
    <row r="4" ht="19.35" customFormat="1" customHeight="1" s="104">
      <c r="B4" s="64" t="n"/>
    </row>
    <row r="5" ht="64.5" customHeight="1" s="6">
      <c r="B5" s="180" t="n"/>
      <c r="C5" s="161" t="n"/>
      <c r="D5" s="186" t="inlineStr">
        <is>
          <t>OYO STATE MINISTRY OF EDUCATION, SCIENCE AND TECHNOLOGY</t>
        </is>
      </c>
      <c r="E5" s="141" t="n"/>
      <c r="F5" s="141" t="n"/>
      <c r="G5" s="141" t="n"/>
      <c r="H5" s="141" t="n"/>
      <c r="I5" s="141" t="n"/>
      <c r="J5" s="141" t="n"/>
      <c r="K5" s="151" t="n"/>
      <c r="L5" s="188" t="inlineStr">
        <is>
          <t>Insert School Logo</t>
        </is>
      </c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  <c r="AD5" s="104" t="n"/>
      <c r="AE5" s="104" t="n"/>
      <c r="AF5" s="104" t="n"/>
      <c r="AG5" s="104" t="n"/>
      <c r="AH5" s="104" t="n"/>
      <c r="AI5" s="104" t="n"/>
      <c r="AJ5" s="104" t="n"/>
      <c r="AK5" s="104" t="n"/>
      <c r="AL5" s="104" t="n"/>
      <c r="AM5" s="104" t="n"/>
      <c r="AN5" s="104" t="n"/>
      <c r="AO5" s="104" t="n"/>
      <c r="AP5" s="104" t="n"/>
      <c r="AQ5" s="104" t="n"/>
      <c r="AR5" s="104" t="n"/>
      <c r="AS5" s="104" t="n"/>
      <c r="AT5" s="104" t="n"/>
      <c r="AU5" s="104" t="n"/>
      <c r="AV5" s="104" t="n"/>
      <c r="AW5" s="104" t="n"/>
      <c r="AX5" s="104" t="n"/>
      <c r="AY5" s="104" t="n"/>
      <c r="AZ5" s="104" t="n"/>
      <c r="BA5" s="104" t="n"/>
      <c r="BB5" s="104" t="n"/>
      <c r="BC5" s="104" t="n"/>
      <c r="BD5" s="104" t="n"/>
      <c r="BE5" s="104" t="n"/>
      <c r="BF5" s="104" t="n"/>
      <c r="BG5" s="104" t="n"/>
      <c r="BH5" s="104" t="n"/>
      <c r="BI5" s="104" t="n"/>
      <c r="BJ5" s="104" t="n"/>
      <c r="BK5" s="104" t="n"/>
      <c r="BL5" s="104" t="n"/>
      <c r="BM5" s="104" t="n"/>
      <c r="BN5" s="104" t="n"/>
      <c r="BO5" s="104" t="n"/>
      <c r="BP5" s="104" t="n"/>
      <c r="BQ5" s="104" t="n"/>
      <c r="BR5" s="104" t="n"/>
      <c r="BS5" s="104" t="n"/>
      <c r="BT5" s="104" t="n"/>
      <c r="BU5" s="104" t="n"/>
      <c r="BV5" s="104" t="n"/>
      <c r="BW5" s="104" t="n"/>
      <c r="BX5" s="104" t="n"/>
    </row>
    <row r="6" ht="32.45" customHeight="1" s="6">
      <c r="B6" s="181" t="n"/>
      <c r="C6" s="182" t="n"/>
      <c r="D6" s="157" t="inlineStr">
        <is>
          <t>COMPREHENSIVE HIGH SCHOOL, IGBOPE</t>
        </is>
      </c>
      <c r="E6" s="141" t="n"/>
      <c r="F6" s="141" t="n"/>
      <c r="G6" s="141" t="n"/>
      <c r="H6" s="141" t="n"/>
      <c r="I6" s="141" t="n"/>
      <c r="J6" s="141" t="n"/>
      <c r="K6" s="151" t="n"/>
      <c r="L6" s="189" t="n"/>
      <c r="N6" s="104" t="n"/>
      <c r="O6" s="104" t="n"/>
      <c r="P6" s="104" t="n"/>
      <c r="Q6" s="104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  <c r="AD6" s="104" t="n"/>
      <c r="AE6" s="104" t="n"/>
      <c r="AF6" s="104" t="n"/>
      <c r="AG6" s="104" t="n"/>
      <c r="AH6" s="104" t="n"/>
      <c r="AI6" s="104" t="n"/>
      <c r="AJ6" s="104" t="n"/>
      <c r="AK6" s="104" t="n"/>
      <c r="AL6" s="104" t="n"/>
      <c r="AM6" s="104" t="n"/>
      <c r="AN6" s="104" t="n"/>
      <c r="AO6" s="104" t="n"/>
      <c r="AP6" s="104" t="n"/>
      <c r="AQ6" s="104" t="n"/>
      <c r="AR6" s="104" t="n"/>
      <c r="AS6" s="104" t="n"/>
      <c r="AT6" s="104" t="n"/>
      <c r="AU6" s="104" t="n"/>
      <c r="AV6" s="104" t="n"/>
      <c r="AW6" s="104" t="n"/>
      <c r="AX6" s="104" t="n"/>
      <c r="AY6" s="104" t="n"/>
      <c r="AZ6" s="104" t="n"/>
      <c r="BA6" s="104" t="n"/>
      <c r="BB6" s="104" t="n"/>
      <c r="BC6" s="104" t="n"/>
      <c r="BD6" s="104" t="n"/>
      <c r="BE6" s="104" t="n"/>
      <c r="BF6" s="104" t="n"/>
      <c r="BG6" s="104" t="n"/>
      <c r="BH6" s="104" t="n"/>
      <c r="BI6" s="104" t="n"/>
      <c r="BJ6" s="104" t="n"/>
      <c r="BK6" s="104" t="n"/>
      <c r="BL6" s="104" t="n"/>
      <c r="BM6" s="104" t="n"/>
      <c r="BN6" s="104" t="n"/>
      <c r="BO6" s="104" t="n"/>
      <c r="BP6" s="104" t="n"/>
      <c r="BQ6" s="104" t="n"/>
      <c r="BR6" s="104" t="n"/>
      <c r="BS6" s="104" t="n"/>
      <c r="BT6" s="104" t="n"/>
      <c r="BU6" s="104" t="n"/>
      <c r="BV6" s="104" t="n"/>
      <c r="BW6" s="104" t="n"/>
      <c r="BX6" s="104" t="n"/>
    </row>
    <row r="7" ht="24" customHeight="1" s="6">
      <c r="B7" s="183" t="n"/>
      <c r="C7" s="184" t="n"/>
      <c r="D7" s="173" t="inlineStr">
        <is>
          <t>STUDENT REPORT CARD</t>
        </is>
      </c>
      <c r="E7" s="141" t="n"/>
      <c r="F7" s="141" t="n"/>
      <c r="G7" s="141" t="n"/>
      <c r="H7" s="141" t="n"/>
      <c r="I7" s="141" t="n"/>
      <c r="J7" s="141" t="n"/>
      <c r="K7" s="151" t="n"/>
      <c r="L7" s="138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  <c r="AD7" s="104" t="n"/>
      <c r="AE7" s="104" t="n"/>
      <c r="AF7" s="104" t="n"/>
      <c r="AG7" s="104" t="n"/>
      <c r="AH7" s="104" t="n"/>
      <c r="AI7" s="104" t="n"/>
      <c r="AJ7" s="104" t="n"/>
      <c r="AK7" s="104" t="n"/>
      <c r="AL7" s="104" t="n"/>
      <c r="AM7" s="104" t="n"/>
      <c r="AN7" s="104" t="n"/>
      <c r="AO7" s="104" t="n"/>
      <c r="AP7" s="104" t="n"/>
      <c r="AQ7" s="104" t="n"/>
      <c r="AR7" s="104" t="n"/>
      <c r="AS7" s="104" t="n"/>
      <c r="AT7" s="104" t="n"/>
      <c r="AU7" s="104" t="n"/>
      <c r="AV7" s="104" t="n"/>
      <c r="AW7" s="104" t="n"/>
      <c r="AX7" s="104" t="n"/>
      <c r="AY7" s="104" t="n"/>
      <c r="AZ7" s="104" t="n"/>
      <c r="BA7" s="104" t="n"/>
      <c r="BB7" s="104" t="n"/>
      <c r="BC7" s="104" t="n"/>
      <c r="BD7" s="104" t="n"/>
      <c r="BE7" s="104" t="n"/>
      <c r="BF7" s="104" t="n"/>
      <c r="BG7" s="104" t="n"/>
      <c r="BH7" s="104" t="n"/>
      <c r="BI7" s="104" t="n"/>
      <c r="BJ7" s="104" t="n"/>
      <c r="BK7" s="104" t="n"/>
      <c r="BL7" s="104" t="n"/>
      <c r="BM7" s="104" t="n"/>
      <c r="BN7" s="104" t="n"/>
      <c r="BO7" s="104" t="n"/>
      <c r="BP7" s="104" t="n"/>
      <c r="BQ7" s="104" t="n"/>
      <c r="BR7" s="104" t="n"/>
      <c r="BS7" s="104" t="n"/>
      <c r="BT7" s="104" t="n"/>
      <c r="BU7" s="104" t="n"/>
      <c r="BV7" s="104" t="n"/>
      <c r="BW7" s="104" t="n"/>
      <c r="BX7" s="104" t="n"/>
    </row>
    <row r="8" ht="35.1" customHeight="1" s="6">
      <c r="B8" s="65" t="n">
        <v>1</v>
      </c>
      <c r="C8" s="66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165">
        <f>VLOOKUP(B8,Db!A4:B503,2,0)</f>
        <v/>
      </c>
      <c r="E8" s="154" t="n"/>
      <c r="F8" s="148" t="n"/>
      <c r="G8" s="68" t="inlineStr">
        <is>
          <t>Gender</t>
        </is>
      </c>
      <c r="H8" s="67">
        <f>VLOOKUP(B8,Db!A4:E503,4,0)</f>
        <v/>
      </c>
      <c r="I8" s="98" t="inlineStr">
        <is>
          <t>Adm. No.</t>
        </is>
      </c>
      <c r="J8" s="99">
        <f>VLOOKUP(B8,Db!A4:C503,3,0)</f>
        <v/>
      </c>
      <c r="K8" s="100" t="inlineStr">
        <is>
          <t xml:space="preserve">Class: </t>
        </is>
      </c>
      <c r="L8" s="101">
        <f>VLOOKUP(B8,Db!A4:E503,5,0)</f>
        <v/>
      </c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4" t="n"/>
      <c r="AI8" s="104" t="n"/>
      <c r="AJ8" s="104" t="n"/>
      <c r="AK8" s="104" t="n"/>
      <c r="AL8" s="104" t="n"/>
      <c r="AM8" s="104" t="n"/>
      <c r="AN8" s="104" t="n"/>
      <c r="AO8" s="104" t="n"/>
      <c r="AP8" s="104" t="n"/>
      <c r="AQ8" s="104" t="n"/>
      <c r="AR8" s="104" t="n"/>
      <c r="AS8" s="104" t="n"/>
      <c r="AT8" s="104" t="n"/>
      <c r="AU8" s="104" t="n"/>
      <c r="AV8" s="104" t="n"/>
      <c r="AW8" s="104" t="n"/>
      <c r="AX8" s="104" t="n"/>
      <c r="AY8" s="104" t="n"/>
      <c r="AZ8" s="104" t="n"/>
      <c r="BA8" s="104" t="n"/>
      <c r="BB8" s="104" t="n"/>
      <c r="BC8" s="104" t="n"/>
      <c r="BD8" s="104" t="n"/>
      <c r="BE8" s="104" t="n"/>
      <c r="BF8" s="104" t="n"/>
      <c r="BG8" s="104" t="n"/>
      <c r="BH8" s="104" t="n"/>
      <c r="BI8" s="104" t="n"/>
      <c r="BJ8" s="104" t="n"/>
      <c r="BK8" s="104" t="n"/>
      <c r="BL8" s="104" t="n"/>
      <c r="BM8" s="104" t="n"/>
      <c r="BN8" s="104" t="n"/>
      <c r="BO8" s="104" t="n"/>
      <c r="BP8" s="104" t="n"/>
      <c r="BQ8" s="104" t="n"/>
      <c r="BR8" s="104" t="n"/>
      <c r="BS8" s="104" t="n"/>
      <c r="BT8" s="104" t="n"/>
      <c r="BU8" s="104" t="n"/>
      <c r="BV8" s="104" t="n"/>
      <c r="BW8" s="104" t="n"/>
      <c r="BX8" s="104" t="n"/>
    </row>
    <row r="9" ht="64.5" customHeight="1" s="6">
      <c r="B9" s="178" t="inlineStr">
        <is>
          <t>Number of Subjects Offered:</t>
        </is>
      </c>
      <c r="C9" s="141" t="n"/>
      <c r="D9" s="69">
        <f>COUNTIF(D14:D30,"=100")</f>
        <v/>
      </c>
      <c r="E9" s="70" t="inlineStr">
        <is>
          <t xml:space="preserve">Number Passed: </t>
        </is>
      </c>
      <c r="F9" s="69">
        <f>COUNTIF(J14:J30,"&gt;=40")</f>
        <v/>
      </c>
      <c r="G9" s="70" t="inlineStr">
        <is>
          <t>Number Failed:</t>
        </is>
      </c>
      <c r="H9" s="71">
        <f>D9-F9</f>
        <v/>
      </c>
      <c r="I9" s="178" t="inlineStr">
        <is>
          <t>Number of Students in Class:</t>
        </is>
      </c>
      <c r="J9" s="69">
        <f>VLOOKUP(B8,Db!A4:F503,6,0)</f>
        <v/>
      </c>
      <c r="K9" s="102" t="inlineStr">
        <is>
          <t>Class Position</t>
        </is>
      </c>
      <c r="L9" s="103">
        <f>VLOOKUP(B8,Db!A4:DI503,113,0)</f>
        <v/>
      </c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4" t="n"/>
      <c r="AI9" s="104" t="n"/>
      <c r="AJ9" s="104" t="n"/>
      <c r="AK9" s="104" t="n"/>
      <c r="AL9" s="104" t="n"/>
      <c r="AM9" s="104" t="n"/>
      <c r="AN9" s="104" t="n"/>
      <c r="AO9" s="104" t="n"/>
      <c r="AP9" s="104" t="n"/>
      <c r="AQ9" s="104" t="n"/>
      <c r="AR9" s="104" t="n"/>
      <c r="AS9" s="104" t="n"/>
      <c r="AT9" s="104" t="n"/>
      <c r="AU9" s="104" t="n"/>
      <c r="AV9" s="104" t="n"/>
      <c r="AW9" s="104" t="n"/>
      <c r="AX9" s="104" t="n"/>
      <c r="AY9" s="104" t="n"/>
      <c r="AZ9" s="104" t="n"/>
      <c r="BA9" s="104" t="n"/>
      <c r="BB9" s="104" t="n"/>
      <c r="BC9" s="104" t="n"/>
      <c r="BD9" s="104" t="n"/>
      <c r="BE9" s="104" t="n"/>
      <c r="BF9" s="104" t="n"/>
      <c r="BG9" s="104" t="n"/>
      <c r="BH9" s="104" t="n"/>
      <c r="BI9" s="104" t="n"/>
      <c r="BJ9" s="104" t="n"/>
      <c r="BK9" s="104" t="n"/>
      <c r="BL9" s="104" t="n"/>
      <c r="BM9" s="104" t="n"/>
      <c r="BN9" s="104" t="n"/>
      <c r="BO9" s="104" t="n"/>
      <c r="BP9" s="104" t="n"/>
      <c r="BQ9" s="104" t="n"/>
      <c r="BR9" s="104" t="n"/>
      <c r="BS9" s="104" t="n"/>
      <c r="BT9" s="104" t="n"/>
      <c r="BU9" s="104" t="n"/>
      <c r="BV9" s="104" t="n"/>
      <c r="BW9" s="104" t="n"/>
      <c r="BX9" s="104" t="n"/>
    </row>
    <row r="10" ht="42.6" customHeight="1" s="6">
      <c r="B10" s="176" t="inlineStr">
        <is>
          <t xml:space="preserve">No of Times School Opened: </t>
        </is>
      </c>
      <c r="C10" s="141" t="n"/>
      <c r="D10" s="69">
        <f>VLOOKUP(B8,Db!A4:G503,7,0)</f>
        <v/>
      </c>
      <c r="E10" s="72" t="inlineStr">
        <is>
          <t xml:space="preserve">No of Times Present: </t>
        </is>
      </c>
      <c r="F10" s="73">
        <f>VLOOKUP(B8,Db!A4:H503,8,0)</f>
        <v/>
      </c>
      <c r="G10" s="72" t="inlineStr">
        <is>
          <t xml:space="preserve">No of Times Absent: </t>
        </is>
      </c>
      <c r="H10" s="73">
        <f>VLOOKUP(B8,Db!A4:I503,9,0)</f>
        <v/>
      </c>
      <c r="I10" s="105" t="inlineStr">
        <is>
          <t>Academic Session:</t>
        </is>
      </c>
      <c r="J10" s="69">
        <f>VLOOKUP(B8,Db!A4:DR503,122,0)</f>
        <v/>
      </c>
      <c r="K10" s="106" t="inlineStr">
        <is>
          <t>Term:</t>
        </is>
      </c>
      <c r="L10" s="69">
        <f>VLOOKUP(B8,Db!A4:DS503,123,0)</f>
        <v/>
      </c>
      <c r="M10" s="107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4" t="n"/>
      <c r="AI10" s="104" t="n"/>
      <c r="AJ10" s="104" t="n"/>
      <c r="AK10" s="104" t="n"/>
      <c r="AL10" s="104" t="n"/>
      <c r="AM10" s="104" t="n"/>
      <c r="AN10" s="104" t="n"/>
      <c r="AO10" s="104" t="n"/>
      <c r="AP10" s="104" t="n"/>
      <c r="AQ10" s="104" t="n"/>
      <c r="AR10" s="104" t="n"/>
      <c r="AS10" s="104" t="n"/>
      <c r="AT10" s="104" t="n"/>
      <c r="AU10" s="104" t="n"/>
      <c r="AV10" s="104" t="n"/>
      <c r="AW10" s="104" t="n"/>
      <c r="AX10" s="104" t="n"/>
      <c r="AY10" s="104" t="n"/>
      <c r="AZ10" s="104" t="n"/>
      <c r="BA10" s="104" t="n"/>
      <c r="BB10" s="104" t="n"/>
      <c r="BC10" s="104" t="n"/>
      <c r="BD10" s="104" t="n"/>
      <c r="BE10" s="104" t="n"/>
      <c r="BF10" s="104" t="n"/>
      <c r="BG10" s="104" t="n"/>
      <c r="BH10" s="104" t="n"/>
      <c r="BI10" s="104" t="n"/>
      <c r="BJ10" s="104" t="n"/>
      <c r="BK10" s="104" t="n"/>
      <c r="BL10" s="104" t="n"/>
      <c r="BM10" s="104" t="n"/>
      <c r="BN10" s="104" t="n"/>
      <c r="BO10" s="104" t="n"/>
      <c r="BP10" s="104" t="n"/>
      <c r="BQ10" s="104" t="n"/>
      <c r="BR10" s="104" t="n"/>
      <c r="BS10" s="104" t="n"/>
      <c r="BT10" s="104" t="n"/>
      <c r="BU10" s="104" t="n"/>
      <c r="BV10" s="104" t="n"/>
      <c r="BW10" s="104" t="n"/>
      <c r="BX10" s="104" t="n"/>
    </row>
    <row r="11" ht="30.6" customHeight="1" s="6">
      <c r="B11" s="159" t="inlineStr">
        <is>
          <t>COGNITIVE (ACADEMIC PERFORMANCE)</t>
        </is>
      </c>
      <c r="C11" s="14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51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4" t="n"/>
      <c r="AI11" s="104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104" t="n"/>
      <c r="AU11" s="104" t="n"/>
      <c r="AV11" s="104" t="n"/>
      <c r="AW11" s="104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104" t="n"/>
      <c r="BI11" s="104" t="n"/>
      <c r="BJ11" s="104" t="n"/>
      <c r="BK11" s="104" t="n"/>
      <c r="BL11" s="104" t="n"/>
      <c r="BM11" s="104" t="n"/>
      <c r="BN11" s="104" t="n"/>
      <c r="BO11" s="104" t="n"/>
      <c r="BP11" s="104" t="n"/>
      <c r="BQ11" s="104" t="n"/>
      <c r="BR11" s="104" t="n"/>
      <c r="BS11" s="104" t="n"/>
      <c r="BT11" s="104" t="n"/>
      <c r="BU11" s="104" t="n"/>
      <c r="BV11" s="104" t="n"/>
      <c r="BW11" s="104" t="n"/>
      <c r="BX11" s="104" t="n"/>
    </row>
    <row r="12" ht="54.95" customHeight="1" s="6">
      <c r="B12" s="137" t="inlineStr">
        <is>
          <t>S/NO</t>
        </is>
      </c>
      <c r="C12" s="158" t="inlineStr">
        <is>
          <t>Subject</t>
        </is>
      </c>
      <c r="D12" s="163" t="inlineStr">
        <is>
          <t>Marks Obtainable</t>
        </is>
      </c>
      <c r="E12" s="74" t="inlineStr">
        <is>
          <t xml:space="preserve">3rd Term C.A. </t>
        </is>
      </c>
      <c r="F12" s="74" t="inlineStr">
        <is>
          <t xml:space="preserve">3rd Term Exam </t>
        </is>
      </c>
      <c r="G12" s="159" t="inlineStr">
        <is>
          <t>Total Mark</t>
        </is>
      </c>
      <c r="H12" s="141" t="n"/>
      <c r="I12" s="141" t="n"/>
      <c r="J12" s="151" t="n"/>
      <c r="K12" s="162" t="inlineStr">
        <is>
          <t>Grade Obtained</t>
        </is>
      </c>
      <c r="L12" s="139" t="inlineStr">
        <is>
          <t>Remarks</t>
        </is>
      </c>
      <c r="N12" s="104" t="n"/>
      <c r="O12" s="108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4" t="n"/>
      <c r="AI12" s="104" t="n"/>
      <c r="AJ12" s="104" t="n"/>
      <c r="AK12" s="104" t="n"/>
      <c r="AL12" s="104" t="n"/>
      <c r="AM12" s="104" t="n"/>
      <c r="AN12" s="104" t="n"/>
      <c r="AO12" s="104" t="n"/>
      <c r="AP12" s="104" t="n"/>
      <c r="AQ12" s="104" t="n"/>
      <c r="AR12" s="104" t="n"/>
      <c r="AS12" s="104" t="n"/>
      <c r="AT12" s="104" t="n"/>
      <c r="AU12" s="104" t="n"/>
      <c r="AV12" s="104" t="n"/>
      <c r="AW12" s="104" t="n"/>
      <c r="AX12" s="104" t="n"/>
      <c r="AY12" s="104" t="n"/>
      <c r="AZ12" s="104" t="n"/>
      <c r="BA12" s="104" t="n"/>
      <c r="BB12" s="104" t="n"/>
      <c r="BC12" s="104" t="n"/>
      <c r="BD12" s="104" t="n"/>
      <c r="BE12" s="104" t="n"/>
      <c r="BF12" s="104" t="n"/>
      <c r="BG12" s="104" t="n"/>
      <c r="BH12" s="104" t="n"/>
      <c r="BI12" s="104" t="n"/>
      <c r="BJ12" s="104" t="n"/>
      <c r="BK12" s="104" t="n"/>
      <c r="BL12" s="104" t="n"/>
      <c r="BM12" s="104" t="n"/>
      <c r="BN12" s="104" t="n"/>
      <c r="BO12" s="104" t="n"/>
      <c r="BP12" s="104" t="n"/>
      <c r="BQ12" s="104" t="n"/>
      <c r="BR12" s="104" t="n"/>
      <c r="BS12" s="104" t="n"/>
      <c r="BT12" s="104" t="n"/>
      <c r="BU12" s="104" t="n"/>
      <c r="BV12" s="104" t="n"/>
      <c r="BW12" s="104" t="n"/>
      <c r="BX12" s="104" t="n"/>
    </row>
    <row r="13" ht="38.45" customFormat="1" customHeight="1" s="59">
      <c r="A13" s="75" t="n"/>
      <c r="B13" s="138" t="n"/>
      <c r="C13" s="138" t="n"/>
      <c r="D13" s="138" t="n"/>
      <c r="E13" s="76" t="n">
        <v>0.3</v>
      </c>
      <c r="F13" s="76" t="n">
        <v>0.7</v>
      </c>
      <c r="G13" s="77" t="inlineStr">
        <is>
          <t>3rd Term Total (100%)</t>
        </is>
      </c>
      <c r="H13" s="77" t="inlineStr">
        <is>
          <t>2nd Term Total (100%)</t>
        </is>
      </c>
      <c r="I13" s="77" t="inlineStr">
        <is>
          <t>1st Term Total (100%)</t>
        </is>
      </c>
      <c r="J13" s="77" t="inlineStr">
        <is>
          <t>Average Score in %</t>
        </is>
      </c>
      <c r="K13" s="138" t="n"/>
      <c r="L13" s="138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</row>
    <row r="14" ht="21.95" customHeight="1" s="6">
      <c r="B14" s="78" t="n">
        <v>1</v>
      </c>
      <c r="C14" s="79">
        <f>Db!J2</f>
        <v/>
      </c>
      <c r="D14" s="80">
        <f>IF(AND(G14=0,H14=0,I14=0),"--",100)</f>
        <v/>
      </c>
      <c r="E14" s="80">
        <f>VLOOKUP(B8,Db!A4:J503,10,0)</f>
        <v/>
      </c>
      <c r="F14" s="80">
        <f>VLOOKUP(B8,Db!A4:K503,11,0)</f>
        <v/>
      </c>
      <c r="G14" s="80">
        <f>VLOOKUP(B8,Db!A4:L503,12,0)</f>
        <v/>
      </c>
      <c r="H14" s="80">
        <f>VLOOKUP(B8,Db!A4:M503,13,0)</f>
        <v/>
      </c>
      <c r="I14" s="80">
        <f>VLOOKUP(B8,Db!A4:N503,14,0)</f>
        <v/>
      </c>
      <c r="J14" s="80">
        <f>VLOOKUP(B8,Db!A4:O503,15,0)</f>
        <v/>
      </c>
      <c r="K14" s="80">
        <f>IF(J14&gt;=70,"A",IF(J14&gt;=50,"C",IF(J14&gt;=40,"P",IF(J14&gt;=1,"F","NA"))))</f>
        <v/>
      </c>
      <c r="L14" s="109">
        <f>IF(K14="A","DISTINCTION",IF(K14="C","GOOD",IF(K14="P","PASS",IF(K14="F","FAIL",IF(K14="NA","NOT APPLICABLE","")))))</f>
        <v/>
      </c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4" t="n"/>
      <c r="AI14" s="104" t="n"/>
      <c r="AJ14" s="104" t="n"/>
      <c r="AK14" s="104" t="n"/>
      <c r="AL14" s="104" t="n"/>
      <c r="AM14" s="104" t="n"/>
      <c r="AN14" s="104" t="n"/>
      <c r="AO14" s="104" t="n"/>
      <c r="AP14" s="104" t="n"/>
      <c r="AQ14" s="104" t="n"/>
      <c r="AR14" s="104" t="n"/>
      <c r="AS14" s="104" t="n"/>
      <c r="AT14" s="104" t="n"/>
      <c r="AU14" s="104" t="n"/>
      <c r="AV14" s="104" t="n"/>
      <c r="AW14" s="104" t="n"/>
      <c r="AX14" s="104" t="n"/>
      <c r="AY14" s="104" t="n"/>
      <c r="AZ14" s="104" t="n"/>
      <c r="BA14" s="104" t="n"/>
      <c r="BB14" s="104" t="n"/>
      <c r="BC14" s="104" t="n"/>
      <c r="BD14" s="104" t="n"/>
      <c r="BE14" s="104" t="n"/>
      <c r="BF14" s="104" t="n"/>
      <c r="BG14" s="104" t="n"/>
      <c r="BH14" s="104" t="n"/>
      <c r="BI14" s="104" t="n"/>
      <c r="BJ14" s="104" t="n"/>
      <c r="BK14" s="104" t="n"/>
      <c r="BL14" s="104" t="n"/>
      <c r="BM14" s="104" t="n"/>
      <c r="BN14" s="104" t="n"/>
      <c r="BO14" s="104" t="n"/>
      <c r="BP14" s="104" t="n"/>
      <c r="BQ14" s="104" t="n"/>
      <c r="BR14" s="104" t="n"/>
      <c r="BS14" s="104" t="n"/>
      <c r="BT14" s="104" t="n"/>
      <c r="BU14" s="104" t="n"/>
      <c r="BV14" s="104" t="n"/>
      <c r="BW14" s="104" t="n"/>
      <c r="BX14" s="104" t="n"/>
    </row>
    <row r="15" ht="22.5" customHeight="1" s="6">
      <c r="B15" s="78" t="n">
        <v>2</v>
      </c>
      <c r="C15" s="79">
        <f>Db!P2</f>
        <v/>
      </c>
      <c r="D15" s="80">
        <f>IF(AND(G15=0,H15=0,I15=0),"--",100)</f>
        <v/>
      </c>
      <c r="E15" s="80">
        <f>VLOOKUP(B8,Db!A4:P503,16,0)</f>
        <v/>
      </c>
      <c r="F15" s="80">
        <f>VLOOKUP(B8,Db!A4:Q503,17,0)</f>
        <v/>
      </c>
      <c r="G15" s="80">
        <f>VLOOKUP(B8,Db!A4:R503,18,0)</f>
        <v/>
      </c>
      <c r="H15" s="80">
        <f>VLOOKUP(B8,Db!A4:S503,19,0)</f>
        <v/>
      </c>
      <c r="I15" s="80">
        <f>VLOOKUP(B8,Db!A4:T503,20,0)</f>
        <v/>
      </c>
      <c r="J15" s="80">
        <f>VLOOKUP(B8,Db!A4:U503,21,0)</f>
        <v/>
      </c>
      <c r="K15" s="80">
        <f>IF(J15&gt;=70,"A",IF(J15&gt;=50,"C",IF(J15&gt;=40,"P",IF(J15&gt;=1,"F","NA"))))</f>
        <v/>
      </c>
      <c r="L15" s="109">
        <f>IF(K15="A","DISTINCTION",IF(K15="C","GOOD",IF(K15="P","PASS",IF(K15="F","FAIL",IF(K15="NA","NOT APPLICABLE","")))))</f>
        <v/>
      </c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4" t="n"/>
      <c r="AI15" s="104" t="n"/>
      <c r="AJ15" s="104" t="n"/>
      <c r="AK15" s="104" t="n"/>
      <c r="AL15" s="104" t="n"/>
      <c r="AM15" s="104" t="n"/>
      <c r="AN15" s="104" t="n"/>
      <c r="AO15" s="104" t="n"/>
      <c r="AP15" s="104" t="n"/>
      <c r="AQ15" s="104" t="n"/>
      <c r="AR15" s="104" t="n"/>
      <c r="AS15" s="104" t="n"/>
      <c r="AT15" s="104" t="n"/>
      <c r="AU15" s="104" t="n"/>
      <c r="AV15" s="104" t="n"/>
      <c r="AW15" s="104" t="n"/>
      <c r="AX15" s="104" t="n"/>
      <c r="AY15" s="104" t="n"/>
      <c r="AZ15" s="104" t="n"/>
      <c r="BA15" s="104" t="n"/>
      <c r="BB15" s="104" t="n"/>
      <c r="BC15" s="104" t="n"/>
      <c r="BD15" s="104" t="n"/>
      <c r="BE15" s="104" t="n"/>
      <c r="BF15" s="104" t="n"/>
      <c r="BG15" s="104" t="n"/>
      <c r="BH15" s="104" t="n"/>
      <c r="BI15" s="104" t="n"/>
      <c r="BJ15" s="104" t="n"/>
      <c r="BK15" s="104" t="n"/>
      <c r="BL15" s="104" t="n"/>
      <c r="BM15" s="104" t="n"/>
      <c r="BN15" s="104" t="n"/>
      <c r="BO15" s="104" t="n"/>
      <c r="BP15" s="104" t="n"/>
      <c r="BQ15" s="104" t="n"/>
      <c r="BR15" s="104" t="n"/>
      <c r="BS15" s="104" t="n"/>
      <c r="BT15" s="104" t="n"/>
      <c r="BU15" s="104" t="n"/>
      <c r="BV15" s="104" t="n"/>
      <c r="BW15" s="104" t="n"/>
      <c r="BX15" s="104" t="n"/>
    </row>
    <row r="16" ht="22.5" customHeight="1" s="6">
      <c r="B16" s="78" t="n">
        <v>3</v>
      </c>
      <c r="C16" s="81">
        <f>Db!V2</f>
        <v/>
      </c>
      <c r="D16" s="80">
        <f>IF(AND(G16=0,H16=0,I16=0),"--",100)</f>
        <v/>
      </c>
      <c r="E16" s="80">
        <f>VLOOKUP(B8,Db!A4:V503,22,0)</f>
        <v/>
      </c>
      <c r="F16" s="80">
        <f>VLOOKUP(B8,Db!A4:W503,23,0)</f>
        <v/>
      </c>
      <c r="G16" s="80">
        <f>VLOOKUP(B8,Db!A4:X503,24,0)</f>
        <v/>
      </c>
      <c r="H16" s="80">
        <f>VLOOKUP(B8,Db!A4:Y503,25,0)</f>
        <v/>
      </c>
      <c r="I16" s="80">
        <f>VLOOKUP(B8,Db!A4:Z503,26,0)</f>
        <v/>
      </c>
      <c r="J16" s="80">
        <f>VLOOKUP(B8,Db!A4:AA503,27,0)</f>
        <v/>
      </c>
      <c r="K16" s="80">
        <f>IF(J16&gt;=70,"A",IF(J16&gt;=50,"C",IF(J16&gt;=40,"P",IF(J16&gt;=1,"F","NA"))))</f>
        <v/>
      </c>
      <c r="L16" s="109">
        <f>IF(K16="A","DISTINCTION",IF(K16="C","GOOD",IF(K16="P","PASS",IF(K16="F","FAIL",IF(K16="NA","NOT APPLICABLE","")))))</f>
        <v/>
      </c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4" t="n"/>
      <c r="AI16" s="104" t="n"/>
      <c r="AJ16" s="104" t="n"/>
      <c r="AK16" s="104" t="n"/>
      <c r="AL16" s="104" t="n"/>
      <c r="AM16" s="104" t="n"/>
      <c r="AN16" s="104" t="n"/>
      <c r="AO16" s="104" t="n"/>
      <c r="AP16" s="104" t="n"/>
      <c r="AQ16" s="104" t="n"/>
      <c r="AR16" s="104" t="n"/>
      <c r="AS16" s="104" t="n"/>
      <c r="AT16" s="104" t="n"/>
      <c r="AU16" s="104" t="n"/>
      <c r="AV16" s="104" t="n"/>
      <c r="AW16" s="104" t="n"/>
      <c r="AX16" s="104" t="n"/>
      <c r="AY16" s="104" t="n"/>
      <c r="AZ16" s="104" t="n"/>
      <c r="BA16" s="104" t="n"/>
      <c r="BB16" s="104" t="n"/>
      <c r="BC16" s="104" t="n"/>
      <c r="BD16" s="104" t="n"/>
      <c r="BE16" s="104" t="n"/>
      <c r="BF16" s="104" t="n"/>
      <c r="BG16" s="104" t="n"/>
      <c r="BH16" s="104" t="n"/>
      <c r="BI16" s="104" t="n"/>
      <c r="BJ16" s="104" t="n"/>
      <c r="BK16" s="104" t="n"/>
      <c r="BL16" s="104" t="n"/>
      <c r="BM16" s="104" t="n"/>
      <c r="BN16" s="104" t="n"/>
      <c r="BO16" s="104" t="n"/>
      <c r="BP16" s="104" t="n"/>
      <c r="BQ16" s="104" t="n"/>
      <c r="BR16" s="104" t="n"/>
      <c r="BS16" s="104" t="n"/>
      <c r="BT16" s="104" t="n"/>
      <c r="BU16" s="104" t="n"/>
      <c r="BV16" s="104" t="n"/>
      <c r="BW16" s="104" t="n"/>
      <c r="BX16" s="104" t="n"/>
    </row>
    <row r="17" ht="22.5" customHeight="1" s="6">
      <c r="B17" s="78" t="n">
        <v>4</v>
      </c>
      <c r="C17" s="81">
        <f>Db!AB2</f>
        <v/>
      </c>
      <c r="D17" s="80">
        <f>IF(AND(G17=0,H17=0,I17=0),"--",100)</f>
        <v/>
      </c>
      <c r="E17" s="80">
        <f>VLOOKUP(B8,Db!A4:AB503,28,0)</f>
        <v/>
      </c>
      <c r="F17" s="80">
        <f>VLOOKUP(B8,Db!A4:AC503,29,0)</f>
        <v/>
      </c>
      <c r="G17" s="80">
        <f>VLOOKUP(B8,Db!A4:AD503,30,0)</f>
        <v/>
      </c>
      <c r="H17" s="80">
        <f>VLOOKUP(B8,Db!A4:AE503,31,0)</f>
        <v/>
      </c>
      <c r="I17" s="80">
        <f>VLOOKUP(B8,Db!A4:AF503,32,0)</f>
        <v/>
      </c>
      <c r="J17" s="80">
        <f>VLOOKUP(B8,Db!A4:AG503,33,0)</f>
        <v/>
      </c>
      <c r="K17" s="80">
        <f>IF(J17&gt;=70,"A",IF(J17&gt;=50,"C",IF(J17&gt;=40,"P",IF(J17&gt;=1,"F","NA"))))</f>
        <v/>
      </c>
      <c r="L17" s="109">
        <f>IF(K17="A","DISTINCTION",IF(K17="C","GOOD",IF(K17="P","PASS",IF(K17="F","FAIL",IF(K17="NA","NOT APPLICABLE","")))))</f>
        <v/>
      </c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</row>
    <row r="18" ht="22.5" customHeight="1" s="6">
      <c r="B18" s="78" t="n">
        <v>5</v>
      </c>
      <c r="C18" s="81">
        <f>Db!AH2</f>
        <v/>
      </c>
      <c r="D18" s="80">
        <f>IF(AND(G18=0,H18=0,I18=0),"--",100)</f>
        <v/>
      </c>
      <c r="E18" s="80">
        <f>VLOOKUP(B8,Db!A4:AH503,34,0)</f>
        <v/>
      </c>
      <c r="F18" s="80">
        <f>VLOOKUP(B8,Db!A4:AI503,35,0)</f>
        <v/>
      </c>
      <c r="G18" s="80">
        <f>VLOOKUP(B8,Db!A4:AJ503,36,0)</f>
        <v/>
      </c>
      <c r="H18" s="80">
        <f>VLOOKUP(B8,Db!A4:AK503,37,0)</f>
        <v/>
      </c>
      <c r="I18" s="80">
        <f>VLOOKUP(B8,Db!A4:AL503,38,0)</f>
        <v/>
      </c>
      <c r="J18" s="80">
        <f>VLOOKUP(B8,Db!A4:AM503,39,0)</f>
        <v/>
      </c>
      <c r="K18" s="80">
        <f>IF(J18&gt;=70,"A",IF(J18&gt;=50,"C",IF(J18&gt;=40,"P",IF(J18&gt;=1,"F","NA"))))</f>
        <v/>
      </c>
      <c r="L18" s="109">
        <f>IF(K18="A","DISTINCTION",IF(K18="C","GOOD",IF(K18="P","PASS",IF(K18="F","FAIL",IF(K18="NA","NOT APPLICABLE","")))))</f>
        <v/>
      </c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</row>
    <row r="19" ht="22.5" customHeight="1" s="6">
      <c r="B19" s="78" t="n">
        <v>6</v>
      </c>
      <c r="C19" s="82">
        <f>Db!AN2</f>
        <v/>
      </c>
      <c r="D19" s="80">
        <f>IF(AND(G19=0,H19=0,I19=0),"--",100)</f>
        <v/>
      </c>
      <c r="E19" s="80">
        <f>VLOOKUP(B8,Db!A4:AN503,40,0)</f>
        <v/>
      </c>
      <c r="F19" s="80">
        <f>VLOOKUP(B8,Db!A4:AO503,41,0)</f>
        <v/>
      </c>
      <c r="G19" s="80">
        <f>VLOOKUP(B8,Db!A4:AP503,42,0)</f>
        <v/>
      </c>
      <c r="H19" s="80">
        <f>VLOOKUP(B8,Db!A4:AQ503,43,0)</f>
        <v/>
      </c>
      <c r="I19" s="80">
        <f>VLOOKUP(B8,Db!A4:AR503,44,0)</f>
        <v/>
      </c>
      <c r="J19" s="80">
        <f>VLOOKUP(B8,Db!A4:AS503,45,0)</f>
        <v/>
      </c>
      <c r="K19" s="80">
        <f>IF(J19&gt;=70,"A",IF(J19&gt;=50,"C",IF(J19&gt;=40,"P",IF(J19&gt;=1,"F","NA"))))</f>
        <v/>
      </c>
      <c r="L19" s="109">
        <f>IF(K19="A","DISTINCTION",IF(K19="C","GOOD",IF(K19="P","PASS",IF(K19="F","FAIL",IF(K19="NA","NOT APPLICABLE","")))))</f>
        <v/>
      </c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</row>
    <row r="20" ht="22.5" customHeight="1" s="6">
      <c r="B20" s="78" t="n">
        <v>7</v>
      </c>
      <c r="C20" s="82">
        <f>Db!AT2</f>
        <v/>
      </c>
      <c r="D20" s="80">
        <f>IF(AND(G20=0,H20=0,I20=0),"--",100)</f>
        <v/>
      </c>
      <c r="E20" s="80">
        <f>VLOOKUP(B8,Db!A4:AT503,46,0)</f>
        <v/>
      </c>
      <c r="F20" s="80">
        <f>VLOOKUP(B8,Db!A4:AU503,47,0)</f>
        <v/>
      </c>
      <c r="G20" s="80">
        <f>VLOOKUP(B8,Db!A4:AV503,48,0)</f>
        <v/>
      </c>
      <c r="H20" s="80">
        <f>VLOOKUP(B8,Db!A4:AW503,49,0)</f>
        <v/>
      </c>
      <c r="I20" s="80">
        <f>VLOOKUP(B8,Db!A4:AX503,50,0)</f>
        <v/>
      </c>
      <c r="J20" s="80">
        <f>VLOOKUP(B8,Db!A4:AY503,51,0)</f>
        <v/>
      </c>
      <c r="K20" s="80">
        <f>IF(J20&gt;=70,"A",IF(J20&gt;=50,"C",IF(J20&gt;=40,"P",IF(J20&gt;=1,"F","NA"))))</f>
        <v/>
      </c>
      <c r="L20" s="109">
        <f>IF(K20="A","DISTINCTION",IF(K20="C","GOOD",IF(K20="P","PASS",IF(K20="F","FAIL",IF(K20="NA","NOT APPLICABLE","")))))</f>
        <v/>
      </c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</row>
    <row r="21" ht="22.5" customHeight="1" s="6">
      <c r="B21" s="78" t="n">
        <v>8</v>
      </c>
      <c r="C21" s="81">
        <f>Db!AZ2</f>
        <v/>
      </c>
      <c r="D21" s="80">
        <f>IF(AND(G21=0,H21=0,I21=0),"--",100)</f>
        <v/>
      </c>
      <c r="E21" s="80">
        <f>VLOOKUP(B8,Db!A4:AZ503,52,0)</f>
        <v/>
      </c>
      <c r="F21" s="80">
        <f>VLOOKUP(B8,Db!A4:BA503,53,0)</f>
        <v/>
      </c>
      <c r="G21" s="80">
        <f>VLOOKUP(B8,Db!A4:BB503,54,0)</f>
        <v/>
      </c>
      <c r="H21" s="80">
        <f>VLOOKUP(B8,Db!A4:BC503,55,0)</f>
        <v/>
      </c>
      <c r="I21" s="80">
        <f>VLOOKUP(B8,Db!A4:BD503,56,0)</f>
        <v/>
      </c>
      <c r="J21" s="80">
        <f>VLOOKUP(B8,Db!A4:BE503,57,0)</f>
        <v/>
      </c>
      <c r="K21" s="80">
        <f>IF(J21&gt;=70,"A",IF(J21&gt;=50,"C",IF(J21&gt;=40,"P",IF(J21&gt;=1,"F","NA"))))</f>
        <v/>
      </c>
      <c r="L21" s="109">
        <f>IF(K21="A","DISTINCTION",IF(K21="C","GOOD",IF(K21="P","PASS",IF(K21="F","FAIL",IF(K21="NA","NOT APPLICABLE","")))))</f>
        <v/>
      </c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</row>
    <row r="22" ht="22.5" customHeight="1" s="6">
      <c r="B22" s="78" t="n">
        <v>9</v>
      </c>
      <c r="C22" s="83">
        <f>Db!BF2</f>
        <v/>
      </c>
      <c r="D22" s="80">
        <f>IF(AND(G22=0,H22=0,I22=0),"--",100)</f>
        <v/>
      </c>
      <c r="E22" s="80">
        <f>VLOOKUP(B8,Db!A4:BF503,58,0)</f>
        <v/>
      </c>
      <c r="F22" s="80">
        <f>VLOOKUP(B8,Db!A4:BG503,59,0)</f>
        <v/>
      </c>
      <c r="G22" s="80">
        <f>VLOOKUP(B8,Db!A4:BH503,60,0)</f>
        <v/>
      </c>
      <c r="H22" s="80">
        <f>VLOOKUP(B8,Db!A4:BI503,61,0)</f>
        <v/>
      </c>
      <c r="I22" s="80">
        <f>VLOOKUP(B8,Db!A4:BJ503,62,0)</f>
        <v/>
      </c>
      <c r="J22" s="80">
        <f>VLOOKUP(B8,Db!A4:BK503,63,0)</f>
        <v/>
      </c>
      <c r="K22" s="80">
        <f>IF(J22&gt;=70,"A",IF(J22&gt;=50,"C",IF(J22&gt;=40,"P",IF(J22&gt;=1,"F","NA"))))</f>
        <v/>
      </c>
      <c r="L22" s="109">
        <f>IF(K22="A","DISTINCTION",IF(K22="C","GOOD",IF(K22="P","PASS",IF(K22="F","FAIL",IF(K22="NA","NOT APPLICABLE","")))))</f>
        <v/>
      </c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</row>
    <row r="23" ht="22.5" customHeight="1" s="6">
      <c r="B23" s="78" t="n">
        <v>10</v>
      </c>
      <c r="C23" s="83">
        <f>Db!BL2</f>
        <v/>
      </c>
      <c r="D23" s="80">
        <f>IF(AND(G23=0,H23=0,I23=0),"--",100)</f>
        <v/>
      </c>
      <c r="E23" s="80">
        <f>VLOOKUP(B8,Db!A4:BL503,64,0)</f>
        <v/>
      </c>
      <c r="F23" s="80">
        <f>VLOOKUP(B8,Db!A4:BM503,65,0)</f>
        <v/>
      </c>
      <c r="G23" s="80">
        <f>VLOOKUP(B8,Db!A4:BN503,66,0)</f>
        <v/>
      </c>
      <c r="H23" s="80">
        <f>VLOOKUP(B8,Db!A4:BO503,67,0)</f>
        <v/>
      </c>
      <c r="I23" s="80">
        <f>VLOOKUP(B8,Db!A4:BP503,68,0)</f>
        <v/>
      </c>
      <c r="J23" s="80">
        <f>VLOOKUP(B8,Db!A4:BQ503,69,0)</f>
        <v/>
      </c>
      <c r="K23" s="80">
        <f>IF(J23&gt;=70,"A",IF(J23&gt;=50,"C",IF(J23&gt;=40,"P",IF(J23&gt;=1,"F","NA"))))</f>
        <v/>
      </c>
      <c r="L23" s="109">
        <f>IF(K23="A","DISTINCTION",IF(K23="C","GOOD",IF(K23="P","PASS",IF(K23="F","FAIL",IF(K23="NA","NOT APPLICABLE","")))))</f>
        <v/>
      </c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</row>
    <row r="24" ht="22.5" customHeight="1" s="6">
      <c r="B24" s="78" t="n">
        <v>11</v>
      </c>
      <c r="C24" s="83">
        <f>Db!BR2</f>
        <v/>
      </c>
      <c r="D24" s="80">
        <f>IF(AND(G24=0,H24=0,I24=0),"--",100)</f>
        <v/>
      </c>
      <c r="E24" s="80">
        <f>VLOOKUP(B8,Db!A4:BR503,70,0)</f>
        <v/>
      </c>
      <c r="F24" s="80">
        <f>VLOOKUP(B8,Db!A4:BS503,71,0)</f>
        <v/>
      </c>
      <c r="G24" s="80">
        <f>VLOOKUP(B8,Db!A4:BT503,72,0)</f>
        <v/>
      </c>
      <c r="H24" s="80">
        <f>VLOOKUP(B8,Db!A4:BU503,73,0)</f>
        <v/>
      </c>
      <c r="I24" s="80">
        <f>VLOOKUP(B8,Db!A4:BV503,74,0)</f>
        <v/>
      </c>
      <c r="J24" s="80">
        <f>VLOOKUP(B8,Db!A4:BW503,75,0)</f>
        <v/>
      </c>
      <c r="K24" s="80">
        <f>IF(J24&gt;=70,"A",IF(J24&gt;=50,"C",IF(J24&gt;=40,"P",IF(J24&gt;=1,"F","NA"))))</f>
        <v/>
      </c>
      <c r="L24" s="109">
        <f>IF(K24="A","DISTINCTION",IF(K24="C","GOOD",IF(K24="P","PASS",IF(K24="F","FAIL",IF(K24="NA","NOT APPLICABLE","")))))</f>
        <v/>
      </c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</row>
    <row r="25" ht="22.5" customHeight="1" s="6">
      <c r="B25" s="78" t="n">
        <v>12</v>
      </c>
      <c r="C25" s="83">
        <f>Db!BX2</f>
        <v/>
      </c>
      <c r="D25" s="80">
        <f>IF(AND(G25=0,H25=0,I25=0),"--",100)</f>
        <v/>
      </c>
      <c r="E25" s="80">
        <f>VLOOKUP(B8,Db!A4:BX503,76,0)</f>
        <v/>
      </c>
      <c r="F25" s="80">
        <f>VLOOKUP(B8,Db!A4:BY503,77,0)</f>
        <v/>
      </c>
      <c r="G25" s="80">
        <f>VLOOKUP(B8,Db!A4:BZ503,78,0)</f>
        <v/>
      </c>
      <c r="H25" s="80">
        <f>VLOOKUP(B8,Db!A4:CA503,79,0)</f>
        <v/>
      </c>
      <c r="I25" s="80">
        <f>VLOOKUP(B8,Db!A4:CB503,80,0)</f>
        <v/>
      </c>
      <c r="J25" s="80">
        <f>VLOOKUP(B8,Db!A4:CC503,81,0)</f>
        <v/>
      </c>
      <c r="K25" s="80">
        <f>IF(J25&gt;=70,"A",IF(J25&gt;=50,"C",IF(J25&gt;=40,"P",IF(J25&gt;=1,"F","NA"))))</f>
        <v/>
      </c>
      <c r="L25" s="109">
        <f>IF(K25="A","DISTINCTION",IF(K25="C","GOOD",IF(K25="P","PASS",IF(K25="F","FAIL",IF(K25="NA","NOT APPLICABLE","")))))</f>
        <v/>
      </c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</row>
    <row r="26" ht="22.5" customHeight="1" s="6">
      <c r="B26" s="78" t="n">
        <v>13</v>
      </c>
      <c r="C26" s="83">
        <f>Db!CD2</f>
        <v/>
      </c>
      <c r="D26" s="80">
        <f>IF(AND(G26=0,H26=0,I26=0),"--",100)</f>
        <v/>
      </c>
      <c r="E26" s="80">
        <f>VLOOKUP(B8,Db!A4:CD503,82,0)</f>
        <v/>
      </c>
      <c r="F26" s="80">
        <f>VLOOKUP(B8,Db!A4:CE503,83,0)</f>
        <v/>
      </c>
      <c r="G26" s="80">
        <f>VLOOKUP(B8,Db!A4:CF503,84,0)</f>
        <v/>
      </c>
      <c r="H26" s="80">
        <f>VLOOKUP(B8,Db!A4:CG503,85,0)</f>
        <v/>
      </c>
      <c r="I26" s="80">
        <f>VLOOKUP(B8,Db!A4:CH503,86,0)</f>
        <v/>
      </c>
      <c r="J26" s="80">
        <f>VLOOKUP(B8,Db!A4:CI503,87,0)</f>
        <v/>
      </c>
      <c r="K26" s="80">
        <f>IF(J26&gt;=70,"A",IF(J26&gt;=50,"C",IF(J26&gt;=40,"P",IF(J26&gt;=1,"F","NA"))))</f>
        <v/>
      </c>
      <c r="L26" s="109">
        <f>IF(K26="A","DISTINCTION",IF(K26="C","GOOD",IF(K26="P","PASS",IF(K26="F","FAIL",IF(K26="NA","NOT APPLICABLE","")))))</f>
        <v/>
      </c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</row>
    <row r="27" ht="22.5" customHeight="1" s="6">
      <c r="B27" s="78" t="n">
        <v>14</v>
      </c>
      <c r="C27" s="83">
        <f>Db!CJ2</f>
        <v/>
      </c>
      <c r="D27" s="80">
        <f>IF(AND(G27=0,H27=0,I27=0),"--",100)</f>
        <v/>
      </c>
      <c r="E27" s="80">
        <f>VLOOKUP(B8,Db!A4:CJ503,88,0)</f>
        <v/>
      </c>
      <c r="F27" s="80">
        <f>VLOOKUP(B8,Db!A4:CK503,89,0)</f>
        <v/>
      </c>
      <c r="G27" s="80">
        <f>VLOOKUP(B8,Db!A4:CL503,90,0)</f>
        <v/>
      </c>
      <c r="H27" s="80">
        <f>VLOOKUP(B8,Db!A4:CM503,91,0)</f>
        <v/>
      </c>
      <c r="I27" s="80">
        <f>VLOOKUP(B8,Db!A4:CN503,92,0)</f>
        <v/>
      </c>
      <c r="J27" s="80">
        <f>VLOOKUP(B8,Db!A4:CO503,93,0)</f>
        <v/>
      </c>
      <c r="K27" s="80">
        <f>IF(J27&gt;=70,"A",IF(J27&gt;=50,"C",IF(J27&gt;=40,"P",IF(J27&gt;=1,"F","NA"))))</f>
        <v/>
      </c>
      <c r="L27" s="109">
        <f>IF(K27="A","DISTINCTION",IF(K27="C","GOOD",IF(K27="P","PASS",IF(K27="F","FAIL",IF(K27="NA","NOT APPLICABLE","")))))</f>
        <v/>
      </c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</row>
    <row r="28" ht="22.5" customHeight="1" s="6">
      <c r="B28" s="78" t="n">
        <v>15</v>
      </c>
      <c r="C28" s="83">
        <f>Db!CP2</f>
        <v/>
      </c>
      <c r="D28" s="80">
        <f>IF(AND(G28=0,H28=0,I28=0),"--",100)</f>
        <v/>
      </c>
      <c r="E28" s="80">
        <f>VLOOKUP(B8,Db!A4:CP503,94,0)</f>
        <v/>
      </c>
      <c r="F28" s="80">
        <f>VLOOKUP(B8,Db!A4:CQ503,95,0)</f>
        <v/>
      </c>
      <c r="G28" s="80">
        <f>VLOOKUP(B8,Db!A4:CR503,96,0)</f>
        <v/>
      </c>
      <c r="H28" s="80">
        <f>VLOOKUP(B8,Db!A4:CS503,97,0)</f>
        <v/>
      </c>
      <c r="I28" s="80">
        <f>VLOOKUP(B8,Db!A4:CT503,98,0)</f>
        <v/>
      </c>
      <c r="J28" s="80">
        <f>VLOOKUP(B8,Db!A4:CU503,99,0)</f>
        <v/>
      </c>
      <c r="K28" s="80">
        <f>IF(J28&gt;=70,"A",IF(J28&gt;=50,"C",IF(J28&gt;=40,"P",IF(J28&gt;=1,"F","NA"))))</f>
        <v/>
      </c>
      <c r="L28" s="109">
        <f>IF(K28="A","DISTINCTION",IF(K28="C","GOOD",IF(K28="P","PASS",IF(K28="F","FAIL",IF(K28="NA","NOT APPLICABLE","")))))</f>
        <v/>
      </c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</row>
    <row r="29" ht="22.5" customHeight="1" s="6">
      <c r="B29" s="78" t="n">
        <v>16</v>
      </c>
      <c r="C29" s="83">
        <f>Db!CV2</f>
        <v/>
      </c>
      <c r="D29" s="80">
        <f>IF(AND(G29=0,H29=0,I29=0),"--",100)</f>
        <v/>
      </c>
      <c r="E29" s="80">
        <f>VLOOKUP(B8,Db!A4:CV503,100,0)</f>
        <v/>
      </c>
      <c r="F29" s="80">
        <f>VLOOKUP(B8,Db!A4:CW503,101,0)</f>
        <v/>
      </c>
      <c r="G29" s="80">
        <f>VLOOKUP(B8,Db!A4:CX503,102,0)</f>
        <v/>
      </c>
      <c r="H29" s="80">
        <f>VLOOKUP(B8,Db!A4:CY503,103,0)</f>
        <v/>
      </c>
      <c r="I29" s="80">
        <f>VLOOKUP(B8,Db!A4:CZ503,104,0)</f>
        <v/>
      </c>
      <c r="J29" s="80">
        <f>VLOOKUP(B8,Db!A4:DA503,105,0)</f>
        <v/>
      </c>
      <c r="K29" s="80">
        <f>IF(J29&gt;=70,"A",IF(J29&gt;=50,"C",IF(J29&gt;=40,"P",IF(J29&gt;=1,"F","NA"))))</f>
        <v/>
      </c>
      <c r="L29" s="109">
        <f>IF(K29="A","DISTINCTION",IF(K29="C","GOOD",IF(K29="P","PASS",IF(K29="F","FAIL",IF(K29="NA","NOT APPLICABLE","")))))</f>
        <v/>
      </c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</row>
    <row r="30" ht="22.5" customHeight="1" s="6">
      <c r="B30" s="78" t="n">
        <v>17</v>
      </c>
      <c r="C30" s="83">
        <f>Db!DB2</f>
        <v/>
      </c>
      <c r="D30" s="80">
        <f>IF(AND(G30=0,H30=0,I30=0),"--",100)</f>
        <v/>
      </c>
      <c r="E30" s="80">
        <f>VLOOKUP(B8,Db!A4:DB503,106,0)</f>
        <v/>
      </c>
      <c r="F30" s="80">
        <f>VLOOKUP(B8,Db!A4:DC503,107,0)</f>
        <v/>
      </c>
      <c r="G30" s="80">
        <f>VLOOKUP(B8,Db!A4:DD503,108,0)</f>
        <v/>
      </c>
      <c r="H30" s="80">
        <f>VLOOKUP(B8,Db!A4:DE503,109,0)</f>
        <v/>
      </c>
      <c r="I30" s="80">
        <f>VLOOKUP(B8,Db!A4:DF503,110,0)</f>
        <v/>
      </c>
      <c r="J30" s="80">
        <f>VLOOKUP(B8,Db!A4:DG503,111,0)</f>
        <v/>
      </c>
      <c r="K30" s="80">
        <f>IF(J30&gt;=70,"A",IF(J30&gt;=50,"C",IF(J30&gt;=40,"P",IF(J30&gt;=1,"F","NA"))))</f>
        <v/>
      </c>
      <c r="L30" s="109">
        <f>IF(K30="A","DISTINCTION",IF(K30="C","GOOD",IF(K30="P","PASS",IF(K30="F","FAIL",IF(K30="NA","NOT APPLICABLE","")))))</f>
        <v/>
      </c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</row>
    <row r="31" ht="33" customHeight="1" s="6">
      <c r="B31" s="140" t="inlineStr">
        <is>
          <t xml:space="preserve">TOTAL MARKS OBTAINABLE:                         </t>
        </is>
      </c>
      <c r="C31" s="141" t="n"/>
      <c r="D31" s="84">
        <f>SUM(D14:D30)</f>
        <v/>
      </c>
      <c r="E31" s="85" t="n"/>
      <c r="F31" s="85" t="n"/>
      <c r="G31" s="85" t="n"/>
      <c r="H31" s="142" t="inlineStr">
        <is>
          <t xml:space="preserve">TOTAL MARKS    OBTAINED:                                               </t>
        </is>
      </c>
      <c r="I31" s="143" t="n"/>
      <c r="J31" s="110">
        <f>SUM(J14:J30)</f>
        <v/>
      </c>
      <c r="K31" s="111" t="inlineStr">
        <is>
          <t>%</t>
        </is>
      </c>
      <c r="L31" s="112">
        <f>FLOOR(J31/D31*100,0.1)</f>
        <v/>
      </c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</row>
    <row r="32" ht="48.6" customHeight="1" s="6">
      <c r="B32" s="187" t="inlineStr">
        <is>
          <t>GRADE INTERPRETATION :::      A: DISTINCTION               C: CREDIT               P: PASS               F: FAIL</t>
        </is>
      </c>
      <c r="C32" s="141" t="n"/>
      <c r="D32" s="141" t="n"/>
      <c r="E32" s="141" t="n"/>
      <c r="F32" s="141" t="n"/>
      <c r="G32" s="141" t="n"/>
      <c r="H32" s="141" t="n"/>
      <c r="I32" s="141" t="n"/>
      <c r="J32" s="141" t="n"/>
      <c r="K32" s="141" t="n"/>
      <c r="L32" s="151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</row>
    <row r="33" ht="31.5" customHeight="1" s="6">
      <c r="B33" s="179" t="inlineStr">
        <is>
          <t>BEHAVIOURAL (AFFECTIVE DOMAIN)</t>
        </is>
      </c>
      <c r="C33" s="141" t="n"/>
      <c r="D33" s="141" t="n"/>
      <c r="E33" s="141" t="n"/>
      <c r="F33" s="141" t="n"/>
      <c r="G33" s="141" t="n"/>
      <c r="H33" s="141" t="n"/>
      <c r="I33" s="141" t="n"/>
      <c r="J33" s="141" t="n"/>
      <c r="K33" s="141" t="n"/>
      <c r="L33" s="151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</row>
    <row r="34" ht="41.45" customHeight="1" s="6">
      <c r="B34" s="174" t="inlineStr">
        <is>
          <t>PUNCTUALITY</t>
        </is>
      </c>
      <c r="C34" s="151" t="n"/>
      <c r="D34" s="174" t="inlineStr">
        <is>
          <t>NEATNESS</t>
        </is>
      </c>
      <c r="E34" s="174" t="inlineStr">
        <is>
          <t>ATTENTIVENESS</t>
        </is>
      </c>
      <c r="F34" s="174" t="inlineStr">
        <is>
          <t>RELATIONSHIP WITH OTHERS</t>
        </is>
      </c>
      <c r="G34" s="86" t="inlineStr">
        <is>
          <t>POLITENESS</t>
        </is>
      </c>
      <c r="H34" s="87" t="inlineStr">
        <is>
          <t>RESPONSIVENESS</t>
        </is>
      </c>
      <c r="I34" s="113" t="inlineStr">
        <is>
          <t>COMMITMENT</t>
        </is>
      </c>
      <c r="J34" s="114" t="inlineStr">
        <is>
          <t>CONSISTENCY</t>
        </is>
      </c>
      <c r="K34" s="115" t="inlineStr">
        <is>
          <t xml:space="preserve">TOTAL SCORE </t>
        </is>
      </c>
      <c r="L34" s="116" t="n">
        <v>40</v>
      </c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</row>
    <row r="35" ht="47.45" customHeight="1" s="6">
      <c r="B35" s="190">
        <f>VLOOKUP(B8,Db!A4:DJ503,114,0)</f>
        <v/>
      </c>
      <c r="C35" s="148" t="n"/>
      <c r="D35" s="190">
        <f>VLOOKUP(B8,Db!A4:DK503,115,0)</f>
        <v/>
      </c>
      <c r="E35" s="190">
        <f>VLOOKUP(B8,Db!A4:DL503,116,0)</f>
        <v/>
      </c>
      <c r="F35" s="190">
        <f>VLOOKUP(B8,Db!A4:DM503,117,0)</f>
        <v/>
      </c>
      <c r="G35" s="152">
        <f>VLOOKUP(B8,Db!A4:DN503,118,0)</f>
        <v/>
      </c>
      <c r="H35" s="190">
        <f>VLOOKUP(B8,Db!A4:DO503,119,0)</f>
        <v/>
      </c>
      <c r="I35" s="190">
        <f>VLOOKUP(B8,Db!A4:DP503,120,0)</f>
        <v/>
      </c>
      <c r="J35" s="190">
        <f>VLOOKUP(B8,Db!A4:DQ503,121,0)</f>
        <v/>
      </c>
      <c r="K35" s="149" t="inlineStr">
        <is>
          <t xml:space="preserve"> SCORE OBTAINED </t>
        </is>
      </c>
      <c r="L35" s="169">
        <f>SUM(B36:J36)</f>
        <v/>
      </c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</row>
    <row r="36" ht="47.45" customHeight="1" s="6">
      <c r="B36" s="185">
        <f>IF(B35="EXCELLENT(5)",5,IF(B35="GOOD(4)",4,IF(B35="AVERAGE(3)",3,IF(B35="BELOW AVERAGE(2)",2,IF(B35="FAIR(1)",1,"--")))))</f>
        <v/>
      </c>
      <c r="C36" s="148" t="n"/>
      <c r="D36" s="88">
        <f>IF(D35="EXCELLENT(5)",5,IF(D35="GOOD(4)",4,IF(D35="AVERAGE(3)",3,IF(D35="BELOW AVERAGE(2)",2,IF(D35="FAIR(1)",1,"--")))))</f>
        <v/>
      </c>
      <c r="E36" s="88">
        <f>IF(E35="EXCELLENT(5)",5,IF(E35="GOOD(4)",4,IF(E35="AVERAGE(3)",3,IF(E35="BELOW AVERAGE(2)",2,IF(E35="FAIR(1)",1,"--")))))</f>
        <v/>
      </c>
      <c r="F36" s="88">
        <f>IF(F35="EXCELLENT(5)",5,IF(F35="GOOD(4)",4,IF(F35="AVERAGE(3)",3,IF(F35="BELOW AVERAGE(2)",2,IF(F35="FAIR(1)",1,"--")))))</f>
        <v/>
      </c>
      <c r="G36" s="88">
        <f>IF(G35="EXCELLENT(5)",5,IF(G35="GOOD(4)",4,IF(G35="AVERAGE(3)",3,IF(G35="BELOW AVERAGE(2)",2,IF(G35="FAIR(1)",1,"--")))))</f>
        <v/>
      </c>
      <c r="H36" s="88">
        <f>IF(H35="EXCELLENT(5)",5,IF(H35="GOOD(4)",4,IF(H35="AVERAGE(3)",3,IF(H35="BELOW AVERAGE(2)",2,IF(H35="FAIR(1)",1,"--")))))</f>
        <v/>
      </c>
      <c r="I36" s="88">
        <f>IF(I35="EXCELLENT(5)",5,IF(I35="GOOD(4)",4,IF(I35="AVERAGE(3)",3,IF(I35="BELOW AVERAGE(2)",2,IF(I35="FAIR(1)",1,"--")))))</f>
        <v/>
      </c>
      <c r="J36" s="88">
        <f>IF(J35="EXCELLENT(5)",5,IF(J35="GOOD(4)",4,IF(J35="AVERAGE(3)",3,IF(J35="BELOW AVERAGE(2)",2,IF(J35="FAIR(1)",1,"--")))))</f>
        <v/>
      </c>
      <c r="K36" s="138" t="n"/>
      <c r="L36" s="167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</row>
    <row r="37" ht="33" customHeight="1" s="6">
      <c r="B37" s="192" t="inlineStr">
        <is>
          <t>PSYCHOMOTOR DOMAIN</t>
        </is>
      </c>
      <c r="C37" s="193" t="n"/>
      <c r="D37" s="193" t="n"/>
      <c r="E37" s="193" t="n"/>
      <c r="F37" s="193" t="n"/>
      <c r="G37" s="193" t="n"/>
      <c r="H37" s="193" t="n"/>
      <c r="I37" s="193" t="n"/>
      <c r="J37" s="193" t="n"/>
      <c r="K37" s="193" t="n"/>
      <c r="L37" s="117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</row>
    <row r="38" ht="58.5" customHeight="1" s="6">
      <c r="B38" s="170" t="inlineStr">
        <is>
          <t>CRAFTS/DRAWING &amp; PAINTING</t>
        </is>
      </c>
      <c r="C38" s="151" t="n"/>
      <c r="D38" s="170" t="inlineStr">
        <is>
          <t>TECHNICAL SKILLS</t>
        </is>
      </c>
      <c r="E38" s="89" t="inlineStr">
        <is>
          <t>ICT SKILLS</t>
        </is>
      </c>
      <c r="F38" s="89" t="inlineStr">
        <is>
          <t>GARDENING/    FARMING SKILLS</t>
        </is>
      </c>
      <c r="G38" s="89" t="inlineStr">
        <is>
          <t>GAMES &amp; SPORTS</t>
        </is>
      </c>
      <c r="H38" s="135" t="inlineStr">
        <is>
          <t>CREATIVITY &amp; INITIATIVE</t>
        </is>
      </c>
      <c r="I38" s="136" t="n"/>
      <c r="J38" s="118" t="inlineStr">
        <is>
          <t>VERBAL FLUENCY</t>
        </is>
      </c>
      <c r="K38" s="119" t="inlineStr">
        <is>
          <t xml:space="preserve">TOTAL SCORE </t>
        </is>
      </c>
      <c r="L38" s="120">
        <f>SUM(C49:I49)</f>
        <v/>
      </c>
      <c r="N38" s="104" t="n"/>
      <c r="O38" s="121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</row>
    <row r="39" ht="43.5" customHeight="1" s="6">
      <c r="B39" s="152">
        <f>VLOOKUP(B8,Db!A4:DT503,124,0)</f>
        <v/>
      </c>
      <c r="C39" s="148" t="n"/>
      <c r="D39" s="152">
        <f>VLOOKUP(B8,Db!A4:DU503,125,0)</f>
        <v/>
      </c>
      <c r="E39" s="90">
        <f>VLOOKUP(B8,Db!A4:DV503,126,0)</f>
        <v/>
      </c>
      <c r="F39" s="90">
        <f>VLOOKUP(B8,Db!A4:DW503,127,0)</f>
        <v/>
      </c>
      <c r="G39" s="90">
        <f>VLOOKUP(B8,Db!A4:DX503,128,0)</f>
        <v/>
      </c>
      <c r="H39" s="155">
        <f>VLOOKUP(B8,Db!A4:DY503,129,0)</f>
        <v/>
      </c>
      <c r="I39" s="156" t="n"/>
      <c r="J39" s="91">
        <f>VLOOKUP(B8,Db!A4:DZ503,130,0)</f>
        <v/>
      </c>
      <c r="K39" s="164" t="inlineStr">
        <is>
          <t xml:space="preserve"> SCORE OBTAINED </t>
        </is>
      </c>
      <c r="L39" s="166">
        <f>SUM(B40:K40)</f>
        <v/>
      </c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</row>
    <row r="40" ht="24" customHeight="1" s="6">
      <c r="B40" s="147">
        <f>IF(B39="EXCELLENT(5)",5,IF(B39="GOOD(4)",4,IF(B39="AVERAGE(3)",3,IF(B39="BELOW AVERAGE(2)",2,IF(B39="FAIR(1)",1,"--")))))</f>
        <v/>
      </c>
      <c r="C40" s="148" t="n"/>
      <c r="D40" s="92">
        <f>IF(D39="EXCELLENT(5)",5,IF(D39="GOOD(4)",4,IF(D39="AVERAGE(3)",3,IF(D39="BELOW AVERAGE(2)",2,IF(D39="FAIR(1)",1,"--")))))</f>
        <v/>
      </c>
      <c r="E40" s="92">
        <f>IF(E39="EXCELLENT(5)",5,IF(E39="GOOD(4)",4,IF(E39="AVERAGE(3)",3,IF(E39="BELOW AVERAGE(2)",2,IF(E39="FAIR(1)",1,"--")))))</f>
        <v/>
      </c>
      <c r="F40" s="92">
        <f>IF(F39="EXCELLENT(5)",5,IF(F39="GOOD(4)",4,IF(F39="AVERAGE(3)",3,IF(F39="BELOW AVERAGE(2)",2,IF(F39="FAIR(1)",1,"--")))))</f>
        <v/>
      </c>
      <c r="G40" s="92">
        <f>IF(G39="EXCELLENT(5)",5,IF(G39="GOOD(4)",4,IF(G39="AVERAGE(3)",3,IF(G39="BELOW AVERAGE(2)",2,IF(G39="FAIR(1)",1,"--")))))</f>
        <v/>
      </c>
      <c r="H40" s="147">
        <f>IF(H39="EXCELLENT(5)",5,IF(H39="GOOD(4)",4,IF(H39="AVERAGE(3)",3,IF(H39="BELOW AVERAGE(2)",2,IF(H39="FAIR(1)",1,"--")))))</f>
        <v/>
      </c>
      <c r="I40" s="148" t="n"/>
      <c r="J40" s="92">
        <f>IF(J39="EXCELLENT(5)",5,IF(J39="GOOD(4)",4,IF(J39="AVERAGE(3)",3,IF(J39="BELOW AVERAGE(2)",2,IF(J39="FAIR(1)",1,"--")))))</f>
        <v/>
      </c>
      <c r="K40" s="138" t="n"/>
      <c r="L40" s="167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</row>
    <row r="41" ht="50.45" customHeight="1" s="6">
      <c r="B41" s="187" t="inlineStr">
        <is>
          <t>NON-COGNITIVE ASPECTS RATING KEYS: 5-Excellent        4-Good         3-Average         2-Below Average          1-Fair</t>
        </is>
      </c>
      <c r="C41" s="141" t="n"/>
      <c r="D41" s="141" t="n"/>
      <c r="E41" s="141" t="n"/>
      <c r="F41" s="141" t="n"/>
      <c r="G41" s="141" t="n"/>
      <c r="H41" s="141" t="n"/>
      <c r="I41" s="141" t="n"/>
      <c r="J41" s="141" t="n"/>
      <c r="K41" s="141" t="n"/>
      <c r="L41" s="151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</row>
    <row r="42" ht="69.59999999999999" customFormat="1" customHeight="1" s="60">
      <c r="A42" s="93" t="n"/>
      <c r="B42" s="160" t="inlineStr">
        <is>
          <t xml:space="preserve"> Class Tutor's Comment:                          </t>
        </is>
      </c>
      <c r="C42" s="161" t="n"/>
      <c r="D42" s="144">
        <f>VLOOKUP(B8,Db!A4:EA503,131,0)</f>
        <v/>
      </c>
      <c r="E42" s="145" t="n"/>
      <c r="F42" s="145" t="n"/>
      <c r="G42" s="146" t="n"/>
      <c r="H42" s="171" t="inlineStr">
        <is>
          <t>Class Tutor's  Name:</t>
        </is>
      </c>
      <c r="I42" s="191">
        <f>VLOOKUP(B8,Db!A4:EC503,133,0)</f>
        <v/>
      </c>
      <c r="J42" s="154" t="n"/>
      <c r="K42" s="154" t="n"/>
      <c r="L42" s="148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  <c r="AA42" s="93" t="n"/>
      <c r="AB42" s="93" t="n"/>
      <c r="AC42" s="93" t="n"/>
      <c r="AD42" s="93" t="n"/>
      <c r="AE42" s="93" t="n"/>
      <c r="AF42" s="93" t="n"/>
      <c r="AG42" s="93" t="n"/>
      <c r="AH42" s="93" t="n"/>
      <c r="AI42" s="93" t="n"/>
      <c r="AJ42" s="93" t="n"/>
      <c r="AK42" s="93" t="n"/>
      <c r="AL42" s="93" t="n"/>
      <c r="AM42" s="93" t="n"/>
      <c r="AN42" s="93" t="n"/>
      <c r="AO42" s="93" t="n"/>
      <c r="AP42" s="93" t="n"/>
      <c r="AQ42" s="93" t="n"/>
      <c r="AR42" s="93" t="n"/>
      <c r="AS42" s="93" t="n"/>
      <c r="AT42" s="93" t="n"/>
      <c r="AU42" s="93" t="n"/>
      <c r="AV42" s="93" t="n"/>
      <c r="AW42" s="93" t="n"/>
      <c r="AX42" s="93" t="n"/>
      <c r="AY42" s="93" t="n"/>
      <c r="AZ42" s="93" t="n"/>
      <c r="BA42" s="93" t="n"/>
      <c r="BB42" s="93" t="n"/>
      <c r="BC42" s="93" t="n"/>
      <c r="BD42" s="93" t="n"/>
      <c r="BE42" s="93" t="n"/>
      <c r="BF42" s="93" t="n"/>
      <c r="BG42" s="93" t="n"/>
      <c r="BH42" s="93" t="n"/>
      <c r="BI42" s="93" t="n"/>
      <c r="BJ42" s="93" t="n"/>
      <c r="BK42" s="93" t="n"/>
      <c r="BL42" s="93" t="n"/>
      <c r="BM42" s="93" t="n"/>
      <c r="BN42" s="93" t="n"/>
      <c r="BO42" s="93" t="n"/>
      <c r="BP42" s="93" t="n"/>
      <c r="BQ42" s="93" t="n"/>
      <c r="BR42" s="93" t="n"/>
      <c r="BS42" s="93" t="n"/>
      <c r="BT42" s="93" t="n"/>
      <c r="BU42" s="93" t="n"/>
      <c r="BV42" s="93" t="n"/>
      <c r="BW42" s="93" t="n"/>
      <c r="BX42" s="93" t="n"/>
    </row>
    <row r="43" ht="48.95" customFormat="1" customHeight="1" s="60">
      <c r="A43" s="93" t="n"/>
      <c r="B43" s="150" t="inlineStr">
        <is>
          <t xml:space="preserve">Principal´s Comment: </t>
        </is>
      </c>
      <c r="C43" s="151" t="n"/>
      <c r="D43" s="153">
        <f>VLOOKUP(B8,Db!A4:EB503,132,0)</f>
        <v/>
      </c>
      <c r="E43" s="154" t="n"/>
      <c r="F43" s="154" t="n"/>
      <c r="G43" s="154" t="n"/>
      <c r="H43" s="154" t="n"/>
      <c r="I43" s="148" t="n"/>
      <c r="J43" s="122" t="inlineStr">
        <is>
          <t>Parent Signature:</t>
        </is>
      </c>
      <c r="K43" s="172" t="n"/>
      <c r="L43" s="151" t="n"/>
      <c r="M43" s="93" t="n"/>
      <c r="N43" s="12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93" t="n"/>
      <c r="AU43" s="93" t="n"/>
      <c r="AV43" s="93" t="n"/>
      <c r="AW43" s="93" t="n"/>
      <c r="AX43" s="93" t="n"/>
      <c r="AY43" s="93" t="n"/>
      <c r="AZ43" s="93" t="n"/>
      <c r="BA43" s="93" t="n"/>
      <c r="BB43" s="93" t="n"/>
      <c r="BC43" s="93" t="n"/>
      <c r="BD43" s="93" t="n"/>
      <c r="BE43" s="93" t="n"/>
      <c r="BF43" s="93" t="n"/>
      <c r="BG43" s="93" t="n"/>
      <c r="BH43" s="93" t="n"/>
      <c r="BI43" s="93" t="n"/>
      <c r="BJ43" s="93" t="n"/>
      <c r="BK43" s="93" t="n"/>
      <c r="BL43" s="93" t="n"/>
      <c r="BM43" s="93" t="n"/>
      <c r="BN43" s="93" t="n"/>
      <c r="BO43" s="93" t="n"/>
      <c r="BP43" s="93" t="n"/>
      <c r="BQ43" s="93" t="n"/>
      <c r="BR43" s="93" t="n"/>
      <c r="BS43" s="93" t="n"/>
      <c r="BT43" s="93" t="n"/>
      <c r="BU43" s="93" t="n"/>
      <c r="BV43" s="93" t="n"/>
      <c r="BW43" s="93" t="n"/>
      <c r="BX43" s="93" t="n"/>
    </row>
    <row r="44" ht="60.95" customFormat="1" customHeight="1" s="60">
      <c r="A44" s="93" t="n"/>
      <c r="B44" s="171" t="inlineStr">
        <is>
          <t>Principal´s Signature/Stamp:</t>
        </is>
      </c>
      <c r="C44" s="141" t="n"/>
      <c r="D44" s="177" t="n"/>
      <c r="E44" s="141" t="n"/>
      <c r="F44" s="141" t="n"/>
      <c r="G44" s="141" t="n"/>
      <c r="H44" s="141" t="n"/>
      <c r="I44" s="141" t="n"/>
      <c r="J44" s="141" t="n"/>
      <c r="K44" s="141" t="n"/>
      <c r="L44" s="151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  <c r="AA44" s="93" t="n"/>
      <c r="AB44" s="93" t="n"/>
      <c r="AC44" s="93" t="n"/>
      <c r="AD44" s="93" t="n"/>
      <c r="AE44" s="93" t="n"/>
      <c r="AF44" s="93" t="n"/>
      <c r="AG44" s="93" t="n"/>
      <c r="AH44" s="93" t="n"/>
      <c r="AI44" s="93" t="n"/>
      <c r="AJ44" s="93" t="n"/>
      <c r="AK44" s="93" t="n"/>
      <c r="AL44" s="93" t="n"/>
      <c r="AM44" s="93" t="n"/>
      <c r="AN44" s="93" t="n"/>
      <c r="AO44" s="93" t="n"/>
      <c r="AP44" s="93" t="n"/>
      <c r="AQ44" s="93" t="n"/>
      <c r="AR44" s="93" t="n"/>
      <c r="AS44" s="93" t="n"/>
      <c r="AT44" s="93" t="n"/>
      <c r="AU44" s="93" t="n"/>
      <c r="AV44" s="93" t="n"/>
      <c r="AW44" s="93" t="n"/>
      <c r="AX44" s="93" t="n"/>
      <c r="AY44" s="93" t="n"/>
      <c r="AZ44" s="93" t="n"/>
      <c r="BA44" s="93" t="n"/>
      <c r="BB44" s="93" t="n"/>
      <c r="BC44" s="93" t="n"/>
      <c r="BD44" s="93" t="n"/>
      <c r="BE44" s="93" t="n"/>
      <c r="BF44" s="93" t="n"/>
      <c r="BG44" s="93" t="n"/>
      <c r="BH44" s="93" t="n"/>
      <c r="BI44" s="93" t="n"/>
      <c r="BJ44" s="93" t="n"/>
      <c r="BK44" s="93" t="n"/>
      <c r="BL44" s="93" t="n"/>
      <c r="BM44" s="93" t="n"/>
      <c r="BN44" s="93" t="n"/>
      <c r="BO44" s="93" t="n"/>
      <c r="BP44" s="93" t="n"/>
      <c r="BQ44" s="93" t="n"/>
      <c r="BR44" s="93" t="n"/>
      <c r="BS44" s="93" t="n"/>
      <c r="BT44" s="93" t="n"/>
      <c r="BU44" s="93" t="n"/>
      <c r="BV44" s="93" t="n"/>
      <c r="BW44" s="93" t="n"/>
      <c r="BX44" s="93" t="n"/>
    </row>
    <row r="45" ht="66.95" customHeight="1" s="6">
      <c r="B45" s="175">
        <f>VLOOKUP(B8,Db!A4:ED503,134,0)</f>
        <v/>
      </c>
      <c r="C45" s="154" t="n"/>
      <c r="D45" s="154" t="n"/>
      <c r="E45" s="154" t="n"/>
      <c r="F45" s="154" t="n"/>
      <c r="G45" s="148" t="n"/>
      <c r="H45" s="94" t="n"/>
      <c r="I45" s="168" t="inlineStr">
        <is>
          <t>POWERED BY PLANNING, RESEARCH AND STATISTICS DEPARTMENT, EMIS UNIT</t>
        </is>
      </c>
      <c r="J45" s="141" t="n"/>
      <c r="K45" s="141" t="n"/>
      <c r="L45" s="151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</row>
    <row r="46" ht="21.75" customFormat="1" customHeight="1" s="104">
      <c r="B46" s="95" t="n"/>
    </row>
    <row r="47" customFormat="1" s="104">
      <c r="B47" s="64" t="n"/>
    </row>
    <row r="48" customFormat="1" s="104">
      <c r="B48" s="64" t="n"/>
    </row>
    <row r="49" customFormat="1" s="104">
      <c r="B49" s="64" t="n"/>
      <c r="C49" s="96">
        <f>IF(B39="EXCELLENT(5)",5,IF(B39="GOOD(4)",5,IF(B39="AVERAGE(3)",5,IF(B39="BELOW AVERAGE(2)",5,IF(B39="FAIR(1)",5,0)))))</f>
        <v/>
      </c>
      <c r="D49" s="96">
        <f>IF(D39="EXCELLENT(5)",5,IF(D39="GOOD(4)",5,IF(D39="AVERAGE(3)",5,IF(D39="BELOW AVERAGE(2)",5,IF(D39="FAIR(1)",5,0)))))</f>
        <v/>
      </c>
      <c r="E49" s="96">
        <f>IF(E39="EXCELLENT(5)",5,IF(E39="GOOD(4)",5,IF(E39="AVERAGE(3)",5,IF(E39="BELOW AVERAGE(2)",5,IF(E39="FAIR(1)",5,0)))))</f>
        <v/>
      </c>
      <c r="F49" s="96">
        <f>IF(F39="EXCELLENT(5)",5,IF(F39="GOOD(4)",5,IF(F39="AVERAGE(3)",5,IF(F39="BELOW AVERAGE(2)",5,IF(F39="FAIR(1)",5,0)))))</f>
        <v/>
      </c>
      <c r="G49" s="96">
        <f>IF(G39="EXCELLENT(5)",5,IF(G39="GOOD(4)",5,IF(G39="AVERAGE(3)",5,IF(G39="BELOW AVERAGE(2)",5,IF(G39="FAIR(1)",5,0)))))</f>
        <v/>
      </c>
      <c r="H49" s="96">
        <f>IF(H39="EXCELLENT(5)",5,IF(H39="GOOD(4)",5,IF(H39="AVERAGE(3)",5,IF(H39="BELOW AVERAGE(2)",5,IF(H39="FAIR(1)",5,0)))))</f>
        <v/>
      </c>
      <c r="I49" s="96">
        <f>IF(J39="EXCELLENT(5)",5,IF(J39="GOOD(4)",5,IF(J39="AVERAGE(3)",5,IF(J39="BELOW AVERAGE(2)",5,IF(J39="FAIR(1)",5,0)))))</f>
        <v/>
      </c>
      <c r="J49" s="124" t="n"/>
      <c r="K49" s="121" t="n"/>
    </row>
    <row r="50" customFormat="1" s="104">
      <c r="B50" s="64" t="n"/>
    </row>
    <row r="51" customFormat="1" s="104">
      <c r="B51" s="64" t="n"/>
      <c r="H51" s="97" t="n"/>
    </row>
    <row r="52" customFormat="1" s="104">
      <c r="B52" s="64" t="n"/>
    </row>
    <row r="53">
      <c r="B53" s="64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</row>
    <row r="54">
      <c r="B54" s="6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</row>
    <row r="55">
      <c r="B55" s="64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</row>
    <row r="56">
      <c r="B56" s="6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</row>
    <row r="57">
      <c r="B57" s="6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</row>
    <row r="58">
      <c r="B58" s="64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</row>
    <row r="59">
      <c r="B59" s="6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</row>
    <row r="60">
      <c r="B60" s="64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</row>
    <row r="61">
      <c r="B61" s="6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21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</row>
    <row r="62">
      <c r="B62" s="6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</row>
    <row r="63">
      <c r="B63" s="64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</row>
    <row r="64">
      <c r="B64" s="6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</row>
    <row r="65">
      <c r="B65" s="64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</row>
    <row r="66">
      <c r="B66" s="64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</row>
    <row r="67">
      <c r="B67" s="64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</row>
    <row r="68">
      <c r="B68" s="64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</row>
    <row r="69">
      <c r="B69" s="6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</row>
    <row r="70">
      <c r="B70" s="6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</row>
    <row r="71">
      <c r="B71" s="64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</row>
    <row r="72">
      <c r="B72" s="64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</row>
    <row r="73">
      <c r="B73" s="64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</row>
    <row r="74">
      <c r="B74" s="64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</row>
    <row r="75">
      <c r="B75" s="64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</row>
    <row r="76">
      <c r="B76" s="6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</row>
    <row r="77">
      <c r="B77" s="6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</row>
    <row r="78">
      <c r="B78" s="64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</row>
    <row r="79">
      <c r="B79" s="64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</row>
    <row r="80">
      <c r="B80" s="64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</row>
    <row r="81">
      <c r="B81" s="64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</row>
    <row r="82">
      <c r="B82" s="6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</row>
    <row r="83">
      <c r="B83" s="6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</row>
    <row r="84">
      <c r="B84" s="64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</row>
    <row r="85">
      <c r="B85" s="64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</row>
    <row r="86">
      <c r="B86" s="6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</row>
    <row r="87">
      <c r="B87" s="64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</row>
    <row r="88">
      <c r="B88" s="64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</row>
    <row r="89">
      <c r="B89" s="64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</row>
    <row r="90">
      <c r="B90" s="64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</row>
    <row r="91">
      <c r="B91" s="6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</row>
    <row r="92">
      <c r="B92" s="6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</row>
    <row r="93">
      <c r="B93" s="64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</row>
    <row r="94">
      <c r="B94" s="64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</row>
    <row r="95">
      <c r="B95" s="64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</row>
    <row r="96">
      <c r="B96" s="6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</row>
    <row r="97">
      <c r="B97" s="6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N97" s="104" t="n"/>
      <c r="O97" s="104" t="n"/>
      <c r="P97" s="104" t="n"/>
      <c r="Q97" s="104" t="n"/>
      <c r="R97" s="104" t="n"/>
      <c r="S97" s="104" t="n"/>
      <c r="T97" s="104" t="n"/>
      <c r="U97" s="104" t="n"/>
      <c r="V97" s="104" t="n"/>
      <c r="W97" s="104" t="n"/>
      <c r="X97" s="104" t="n"/>
      <c r="Y97" s="104" t="n"/>
      <c r="Z97" s="104" t="n"/>
      <c r="AA97" s="104" t="n"/>
      <c r="AB97" s="104" t="n"/>
      <c r="AC97" s="104" t="n"/>
      <c r="AD97" s="104" t="n"/>
      <c r="AE97" s="104" t="n"/>
      <c r="AF97" s="104" t="n"/>
      <c r="AG97" s="104" t="n"/>
      <c r="AH97" s="104" t="n"/>
      <c r="AI97" s="104" t="n"/>
      <c r="AJ97" s="104" t="n"/>
      <c r="AK97" s="104" t="n"/>
      <c r="AL97" s="104" t="n"/>
      <c r="AM97" s="104" t="n"/>
      <c r="AN97" s="104" t="n"/>
      <c r="AO97" s="104" t="n"/>
      <c r="AP97" s="104" t="n"/>
      <c r="AQ97" s="104" t="n"/>
      <c r="AR97" s="104" t="n"/>
      <c r="AS97" s="104" t="n"/>
      <c r="AT97" s="104" t="n"/>
      <c r="AU97" s="104" t="n"/>
      <c r="AV97" s="104" t="n"/>
      <c r="AW97" s="104" t="n"/>
      <c r="AX97" s="104" t="n"/>
      <c r="AY97" s="104" t="n"/>
      <c r="AZ97" s="104" t="n"/>
      <c r="BA97" s="104" t="n"/>
      <c r="BB97" s="104" t="n"/>
      <c r="BC97" s="104" t="n"/>
      <c r="BD97" s="104" t="n"/>
      <c r="BE97" s="104" t="n"/>
      <c r="BF97" s="104" t="n"/>
      <c r="BG97" s="104" t="n"/>
      <c r="BH97" s="104" t="n"/>
      <c r="BI97" s="104" t="n"/>
      <c r="BJ97" s="104" t="n"/>
      <c r="BK97" s="104" t="n"/>
      <c r="BL97" s="104" t="n"/>
      <c r="BM97" s="104" t="n"/>
      <c r="BN97" s="104" t="n"/>
      <c r="BO97" s="104" t="n"/>
      <c r="BP97" s="104" t="n"/>
      <c r="BQ97" s="104" t="n"/>
      <c r="BR97" s="104" t="n"/>
      <c r="BS97" s="104" t="n"/>
      <c r="BT97" s="104" t="n"/>
      <c r="BU97" s="104" t="n"/>
      <c r="BV97" s="104" t="n"/>
      <c r="BW97" s="104" t="n"/>
      <c r="BX97" s="104" t="n"/>
    </row>
    <row r="98">
      <c r="B98" s="64" t="n"/>
      <c r="C98" s="104" t="n"/>
      <c r="D98" s="104" t="n"/>
      <c r="E98" s="104" t="n"/>
      <c r="F98" s="104" t="n"/>
      <c r="G98" s="104" t="n"/>
      <c r="H98" s="104" t="n"/>
      <c r="I98" s="104" t="n"/>
      <c r="J98" s="104" t="n"/>
      <c r="K98" s="104" t="n"/>
      <c r="L98" s="104" t="n"/>
      <c r="N98" s="104" t="n"/>
      <c r="O98" s="104" t="n"/>
      <c r="P98" s="104" t="n"/>
      <c r="Q98" s="104" t="n"/>
      <c r="R98" s="104" t="n"/>
      <c r="S98" s="104" t="n"/>
      <c r="T98" s="104" t="n"/>
      <c r="U98" s="104" t="n"/>
      <c r="V98" s="104" t="n"/>
      <c r="W98" s="104" t="n"/>
      <c r="X98" s="104" t="n"/>
      <c r="Y98" s="104" t="n"/>
      <c r="Z98" s="104" t="n"/>
      <c r="AA98" s="104" t="n"/>
      <c r="AB98" s="104" t="n"/>
      <c r="AC98" s="104" t="n"/>
      <c r="AD98" s="104" t="n"/>
      <c r="AE98" s="104" t="n"/>
      <c r="AF98" s="104" t="n"/>
      <c r="AG98" s="104" t="n"/>
      <c r="AH98" s="104" t="n"/>
      <c r="AI98" s="104" t="n"/>
      <c r="AJ98" s="104" t="n"/>
      <c r="AK98" s="104" t="n"/>
      <c r="AL98" s="104" t="n"/>
      <c r="AM98" s="104" t="n"/>
      <c r="AN98" s="104" t="n"/>
      <c r="AO98" s="104" t="n"/>
      <c r="AP98" s="104" t="n"/>
      <c r="AQ98" s="104" t="n"/>
      <c r="AR98" s="104" t="n"/>
      <c r="AS98" s="104" t="n"/>
      <c r="AT98" s="104" t="n"/>
      <c r="AU98" s="104" t="n"/>
      <c r="AV98" s="104" t="n"/>
      <c r="AW98" s="104" t="n"/>
      <c r="AX98" s="104" t="n"/>
      <c r="AY98" s="104" t="n"/>
      <c r="AZ98" s="104" t="n"/>
      <c r="BA98" s="104" t="n"/>
      <c r="BB98" s="104" t="n"/>
      <c r="BC98" s="104" t="n"/>
      <c r="BD98" s="104" t="n"/>
      <c r="BE98" s="104" t="n"/>
      <c r="BF98" s="104" t="n"/>
      <c r="BG98" s="104" t="n"/>
      <c r="BH98" s="104" t="n"/>
      <c r="BI98" s="104" t="n"/>
      <c r="BJ98" s="104" t="n"/>
      <c r="BK98" s="104" t="n"/>
      <c r="BL98" s="104" t="n"/>
      <c r="BM98" s="104" t="n"/>
      <c r="BN98" s="104" t="n"/>
      <c r="BO98" s="104" t="n"/>
      <c r="BP98" s="104" t="n"/>
      <c r="BQ98" s="104" t="n"/>
      <c r="BR98" s="104" t="n"/>
      <c r="BS98" s="104" t="n"/>
      <c r="BT98" s="104" t="n"/>
      <c r="BU98" s="104" t="n"/>
      <c r="BV98" s="104" t="n"/>
      <c r="BW98" s="104" t="n"/>
      <c r="BX98" s="104" t="n"/>
    </row>
    <row r="99">
      <c r="B99" s="64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N99" s="104" t="n"/>
      <c r="O99" s="104" t="n"/>
      <c r="P99" s="104" t="n"/>
      <c r="Q99" s="104" t="n"/>
      <c r="R99" s="104" t="n"/>
      <c r="S99" s="104" t="n"/>
      <c r="T99" s="104" t="n"/>
      <c r="U99" s="104" t="n"/>
      <c r="V99" s="104" t="n"/>
      <c r="W99" s="104" t="n"/>
      <c r="X99" s="104" t="n"/>
      <c r="Y99" s="104" t="n"/>
      <c r="Z99" s="104" t="n"/>
      <c r="AA99" s="104" t="n"/>
      <c r="AB99" s="104" t="n"/>
      <c r="AC99" s="104" t="n"/>
      <c r="AD99" s="104" t="n"/>
      <c r="AE99" s="104" t="n"/>
      <c r="AF99" s="104" t="n"/>
      <c r="AG99" s="104" t="n"/>
      <c r="AH99" s="104" t="n"/>
      <c r="AI99" s="104" t="n"/>
      <c r="AJ99" s="104" t="n"/>
      <c r="AK99" s="104" t="n"/>
      <c r="AL99" s="104" t="n"/>
      <c r="AM99" s="104" t="n"/>
      <c r="AN99" s="104" t="n"/>
      <c r="AO99" s="104" t="n"/>
      <c r="AP99" s="104" t="n"/>
      <c r="AQ99" s="104" t="n"/>
      <c r="AR99" s="104" t="n"/>
      <c r="AS99" s="104" t="n"/>
      <c r="AT99" s="104" t="n"/>
      <c r="AU99" s="104" t="n"/>
      <c r="AV99" s="104" t="n"/>
      <c r="AW99" s="104" t="n"/>
      <c r="AX99" s="104" t="n"/>
      <c r="AY99" s="104" t="n"/>
      <c r="AZ99" s="104" t="n"/>
      <c r="BA99" s="104" t="n"/>
      <c r="BB99" s="104" t="n"/>
      <c r="BC99" s="104" t="n"/>
      <c r="BD99" s="104" t="n"/>
      <c r="BE99" s="104" t="n"/>
      <c r="BF99" s="104" t="n"/>
      <c r="BG99" s="104" t="n"/>
      <c r="BH99" s="104" t="n"/>
      <c r="BI99" s="104" t="n"/>
      <c r="BJ99" s="104" t="n"/>
      <c r="BK99" s="104" t="n"/>
      <c r="BL99" s="104" t="n"/>
      <c r="BM99" s="104" t="n"/>
      <c r="BN99" s="104" t="n"/>
      <c r="BO99" s="104" t="n"/>
      <c r="BP99" s="104" t="n"/>
      <c r="BQ99" s="104" t="n"/>
      <c r="BR99" s="104" t="n"/>
      <c r="BS99" s="104" t="n"/>
      <c r="BT99" s="104" t="n"/>
      <c r="BU99" s="104" t="n"/>
      <c r="BV99" s="104" t="n"/>
      <c r="BW99" s="104" t="n"/>
      <c r="BX99" s="104" t="n"/>
    </row>
    <row r="100">
      <c r="B100" s="64" t="n"/>
      <c r="C100" s="104" t="n"/>
      <c r="D100" s="104" t="n"/>
      <c r="E100" s="104" t="n"/>
      <c r="F100" s="104" t="n"/>
      <c r="G100" s="104" t="n"/>
      <c r="H100" s="104" t="n"/>
      <c r="I100" s="104" t="n"/>
      <c r="J100" s="104" t="n"/>
      <c r="K100" s="104" t="n"/>
      <c r="L100" s="104" t="n"/>
      <c r="N100" s="104" t="n"/>
      <c r="O100" s="104" t="n"/>
      <c r="P100" s="104" t="n"/>
      <c r="Q100" s="104" t="n"/>
      <c r="R100" s="104" t="n"/>
      <c r="S100" s="104" t="n"/>
      <c r="T100" s="104" t="n"/>
      <c r="U100" s="104" t="n"/>
      <c r="V100" s="104" t="n"/>
      <c r="W100" s="104" t="n"/>
      <c r="X100" s="104" t="n"/>
      <c r="Y100" s="104" t="n"/>
      <c r="Z100" s="104" t="n"/>
      <c r="AA100" s="104" t="n"/>
      <c r="AB100" s="104" t="n"/>
      <c r="AC100" s="104" t="n"/>
      <c r="AD100" s="104" t="n"/>
      <c r="AE100" s="104" t="n"/>
      <c r="AF100" s="104" t="n"/>
      <c r="AG100" s="104" t="n"/>
      <c r="AH100" s="104" t="n"/>
      <c r="AI100" s="104" t="n"/>
      <c r="AJ100" s="104" t="n"/>
      <c r="AK100" s="104" t="n"/>
      <c r="AL100" s="104" t="n"/>
      <c r="AM100" s="104" t="n"/>
      <c r="AN100" s="104" t="n"/>
      <c r="AO100" s="104" t="n"/>
      <c r="AP100" s="104" t="n"/>
      <c r="AQ100" s="104" t="n"/>
      <c r="AR100" s="104" t="n"/>
      <c r="AS100" s="104" t="n"/>
      <c r="AT100" s="104" t="n"/>
      <c r="AU100" s="104" t="n"/>
      <c r="AV100" s="104" t="n"/>
      <c r="AW100" s="104" t="n"/>
      <c r="AX100" s="104" t="n"/>
      <c r="AY100" s="104" t="n"/>
      <c r="AZ100" s="104" t="n"/>
      <c r="BA100" s="104" t="n"/>
      <c r="BB100" s="104" t="n"/>
      <c r="BC100" s="104" t="n"/>
      <c r="BD100" s="104" t="n"/>
      <c r="BE100" s="104" t="n"/>
      <c r="BF100" s="104" t="n"/>
      <c r="BG100" s="104" t="n"/>
      <c r="BH100" s="104" t="n"/>
      <c r="BI100" s="104" t="n"/>
      <c r="BJ100" s="104" t="n"/>
      <c r="BK100" s="104" t="n"/>
      <c r="BL100" s="104" t="n"/>
      <c r="BM100" s="104" t="n"/>
      <c r="BN100" s="104" t="n"/>
      <c r="BO100" s="104" t="n"/>
      <c r="BP100" s="104" t="n"/>
      <c r="BQ100" s="104" t="n"/>
      <c r="BR100" s="104" t="n"/>
      <c r="BS100" s="104" t="n"/>
      <c r="BT100" s="104" t="n"/>
      <c r="BU100" s="104" t="n"/>
      <c r="BV100" s="104" t="n"/>
      <c r="BW100" s="104" t="n"/>
      <c r="BX100" s="104" t="n"/>
    </row>
    <row r="101">
      <c r="B101" s="6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N101" s="104" t="n"/>
      <c r="O101" s="104" t="n"/>
      <c r="P101" s="104" t="n"/>
      <c r="Q101" s="104" t="n"/>
      <c r="R101" s="104" t="n"/>
      <c r="S101" s="104" t="n"/>
      <c r="T101" s="104" t="n"/>
      <c r="U101" s="104" t="n"/>
      <c r="V101" s="104" t="n"/>
      <c r="W101" s="104" t="n"/>
      <c r="X101" s="104" t="n"/>
      <c r="Y101" s="104" t="n"/>
      <c r="Z101" s="104" t="n"/>
      <c r="AA101" s="104" t="n"/>
      <c r="AB101" s="104" t="n"/>
      <c r="AC101" s="104" t="n"/>
      <c r="AD101" s="104" t="n"/>
      <c r="AE101" s="104" t="n"/>
      <c r="AF101" s="104" t="n"/>
      <c r="AG101" s="104" t="n"/>
      <c r="AH101" s="104" t="n"/>
      <c r="AI101" s="104" t="n"/>
      <c r="AJ101" s="104" t="n"/>
      <c r="AK101" s="104" t="n"/>
      <c r="AL101" s="104" t="n"/>
      <c r="AM101" s="104" t="n"/>
      <c r="AN101" s="104" t="n"/>
      <c r="AO101" s="104" t="n"/>
      <c r="AP101" s="104" t="n"/>
      <c r="AQ101" s="104" t="n"/>
      <c r="AR101" s="104" t="n"/>
      <c r="AS101" s="104" t="n"/>
      <c r="AT101" s="104" t="n"/>
      <c r="AU101" s="104" t="n"/>
      <c r="AV101" s="104" t="n"/>
      <c r="AW101" s="104" t="n"/>
      <c r="AX101" s="104" t="n"/>
      <c r="AY101" s="104" t="n"/>
      <c r="AZ101" s="104" t="n"/>
      <c r="BA101" s="104" t="n"/>
      <c r="BB101" s="104" t="n"/>
      <c r="BC101" s="104" t="n"/>
      <c r="BD101" s="104" t="n"/>
      <c r="BE101" s="104" t="n"/>
      <c r="BF101" s="104" t="n"/>
      <c r="BG101" s="104" t="n"/>
      <c r="BH101" s="104" t="n"/>
      <c r="BI101" s="104" t="n"/>
      <c r="BJ101" s="104" t="n"/>
      <c r="BK101" s="104" t="n"/>
      <c r="BL101" s="104" t="n"/>
      <c r="BM101" s="104" t="n"/>
      <c r="BN101" s="104" t="n"/>
      <c r="BO101" s="104" t="n"/>
      <c r="BP101" s="104" t="n"/>
      <c r="BQ101" s="104" t="n"/>
      <c r="BR101" s="104" t="n"/>
      <c r="BS101" s="104" t="n"/>
      <c r="BT101" s="104" t="n"/>
      <c r="BU101" s="104" t="n"/>
      <c r="BV101" s="104" t="n"/>
      <c r="BW101" s="104" t="n"/>
      <c r="BX101" s="104" t="n"/>
    </row>
    <row r="102">
      <c r="B102" s="64" t="n"/>
      <c r="C102" s="104" t="n"/>
      <c r="D102" s="104" t="n"/>
      <c r="E102" s="104" t="n"/>
      <c r="F102" s="104" t="n"/>
      <c r="G102" s="104" t="n"/>
      <c r="H102" s="104" t="n"/>
      <c r="I102" s="104" t="n"/>
      <c r="J102" s="104" t="n"/>
      <c r="K102" s="104" t="n"/>
      <c r="L102" s="104" t="n"/>
      <c r="N102" s="104" t="n"/>
      <c r="O102" s="104" t="n"/>
      <c r="P102" s="104" t="n"/>
      <c r="Q102" s="104" t="n"/>
      <c r="R102" s="104" t="n"/>
      <c r="S102" s="104" t="n"/>
      <c r="T102" s="104" t="n"/>
      <c r="U102" s="104" t="n"/>
      <c r="V102" s="104" t="n"/>
      <c r="W102" s="104" t="n"/>
      <c r="X102" s="104" t="n"/>
      <c r="Y102" s="104" t="n"/>
      <c r="Z102" s="104" t="n"/>
      <c r="AA102" s="104" t="n"/>
      <c r="AB102" s="104" t="n"/>
      <c r="AC102" s="104" t="n"/>
      <c r="AD102" s="104" t="n"/>
      <c r="AE102" s="104" t="n"/>
      <c r="AF102" s="104" t="n"/>
      <c r="AG102" s="104" t="n"/>
      <c r="AH102" s="104" t="n"/>
      <c r="AI102" s="104" t="n"/>
      <c r="AJ102" s="104" t="n"/>
      <c r="AK102" s="104" t="n"/>
      <c r="AL102" s="104" t="n"/>
      <c r="AM102" s="104" t="n"/>
      <c r="AN102" s="104" t="n"/>
      <c r="AO102" s="104" t="n"/>
      <c r="AP102" s="104" t="n"/>
      <c r="AQ102" s="104" t="n"/>
      <c r="AR102" s="104" t="n"/>
      <c r="AS102" s="104" t="n"/>
      <c r="AT102" s="104" t="n"/>
      <c r="AU102" s="104" t="n"/>
      <c r="AV102" s="104" t="n"/>
      <c r="AW102" s="104" t="n"/>
      <c r="AX102" s="104" t="n"/>
      <c r="AY102" s="104" t="n"/>
      <c r="AZ102" s="104" t="n"/>
      <c r="BA102" s="104" t="n"/>
      <c r="BB102" s="104" t="n"/>
      <c r="BC102" s="104" t="n"/>
      <c r="BD102" s="104" t="n"/>
      <c r="BE102" s="104" t="n"/>
      <c r="BF102" s="104" t="n"/>
      <c r="BG102" s="104" t="n"/>
      <c r="BH102" s="104" t="n"/>
      <c r="BI102" s="104" t="n"/>
      <c r="BJ102" s="104" t="n"/>
      <c r="BK102" s="104" t="n"/>
      <c r="BL102" s="104" t="n"/>
      <c r="BM102" s="104" t="n"/>
      <c r="BN102" s="104" t="n"/>
      <c r="BO102" s="104" t="n"/>
      <c r="BP102" s="104" t="n"/>
      <c r="BQ102" s="104" t="n"/>
      <c r="BR102" s="104" t="n"/>
      <c r="BS102" s="104" t="n"/>
      <c r="BT102" s="104" t="n"/>
      <c r="BU102" s="104" t="n"/>
      <c r="BV102" s="104" t="n"/>
      <c r="BW102" s="104" t="n"/>
      <c r="BX102" s="104" t="n"/>
    </row>
    <row r="103">
      <c r="B103" s="64" t="n"/>
      <c r="C103" s="104" t="n"/>
      <c r="D103" s="104" t="n"/>
      <c r="E103" s="104" t="n"/>
      <c r="F103" s="104" t="n"/>
      <c r="G103" s="104" t="n"/>
      <c r="H103" s="104" t="n"/>
      <c r="I103" s="104" t="n"/>
      <c r="J103" s="104" t="n"/>
      <c r="K103" s="104" t="n"/>
      <c r="L103" s="104" t="n"/>
      <c r="N103" s="104" t="n"/>
      <c r="O103" s="104" t="n"/>
      <c r="P103" s="104" t="n"/>
      <c r="Q103" s="104" t="n"/>
      <c r="R103" s="104" t="n"/>
      <c r="S103" s="104" t="n"/>
      <c r="T103" s="104" t="n"/>
      <c r="U103" s="104" t="n"/>
      <c r="V103" s="104" t="n"/>
      <c r="W103" s="104" t="n"/>
      <c r="X103" s="104" t="n"/>
      <c r="Y103" s="104" t="n"/>
      <c r="Z103" s="104" t="n"/>
      <c r="AA103" s="104" t="n"/>
      <c r="AB103" s="104" t="n"/>
      <c r="AC103" s="104" t="n"/>
      <c r="AD103" s="104" t="n"/>
      <c r="AE103" s="104" t="n"/>
      <c r="AF103" s="104" t="n"/>
      <c r="AG103" s="104" t="n"/>
      <c r="AH103" s="104" t="n"/>
      <c r="AI103" s="104" t="n"/>
      <c r="AJ103" s="104" t="n"/>
      <c r="AK103" s="104" t="n"/>
      <c r="AL103" s="104" t="n"/>
      <c r="AM103" s="104" t="n"/>
      <c r="AN103" s="104" t="n"/>
      <c r="AO103" s="104" t="n"/>
      <c r="AP103" s="104" t="n"/>
      <c r="AQ103" s="104" t="n"/>
      <c r="AR103" s="104" t="n"/>
      <c r="AS103" s="104" t="n"/>
      <c r="AT103" s="104" t="n"/>
      <c r="AU103" s="104" t="n"/>
      <c r="AV103" s="104" t="n"/>
      <c r="AW103" s="104" t="n"/>
      <c r="AX103" s="104" t="n"/>
      <c r="AY103" s="104" t="n"/>
      <c r="AZ103" s="104" t="n"/>
      <c r="BA103" s="104" t="n"/>
      <c r="BB103" s="104" t="n"/>
      <c r="BC103" s="104" t="n"/>
      <c r="BD103" s="104" t="n"/>
      <c r="BE103" s="104" t="n"/>
      <c r="BF103" s="104" t="n"/>
      <c r="BG103" s="104" t="n"/>
      <c r="BH103" s="104" t="n"/>
      <c r="BI103" s="104" t="n"/>
      <c r="BJ103" s="104" t="n"/>
      <c r="BK103" s="104" t="n"/>
      <c r="BL103" s="104" t="n"/>
      <c r="BM103" s="104" t="n"/>
      <c r="BN103" s="104" t="n"/>
      <c r="BO103" s="104" t="n"/>
      <c r="BP103" s="104" t="n"/>
      <c r="BQ103" s="104" t="n"/>
      <c r="BR103" s="104" t="n"/>
      <c r="BS103" s="104" t="n"/>
      <c r="BT103" s="104" t="n"/>
      <c r="BU103" s="104" t="n"/>
      <c r="BV103" s="104" t="n"/>
      <c r="BW103" s="104" t="n"/>
      <c r="BX103" s="104" t="n"/>
    </row>
    <row r="104">
      <c r="B104" s="6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N104" s="104" t="n"/>
      <c r="O104" s="104" t="n"/>
      <c r="P104" s="104" t="n"/>
      <c r="Q104" s="104" t="n"/>
      <c r="R104" s="104" t="n"/>
      <c r="S104" s="104" t="n"/>
      <c r="T104" s="104" t="n"/>
      <c r="U104" s="104" t="n"/>
      <c r="V104" s="104" t="n"/>
      <c r="W104" s="104" t="n"/>
      <c r="X104" s="104" t="n"/>
      <c r="Y104" s="104" t="n"/>
      <c r="Z104" s="104" t="n"/>
      <c r="AA104" s="104" t="n"/>
      <c r="AB104" s="104" t="n"/>
      <c r="AC104" s="104" t="n"/>
      <c r="AD104" s="104" t="n"/>
      <c r="AE104" s="104" t="n"/>
      <c r="AF104" s="104" t="n"/>
      <c r="AG104" s="104" t="n"/>
      <c r="AH104" s="104" t="n"/>
      <c r="AI104" s="104" t="n"/>
      <c r="AJ104" s="104" t="n"/>
      <c r="AK104" s="104" t="n"/>
      <c r="AL104" s="104" t="n"/>
      <c r="AM104" s="104" t="n"/>
      <c r="AN104" s="104" t="n"/>
      <c r="AO104" s="104" t="n"/>
      <c r="AP104" s="104" t="n"/>
      <c r="AQ104" s="104" t="n"/>
      <c r="AR104" s="104" t="n"/>
      <c r="AS104" s="104" t="n"/>
      <c r="AT104" s="104" t="n"/>
      <c r="AU104" s="104" t="n"/>
      <c r="AV104" s="104" t="n"/>
      <c r="AW104" s="104" t="n"/>
      <c r="AX104" s="104" t="n"/>
      <c r="AY104" s="104" t="n"/>
      <c r="AZ104" s="104" t="n"/>
      <c r="BA104" s="104" t="n"/>
      <c r="BB104" s="104" t="n"/>
      <c r="BC104" s="104" t="n"/>
      <c r="BD104" s="104" t="n"/>
      <c r="BE104" s="104" t="n"/>
      <c r="BF104" s="104" t="n"/>
      <c r="BG104" s="104" t="n"/>
      <c r="BH104" s="104" t="n"/>
      <c r="BI104" s="104" t="n"/>
      <c r="BJ104" s="104" t="n"/>
      <c r="BK104" s="104" t="n"/>
      <c r="BL104" s="104" t="n"/>
      <c r="BM104" s="104" t="n"/>
      <c r="BN104" s="104" t="n"/>
      <c r="BO104" s="104" t="n"/>
      <c r="BP104" s="104" t="n"/>
      <c r="BQ104" s="104" t="n"/>
      <c r="BR104" s="104" t="n"/>
      <c r="BS104" s="104" t="n"/>
      <c r="BT104" s="104" t="n"/>
      <c r="BU104" s="104" t="n"/>
      <c r="BV104" s="104" t="n"/>
      <c r="BW104" s="104" t="n"/>
      <c r="BX104" s="104" t="n"/>
    </row>
    <row r="105">
      <c r="B105" s="64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N105" s="104" t="n"/>
      <c r="O105" s="104" t="n"/>
      <c r="P105" s="104" t="n"/>
      <c r="Q105" s="104" t="n"/>
      <c r="R105" s="104" t="n"/>
      <c r="S105" s="104" t="n"/>
      <c r="T105" s="104" t="n"/>
      <c r="U105" s="104" t="n"/>
      <c r="V105" s="104" t="n"/>
      <c r="W105" s="104" t="n"/>
      <c r="X105" s="104" t="n"/>
      <c r="Y105" s="104" t="n"/>
      <c r="Z105" s="104" t="n"/>
      <c r="AA105" s="104" t="n"/>
      <c r="AB105" s="104" t="n"/>
      <c r="AC105" s="104" t="n"/>
      <c r="AD105" s="104" t="n"/>
      <c r="AE105" s="104" t="n"/>
      <c r="AF105" s="104" t="n"/>
      <c r="AG105" s="104" t="n"/>
      <c r="AH105" s="104" t="n"/>
      <c r="AI105" s="104" t="n"/>
      <c r="AJ105" s="104" t="n"/>
      <c r="AK105" s="104" t="n"/>
      <c r="AL105" s="104" t="n"/>
      <c r="AM105" s="104" t="n"/>
      <c r="AN105" s="104" t="n"/>
      <c r="AO105" s="104" t="n"/>
      <c r="AP105" s="104" t="n"/>
      <c r="AQ105" s="104" t="n"/>
      <c r="AR105" s="104" t="n"/>
      <c r="AS105" s="104" t="n"/>
      <c r="AT105" s="104" t="n"/>
      <c r="AU105" s="104" t="n"/>
      <c r="AV105" s="104" t="n"/>
      <c r="AW105" s="104" t="n"/>
      <c r="AX105" s="104" t="n"/>
      <c r="AY105" s="104" t="n"/>
      <c r="AZ105" s="104" t="n"/>
      <c r="BA105" s="104" t="n"/>
      <c r="BB105" s="104" t="n"/>
      <c r="BC105" s="104" t="n"/>
      <c r="BD105" s="104" t="n"/>
      <c r="BE105" s="104" t="n"/>
      <c r="BF105" s="104" t="n"/>
      <c r="BG105" s="104" t="n"/>
      <c r="BH105" s="104" t="n"/>
      <c r="BI105" s="104" t="n"/>
      <c r="BJ105" s="104" t="n"/>
      <c r="BK105" s="104" t="n"/>
      <c r="BL105" s="104" t="n"/>
      <c r="BM105" s="104" t="n"/>
      <c r="BN105" s="104" t="n"/>
      <c r="BO105" s="104" t="n"/>
      <c r="BP105" s="104" t="n"/>
      <c r="BQ105" s="104" t="n"/>
      <c r="BR105" s="104" t="n"/>
      <c r="BS105" s="104" t="n"/>
      <c r="BT105" s="104" t="n"/>
      <c r="BU105" s="104" t="n"/>
      <c r="BV105" s="104" t="n"/>
      <c r="BW105" s="104" t="n"/>
      <c r="BX105" s="104" t="n"/>
    </row>
    <row r="106">
      <c r="B106" s="6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N106" s="104" t="n"/>
      <c r="O106" s="104" t="n"/>
      <c r="P106" s="104" t="n"/>
      <c r="Q106" s="104" t="n"/>
      <c r="R106" s="104" t="n"/>
      <c r="S106" s="104" t="n"/>
      <c r="T106" s="104" t="n"/>
      <c r="U106" s="104" t="n"/>
      <c r="V106" s="104" t="n"/>
      <c r="W106" s="104" t="n"/>
      <c r="X106" s="104" t="n"/>
      <c r="Y106" s="104" t="n"/>
      <c r="Z106" s="104" t="n"/>
      <c r="AA106" s="104" t="n"/>
      <c r="AB106" s="104" t="n"/>
      <c r="AC106" s="104" t="n"/>
      <c r="AD106" s="104" t="n"/>
      <c r="AE106" s="104" t="n"/>
      <c r="AF106" s="104" t="n"/>
      <c r="AG106" s="104" t="n"/>
      <c r="AH106" s="104" t="n"/>
      <c r="AI106" s="104" t="n"/>
      <c r="AJ106" s="104" t="n"/>
      <c r="AK106" s="104" t="n"/>
      <c r="AL106" s="104" t="n"/>
      <c r="AM106" s="104" t="n"/>
      <c r="AN106" s="104" t="n"/>
      <c r="AO106" s="104" t="n"/>
      <c r="AP106" s="104" t="n"/>
      <c r="AQ106" s="104" t="n"/>
      <c r="AR106" s="104" t="n"/>
      <c r="AS106" s="104" t="n"/>
      <c r="AT106" s="104" t="n"/>
      <c r="AU106" s="104" t="n"/>
      <c r="AV106" s="104" t="n"/>
      <c r="AW106" s="104" t="n"/>
      <c r="AX106" s="104" t="n"/>
      <c r="AY106" s="104" t="n"/>
      <c r="AZ106" s="104" t="n"/>
      <c r="BA106" s="104" t="n"/>
      <c r="BB106" s="104" t="n"/>
      <c r="BC106" s="104" t="n"/>
      <c r="BD106" s="104" t="n"/>
      <c r="BE106" s="104" t="n"/>
      <c r="BF106" s="104" t="n"/>
      <c r="BG106" s="104" t="n"/>
      <c r="BH106" s="104" t="n"/>
      <c r="BI106" s="104" t="n"/>
      <c r="BJ106" s="104" t="n"/>
      <c r="BK106" s="104" t="n"/>
      <c r="BL106" s="104" t="n"/>
      <c r="BM106" s="104" t="n"/>
      <c r="BN106" s="104" t="n"/>
      <c r="BO106" s="104" t="n"/>
      <c r="BP106" s="104" t="n"/>
      <c r="BQ106" s="104" t="n"/>
      <c r="BR106" s="104" t="n"/>
      <c r="BS106" s="104" t="n"/>
      <c r="BT106" s="104" t="n"/>
      <c r="BU106" s="104" t="n"/>
      <c r="BV106" s="104" t="n"/>
      <c r="BW106" s="104" t="n"/>
      <c r="BX106" s="104" t="n"/>
    </row>
    <row r="107">
      <c r="B107" s="64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N107" s="104" t="n"/>
      <c r="O107" s="104" t="n"/>
      <c r="P107" s="104" t="n"/>
      <c r="Q107" s="104" t="n"/>
      <c r="R107" s="104" t="n"/>
      <c r="S107" s="104" t="n"/>
      <c r="T107" s="104" t="n"/>
      <c r="U107" s="104" t="n"/>
      <c r="V107" s="104" t="n"/>
      <c r="W107" s="104" t="n"/>
      <c r="X107" s="104" t="n"/>
      <c r="Y107" s="104" t="n"/>
      <c r="Z107" s="104" t="n"/>
      <c r="AA107" s="104" t="n"/>
      <c r="AB107" s="104" t="n"/>
      <c r="AC107" s="104" t="n"/>
      <c r="AD107" s="104" t="n"/>
      <c r="AE107" s="104" t="n"/>
      <c r="AF107" s="104" t="n"/>
      <c r="AG107" s="104" t="n"/>
      <c r="AH107" s="104" t="n"/>
      <c r="AI107" s="104" t="n"/>
      <c r="AJ107" s="104" t="n"/>
      <c r="AK107" s="104" t="n"/>
      <c r="AL107" s="104" t="n"/>
      <c r="AM107" s="104" t="n"/>
      <c r="AN107" s="104" t="n"/>
      <c r="AO107" s="104" t="n"/>
      <c r="AP107" s="104" t="n"/>
      <c r="AQ107" s="104" t="n"/>
      <c r="AR107" s="104" t="n"/>
      <c r="AS107" s="104" t="n"/>
      <c r="AT107" s="104" t="n"/>
      <c r="AU107" s="104" t="n"/>
      <c r="AV107" s="104" t="n"/>
      <c r="AW107" s="104" t="n"/>
      <c r="AX107" s="104" t="n"/>
      <c r="AY107" s="104" t="n"/>
      <c r="AZ107" s="104" t="n"/>
      <c r="BA107" s="104" t="n"/>
      <c r="BB107" s="104" t="n"/>
      <c r="BC107" s="104" t="n"/>
      <c r="BD107" s="104" t="n"/>
      <c r="BE107" s="104" t="n"/>
      <c r="BF107" s="104" t="n"/>
      <c r="BG107" s="104" t="n"/>
      <c r="BH107" s="104" t="n"/>
      <c r="BI107" s="104" t="n"/>
      <c r="BJ107" s="104" t="n"/>
      <c r="BK107" s="104" t="n"/>
      <c r="BL107" s="104" t="n"/>
      <c r="BM107" s="104" t="n"/>
      <c r="BN107" s="104" t="n"/>
      <c r="BO107" s="104" t="n"/>
      <c r="BP107" s="104" t="n"/>
      <c r="BQ107" s="104" t="n"/>
      <c r="BR107" s="104" t="n"/>
      <c r="BS107" s="104" t="n"/>
      <c r="BT107" s="104" t="n"/>
      <c r="BU107" s="104" t="n"/>
      <c r="BV107" s="104" t="n"/>
      <c r="BW107" s="104" t="n"/>
      <c r="BX107" s="104" t="n"/>
    </row>
    <row r="108">
      <c r="B108" s="64" t="n"/>
      <c r="C108" s="104" t="n"/>
      <c r="D108" s="104" t="n"/>
      <c r="E108" s="104" t="n"/>
      <c r="F108" s="104" t="n"/>
      <c r="G108" s="104" t="n"/>
      <c r="H108" s="104" t="n"/>
      <c r="I108" s="104" t="n"/>
      <c r="J108" s="104" t="n"/>
      <c r="K108" s="104" t="n"/>
      <c r="L108" s="104" t="n"/>
      <c r="N108" s="104" t="n"/>
      <c r="O108" s="104" t="n"/>
      <c r="P108" s="104" t="n"/>
      <c r="Q108" s="104" t="n"/>
      <c r="R108" s="104" t="n"/>
      <c r="S108" s="104" t="n"/>
      <c r="T108" s="104" t="n"/>
      <c r="U108" s="104" t="n"/>
      <c r="V108" s="104" t="n"/>
      <c r="W108" s="104" t="n"/>
      <c r="X108" s="104" t="n"/>
      <c r="Y108" s="104" t="n"/>
      <c r="Z108" s="104" t="n"/>
      <c r="AA108" s="104" t="n"/>
      <c r="AB108" s="104" t="n"/>
      <c r="AC108" s="104" t="n"/>
      <c r="AD108" s="104" t="n"/>
      <c r="AE108" s="104" t="n"/>
      <c r="AF108" s="104" t="n"/>
      <c r="AG108" s="104" t="n"/>
      <c r="AH108" s="104" t="n"/>
      <c r="AI108" s="104" t="n"/>
      <c r="AJ108" s="104" t="n"/>
      <c r="AK108" s="104" t="n"/>
      <c r="AL108" s="104" t="n"/>
      <c r="AM108" s="104" t="n"/>
      <c r="AN108" s="104" t="n"/>
      <c r="AO108" s="104" t="n"/>
      <c r="AP108" s="104" t="n"/>
      <c r="AQ108" s="104" t="n"/>
      <c r="AR108" s="104" t="n"/>
      <c r="AS108" s="104" t="n"/>
      <c r="AT108" s="104" t="n"/>
      <c r="AU108" s="104" t="n"/>
      <c r="AV108" s="104" t="n"/>
      <c r="AW108" s="104" t="n"/>
      <c r="AX108" s="104" t="n"/>
      <c r="AY108" s="104" t="n"/>
      <c r="AZ108" s="104" t="n"/>
      <c r="BA108" s="104" t="n"/>
      <c r="BB108" s="104" t="n"/>
      <c r="BC108" s="104" t="n"/>
      <c r="BD108" s="104" t="n"/>
      <c r="BE108" s="104" t="n"/>
      <c r="BF108" s="104" t="n"/>
      <c r="BG108" s="104" t="n"/>
      <c r="BH108" s="104" t="n"/>
      <c r="BI108" s="104" t="n"/>
      <c r="BJ108" s="104" t="n"/>
      <c r="BK108" s="104" t="n"/>
      <c r="BL108" s="104" t="n"/>
      <c r="BM108" s="104" t="n"/>
      <c r="BN108" s="104" t="n"/>
      <c r="BO108" s="104" t="n"/>
      <c r="BP108" s="104" t="n"/>
      <c r="BQ108" s="104" t="n"/>
      <c r="BR108" s="104" t="n"/>
      <c r="BS108" s="104" t="n"/>
      <c r="BT108" s="104" t="n"/>
      <c r="BU108" s="104" t="n"/>
      <c r="BV108" s="104" t="n"/>
      <c r="BW108" s="104" t="n"/>
      <c r="BX108" s="104" t="n"/>
    </row>
    <row r="109">
      <c r="B109" s="64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N109" s="104" t="n"/>
      <c r="O109" s="104" t="n"/>
      <c r="P109" s="104" t="n"/>
      <c r="Q109" s="104" t="n"/>
      <c r="R109" s="104" t="n"/>
      <c r="S109" s="104" t="n"/>
      <c r="T109" s="104" t="n"/>
      <c r="U109" s="104" t="n"/>
      <c r="V109" s="104" t="n"/>
      <c r="W109" s="104" t="n"/>
      <c r="X109" s="104" t="n"/>
      <c r="Y109" s="104" t="n"/>
      <c r="Z109" s="104" t="n"/>
      <c r="AA109" s="104" t="n"/>
      <c r="AB109" s="104" t="n"/>
      <c r="AC109" s="104" t="n"/>
      <c r="AD109" s="104" t="n"/>
      <c r="AE109" s="104" t="n"/>
      <c r="AF109" s="104" t="n"/>
      <c r="AG109" s="104" t="n"/>
      <c r="AH109" s="104" t="n"/>
      <c r="AI109" s="104" t="n"/>
      <c r="AJ109" s="104" t="n"/>
      <c r="AK109" s="104" t="n"/>
      <c r="AL109" s="104" t="n"/>
      <c r="AM109" s="104" t="n"/>
      <c r="AN109" s="104" t="n"/>
      <c r="AO109" s="104" t="n"/>
      <c r="AP109" s="104" t="n"/>
      <c r="AQ109" s="104" t="n"/>
      <c r="AR109" s="104" t="n"/>
      <c r="AS109" s="104" t="n"/>
      <c r="AT109" s="104" t="n"/>
      <c r="AU109" s="104" t="n"/>
      <c r="AV109" s="104" t="n"/>
      <c r="AW109" s="104" t="n"/>
      <c r="AX109" s="104" t="n"/>
      <c r="AY109" s="104" t="n"/>
      <c r="AZ109" s="104" t="n"/>
      <c r="BA109" s="104" t="n"/>
      <c r="BB109" s="104" t="n"/>
      <c r="BC109" s="104" t="n"/>
      <c r="BD109" s="104" t="n"/>
      <c r="BE109" s="104" t="n"/>
      <c r="BF109" s="104" t="n"/>
      <c r="BG109" s="104" t="n"/>
      <c r="BH109" s="104" t="n"/>
      <c r="BI109" s="104" t="n"/>
      <c r="BJ109" s="104" t="n"/>
      <c r="BK109" s="104" t="n"/>
      <c r="BL109" s="104" t="n"/>
      <c r="BM109" s="104" t="n"/>
      <c r="BN109" s="104" t="n"/>
      <c r="BO109" s="104" t="n"/>
      <c r="BP109" s="104" t="n"/>
      <c r="BQ109" s="104" t="n"/>
      <c r="BR109" s="104" t="n"/>
      <c r="BS109" s="104" t="n"/>
      <c r="BT109" s="104" t="n"/>
      <c r="BU109" s="104" t="n"/>
      <c r="BV109" s="104" t="n"/>
      <c r="BW109" s="104" t="n"/>
      <c r="BX109" s="104" t="n"/>
    </row>
    <row r="110">
      <c r="B110" s="64" t="n"/>
      <c r="C110" s="104" t="n"/>
      <c r="D110" s="104" t="n"/>
      <c r="E110" s="104" t="n"/>
      <c r="F110" s="104" t="n"/>
      <c r="G110" s="104" t="n"/>
      <c r="H110" s="104" t="n"/>
      <c r="I110" s="104" t="n"/>
      <c r="J110" s="104" t="n"/>
      <c r="K110" s="104" t="n"/>
      <c r="L110" s="104" t="n"/>
      <c r="N110" s="104" t="n"/>
      <c r="O110" s="104" t="n"/>
      <c r="P110" s="104" t="n"/>
      <c r="Q110" s="104" t="n"/>
      <c r="R110" s="104" t="n"/>
      <c r="S110" s="104" t="n"/>
      <c r="T110" s="104" t="n"/>
      <c r="U110" s="104" t="n"/>
      <c r="V110" s="104" t="n"/>
      <c r="W110" s="104" t="n"/>
      <c r="X110" s="104" t="n"/>
      <c r="Y110" s="104" t="n"/>
      <c r="Z110" s="104" t="n"/>
      <c r="AA110" s="104" t="n"/>
      <c r="AB110" s="104" t="n"/>
      <c r="AC110" s="104" t="n"/>
      <c r="AD110" s="104" t="n"/>
      <c r="AE110" s="104" t="n"/>
      <c r="AF110" s="104" t="n"/>
      <c r="AG110" s="104" t="n"/>
      <c r="AH110" s="104" t="n"/>
      <c r="AI110" s="104" t="n"/>
      <c r="AJ110" s="104" t="n"/>
      <c r="AK110" s="104" t="n"/>
      <c r="AL110" s="104" t="n"/>
      <c r="AM110" s="104" t="n"/>
      <c r="AN110" s="104" t="n"/>
      <c r="AO110" s="104" t="n"/>
      <c r="AP110" s="104" t="n"/>
      <c r="AQ110" s="104" t="n"/>
      <c r="AR110" s="104" t="n"/>
      <c r="AS110" s="104" t="n"/>
      <c r="AT110" s="104" t="n"/>
      <c r="AU110" s="104" t="n"/>
      <c r="AV110" s="104" t="n"/>
      <c r="AW110" s="104" t="n"/>
      <c r="AX110" s="104" t="n"/>
      <c r="AY110" s="104" t="n"/>
      <c r="AZ110" s="104" t="n"/>
      <c r="BA110" s="104" t="n"/>
      <c r="BB110" s="104" t="n"/>
      <c r="BC110" s="104" t="n"/>
      <c r="BD110" s="104" t="n"/>
      <c r="BE110" s="104" t="n"/>
      <c r="BF110" s="104" t="n"/>
      <c r="BG110" s="104" t="n"/>
      <c r="BH110" s="104" t="n"/>
      <c r="BI110" s="104" t="n"/>
      <c r="BJ110" s="104" t="n"/>
      <c r="BK110" s="104" t="n"/>
      <c r="BL110" s="104" t="n"/>
      <c r="BM110" s="104" t="n"/>
      <c r="BN110" s="104" t="n"/>
      <c r="BO110" s="104" t="n"/>
      <c r="BP110" s="104" t="n"/>
      <c r="BQ110" s="104" t="n"/>
      <c r="BR110" s="104" t="n"/>
      <c r="BS110" s="104" t="n"/>
      <c r="BT110" s="104" t="n"/>
      <c r="BU110" s="104" t="n"/>
      <c r="BV110" s="104" t="n"/>
      <c r="BW110" s="104" t="n"/>
      <c r="BX110" s="104" t="n"/>
    </row>
    <row r="111">
      <c r="B111" s="6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N111" s="104" t="n"/>
      <c r="O111" s="104" t="n"/>
      <c r="P111" s="104" t="n"/>
      <c r="Q111" s="104" t="n"/>
      <c r="R111" s="104" t="n"/>
      <c r="S111" s="104" t="n"/>
      <c r="T111" s="104" t="n"/>
      <c r="U111" s="104" t="n"/>
      <c r="V111" s="104" t="n"/>
      <c r="W111" s="104" t="n"/>
      <c r="X111" s="104" t="n"/>
      <c r="Y111" s="104" t="n"/>
      <c r="Z111" s="104" t="n"/>
      <c r="AA111" s="104" t="n"/>
      <c r="AB111" s="104" t="n"/>
      <c r="AC111" s="104" t="n"/>
      <c r="AD111" s="104" t="n"/>
      <c r="AE111" s="104" t="n"/>
      <c r="AF111" s="104" t="n"/>
      <c r="AG111" s="104" t="n"/>
      <c r="AH111" s="104" t="n"/>
      <c r="AI111" s="104" t="n"/>
      <c r="AJ111" s="104" t="n"/>
      <c r="AK111" s="104" t="n"/>
      <c r="AL111" s="104" t="n"/>
      <c r="AM111" s="104" t="n"/>
      <c r="AN111" s="104" t="n"/>
      <c r="AO111" s="104" t="n"/>
      <c r="AP111" s="104" t="n"/>
      <c r="AQ111" s="104" t="n"/>
      <c r="AR111" s="104" t="n"/>
      <c r="AS111" s="104" t="n"/>
      <c r="AT111" s="104" t="n"/>
      <c r="AU111" s="104" t="n"/>
      <c r="AV111" s="104" t="n"/>
      <c r="AW111" s="104" t="n"/>
      <c r="AX111" s="104" t="n"/>
      <c r="AY111" s="104" t="n"/>
      <c r="AZ111" s="104" t="n"/>
      <c r="BA111" s="104" t="n"/>
      <c r="BB111" s="104" t="n"/>
      <c r="BC111" s="104" t="n"/>
      <c r="BD111" s="104" t="n"/>
      <c r="BE111" s="104" t="n"/>
      <c r="BF111" s="104" t="n"/>
      <c r="BG111" s="104" t="n"/>
      <c r="BH111" s="104" t="n"/>
      <c r="BI111" s="104" t="n"/>
      <c r="BJ111" s="104" t="n"/>
      <c r="BK111" s="104" t="n"/>
      <c r="BL111" s="104" t="n"/>
      <c r="BM111" s="104" t="n"/>
      <c r="BN111" s="104" t="n"/>
      <c r="BO111" s="104" t="n"/>
      <c r="BP111" s="104" t="n"/>
      <c r="BQ111" s="104" t="n"/>
      <c r="BR111" s="104" t="n"/>
      <c r="BS111" s="104" t="n"/>
      <c r="BT111" s="104" t="n"/>
      <c r="BU111" s="104" t="n"/>
      <c r="BV111" s="104" t="n"/>
      <c r="BW111" s="104" t="n"/>
      <c r="BX111" s="104" t="n"/>
    </row>
    <row r="112">
      <c r="B112" s="6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N112" s="104" t="n"/>
      <c r="O112" s="104" t="n"/>
      <c r="P112" s="104" t="n"/>
      <c r="Q112" s="104" t="n"/>
      <c r="R112" s="104" t="n"/>
      <c r="S112" s="104" t="n"/>
      <c r="T112" s="104" t="n"/>
      <c r="U112" s="104" t="n"/>
      <c r="V112" s="104" t="n"/>
      <c r="W112" s="104" t="n"/>
      <c r="X112" s="104" t="n"/>
      <c r="Y112" s="104" t="n"/>
      <c r="Z112" s="104" t="n"/>
      <c r="AA112" s="104" t="n"/>
      <c r="AB112" s="104" t="n"/>
      <c r="AC112" s="104" t="n"/>
      <c r="AD112" s="104" t="n"/>
      <c r="AE112" s="104" t="n"/>
      <c r="AF112" s="104" t="n"/>
      <c r="AG112" s="104" t="n"/>
      <c r="AH112" s="104" t="n"/>
      <c r="AI112" s="104" t="n"/>
      <c r="AJ112" s="104" t="n"/>
      <c r="AK112" s="104" t="n"/>
      <c r="AL112" s="104" t="n"/>
      <c r="AM112" s="104" t="n"/>
      <c r="AN112" s="104" t="n"/>
      <c r="AO112" s="104" t="n"/>
      <c r="AP112" s="104" t="n"/>
      <c r="AQ112" s="104" t="n"/>
      <c r="AR112" s="104" t="n"/>
      <c r="AS112" s="104" t="n"/>
      <c r="AT112" s="104" t="n"/>
      <c r="AU112" s="104" t="n"/>
      <c r="AV112" s="104" t="n"/>
      <c r="AW112" s="104" t="n"/>
      <c r="AX112" s="104" t="n"/>
      <c r="AY112" s="104" t="n"/>
      <c r="AZ112" s="104" t="n"/>
      <c r="BA112" s="104" t="n"/>
      <c r="BB112" s="104" t="n"/>
      <c r="BC112" s="104" t="n"/>
      <c r="BD112" s="104" t="n"/>
      <c r="BE112" s="104" t="n"/>
      <c r="BF112" s="104" t="n"/>
      <c r="BG112" s="104" t="n"/>
      <c r="BH112" s="104" t="n"/>
      <c r="BI112" s="104" t="n"/>
      <c r="BJ112" s="104" t="n"/>
      <c r="BK112" s="104" t="n"/>
      <c r="BL112" s="104" t="n"/>
      <c r="BM112" s="104" t="n"/>
      <c r="BN112" s="104" t="n"/>
      <c r="BO112" s="104" t="n"/>
      <c r="BP112" s="104" t="n"/>
      <c r="BQ112" s="104" t="n"/>
      <c r="BR112" s="104" t="n"/>
      <c r="BS112" s="104" t="n"/>
      <c r="BT112" s="104" t="n"/>
      <c r="BU112" s="104" t="n"/>
      <c r="BV112" s="104" t="n"/>
      <c r="BW112" s="104" t="n"/>
      <c r="BX112" s="104" t="n"/>
    </row>
    <row r="113">
      <c r="B113" s="6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N113" s="104" t="n"/>
      <c r="O113" s="104" t="n"/>
      <c r="P113" s="104" t="n"/>
      <c r="Q113" s="104" t="n"/>
      <c r="R113" s="104" t="n"/>
      <c r="S113" s="104" t="n"/>
      <c r="T113" s="104" t="n"/>
      <c r="U113" s="104" t="n"/>
      <c r="V113" s="104" t="n"/>
      <c r="W113" s="104" t="n"/>
      <c r="X113" s="104" t="n"/>
      <c r="Y113" s="104" t="n"/>
      <c r="Z113" s="104" t="n"/>
      <c r="AA113" s="104" t="n"/>
      <c r="AB113" s="104" t="n"/>
      <c r="AC113" s="104" t="n"/>
      <c r="AD113" s="104" t="n"/>
      <c r="AE113" s="104" t="n"/>
      <c r="AF113" s="104" t="n"/>
      <c r="AG113" s="104" t="n"/>
      <c r="AH113" s="104" t="n"/>
      <c r="AI113" s="104" t="n"/>
      <c r="AJ113" s="104" t="n"/>
      <c r="AK113" s="104" t="n"/>
      <c r="AL113" s="104" t="n"/>
      <c r="AM113" s="104" t="n"/>
      <c r="AN113" s="104" t="n"/>
      <c r="AO113" s="104" t="n"/>
      <c r="AP113" s="104" t="n"/>
      <c r="AQ113" s="104" t="n"/>
      <c r="AR113" s="104" t="n"/>
      <c r="AS113" s="104" t="n"/>
      <c r="AT113" s="104" t="n"/>
      <c r="AU113" s="104" t="n"/>
      <c r="AV113" s="104" t="n"/>
      <c r="AW113" s="104" t="n"/>
      <c r="AX113" s="104" t="n"/>
      <c r="AY113" s="104" t="n"/>
      <c r="AZ113" s="104" t="n"/>
      <c r="BA113" s="104" t="n"/>
      <c r="BB113" s="104" t="n"/>
      <c r="BC113" s="104" t="n"/>
      <c r="BD113" s="104" t="n"/>
      <c r="BE113" s="104" t="n"/>
      <c r="BF113" s="104" t="n"/>
      <c r="BG113" s="104" t="n"/>
      <c r="BH113" s="104" t="n"/>
      <c r="BI113" s="104" t="n"/>
      <c r="BJ113" s="104" t="n"/>
      <c r="BK113" s="104" t="n"/>
      <c r="BL113" s="104" t="n"/>
      <c r="BM113" s="104" t="n"/>
      <c r="BN113" s="104" t="n"/>
      <c r="BO113" s="104" t="n"/>
      <c r="BP113" s="104" t="n"/>
      <c r="BQ113" s="104" t="n"/>
      <c r="BR113" s="104" t="n"/>
      <c r="BS113" s="104" t="n"/>
      <c r="BT113" s="104" t="n"/>
      <c r="BU113" s="104" t="n"/>
      <c r="BV113" s="104" t="n"/>
      <c r="BW113" s="104" t="n"/>
      <c r="BX113" s="104" t="n"/>
    </row>
    <row r="114">
      <c r="B114" s="64" t="n"/>
      <c r="C114" s="104" t="n"/>
      <c r="D114" s="104" t="n"/>
      <c r="E114" s="104" t="n"/>
      <c r="F114" s="104" t="n"/>
      <c r="G114" s="104" t="n"/>
      <c r="H114" s="104" t="n"/>
      <c r="I114" s="104" t="n"/>
      <c r="J114" s="104" t="n"/>
      <c r="K114" s="104" t="n"/>
      <c r="L114" s="104" t="n"/>
      <c r="N114" s="104" t="n"/>
      <c r="O114" s="104" t="n"/>
      <c r="P114" s="104" t="n"/>
      <c r="Q114" s="104" t="n"/>
      <c r="R114" s="104" t="n"/>
      <c r="S114" s="104" t="n"/>
      <c r="T114" s="104" t="n"/>
      <c r="U114" s="104" t="n"/>
      <c r="V114" s="104" t="n"/>
      <c r="W114" s="104" t="n"/>
      <c r="X114" s="104" t="n"/>
      <c r="Y114" s="104" t="n"/>
      <c r="Z114" s="104" t="n"/>
      <c r="AA114" s="104" t="n"/>
      <c r="AB114" s="104" t="n"/>
      <c r="AC114" s="104" t="n"/>
      <c r="AD114" s="104" t="n"/>
      <c r="AE114" s="104" t="n"/>
      <c r="AF114" s="104" t="n"/>
      <c r="AG114" s="104" t="n"/>
      <c r="AH114" s="104" t="n"/>
      <c r="AI114" s="104" t="n"/>
      <c r="AJ114" s="104" t="n"/>
      <c r="AK114" s="104" t="n"/>
      <c r="AL114" s="104" t="n"/>
      <c r="AM114" s="104" t="n"/>
      <c r="AN114" s="104" t="n"/>
      <c r="AO114" s="104" t="n"/>
      <c r="AP114" s="104" t="n"/>
      <c r="AQ114" s="104" t="n"/>
      <c r="AR114" s="104" t="n"/>
      <c r="AS114" s="104" t="n"/>
      <c r="AT114" s="104" t="n"/>
      <c r="AU114" s="104" t="n"/>
      <c r="AV114" s="104" t="n"/>
      <c r="AW114" s="104" t="n"/>
      <c r="AX114" s="104" t="n"/>
      <c r="AY114" s="104" t="n"/>
      <c r="AZ114" s="104" t="n"/>
      <c r="BA114" s="104" t="n"/>
      <c r="BB114" s="104" t="n"/>
      <c r="BC114" s="104" t="n"/>
      <c r="BD114" s="104" t="n"/>
      <c r="BE114" s="104" t="n"/>
      <c r="BF114" s="104" t="n"/>
      <c r="BG114" s="104" t="n"/>
      <c r="BH114" s="104" t="n"/>
      <c r="BI114" s="104" t="n"/>
      <c r="BJ114" s="104" t="n"/>
      <c r="BK114" s="104" t="n"/>
      <c r="BL114" s="104" t="n"/>
      <c r="BM114" s="104" t="n"/>
      <c r="BN114" s="104" t="n"/>
      <c r="BO114" s="104" t="n"/>
      <c r="BP114" s="104" t="n"/>
      <c r="BQ114" s="104" t="n"/>
      <c r="BR114" s="104" t="n"/>
      <c r="BS114" s="104" t="n"/>
      <c r="BT114" s="104" t="n"/>
      <c r="BU114" s="104" t="n"/>
      <c r="BV114" s="104" t="n"/>
      <c r="BW114" s="104" t="n"/>
      <c r="BX114" s="104" t="n"/>
    </row>
    <row r="115">
      <c r="B115" s="64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N115" s="104" t="n"/>
      <c r="O115" s="104" t="n"/>
      <c r="P115" s="104" t="n"/>
      <c r="Q115" s="104" t="n"/>
      <c r="R115" s="104" t="n"/>
      <c r="S115" s="104" t="n"/>
      <c r="T115" s="104" t="n"/>
      <c r="U115" s="104" t="n"/>
      <c r="V115" s="104" t="n"/>
      <c r="W115" s="104" t="n"/>
      <c r="X115" s="104" t="n"/>
      <c r="Y115" s="104" t="n"/>
      <c r="Z115" s="104" t="n"/>
      <c r="AA115" s="104" t="n"/>
      <c r="AB115" s="104" t="n"/>
      <c r="AC115" s="104" t="n"/>
      <c r="AD115" s="104" t="n"/>
      <c r="AE115" s="104" t="n"/>
      <c r="AF115" s="104" t="n"/>
      <c r="AG115" s="104" t="n"/>
      <c r="AH115" s="104" t="n"/>
      <c r="AI115" s="104" t="n"/>
      <c r="AJ115" s="104" t="n"/>
      <c r="AK115" s="104" t="n"/>
      <c r="AL115" s="104" t="n"/>
      <c r="AM115" s="104" t="n"/>
      <c r="AN115" s="104" t="n"/>
      <c r="AO115" s="104" t="n"/>
      <c r="AP115" s="104" t="n"/>
      <c r="AQ115" s="104" t="n"/>
      <c r="AR115" s="104" t="n"/>
      <c r="AS115" s="104" t="n"/>
      <c r="AT115" s="104" t="n"/>
      <c r="AU115" s="104" t="n"/>
      <c r="AV115" s="104" t="n"/>
      <c r="AW115" s="104" t="n"/>
      <c r="AX115" s="104" t="n"/>
      <c r="AY115" s="104" t="n"/>
      <c r="AZ115" s="104" t="n"/>
      <c r="BA115" s="104" t="n"/>
      <c r="BB115" s="104" t="n"/>
      <c r="BC115" s="104" t="n"/>
      <c r="BD115" s="104" t="n"/>
      <c r="BE115" s="104" t="n"/>
      <c r="BF115" s="104" t="n"/>
      <c r="BG115" s="104" t="n"/>
      <c r="BH115" s="104" t="n"/>
      <c r="BI115" s="104" t="n"/>
      <c r="BJ115" s="104" t="n"/>
      <c r="BK115" s="104" t="n"/>
      <c r="BL115" s="104" t="n"/>
      <c r="BM115" s="104" t="n"/>
      <c r="BN115" s="104" t="n"/>
      <c r="BO115" s="104" t="n"/>
      <c r="BP115" s="104" t="n"/>
      <c r="BQ115" s="104" t="n"/>
      <c r="BR115" s="104" t="n"/>
      <c r="BS115" s="104" t="n"/>
      <c r="BT115" s="104" t="n"/>
      <c r="BU115" s="104" t="n"/>
      <c r="BV115" s="104" t="n"/>
      <c r="BW115" s="104" t="n"/>
      <c r="BX115" s="104" t="n"/>
    </row>
    <row r="116">
      <c r="B116" s="6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N116" s="104" t="n"/>
      <c r="O116" s="104" t="n"/>
      <c r="P116" s="104" t="n"/>
      <c r="Q116" s="104" t="n"/>
      <c r="R116" s="104" t="n"/>
      <c r="S116" s="104" t="n"/>
      <c r="T116" s="104" t="n"/>
      <c r="U116" s="104" t="n"/>
      <c r="V116" s="104" t="n"/>
      <c r="W116" s="104" t="n"/>
      <c r="X116" s="104" t="n"/>
      <c r="Y116" s="104" t="n"/>
      <c r="Z116" s="104" t="n"/>
      <c r="AA116" s="104" t="n"/>
      <c r="AB116" s="104" t="n"/>
      <c r="AC116" s="104" t="n"/>
      <c r="AD116" s="104" t="n"/>
      <c r="AE116" s="104" t="n"/>
      <c r="AF116" s="104" t="n"/>
      <c r="AG116" s="104" t="n"/>
      <c r="AH116" s="104" t="n"/>
      <c r="AI116" s="104" t="n"/>
      <c r="AJ116" s="104" t="n"/>
      <c r="AK116" s="104" t="n"/>
      <c r="AL116" s="104" t="n"/>
      <c r="AM116" s="104" t="n"/>
      <c r="AN116" s="104" t="n"/>
      <c r="AO116" s="104" t="n"/>
      <c r="AP116" s="104" t="n"/>
      <c r="AQ116" s="104" t="n"/>
      <c r="AR116" s="104" t="n"/>
      <c r="AS116" s="104" t="n"/>
      <c r="AT116" s="104" t="n"/>
      <c r="AU116" s="104" t="n"/>
      <c r="AV116" s="104" t="n"/>
      <c r="AW116" s="104" t="n"/>
      <c r="AX116" s="104" t="n"/>
      <c r="AY116" s="104" t="n"/>
      <c r="AZ116" s="104" t="n"/>
      <c r="BA116" s="104" t="n"/>
      <c r="BB116" s="104" t="n"/>
      <c r="BC116" s="104" t="n"/>
      <c r="BD116" s="104" t="n"/>
      <c r="BE116" s="104" t="n"/>
      <c r="BF116" s="104" t="n"/>
      <c r="BG116" s="104" t="n"/>
      <c r="BH116" s="104" t="n"/>
      <c r="BI116" s="104" t="n"/>
      <c r="BJ116" s="104" t="n"/>
      <c r="BK116" s="104" t="n"/>
      <c r="BL116" s="104" t="n"/>
      <c r="BM116" s="104" t="n"/>
      <c r="BN116" s="104" t="n"/>
      <c r="BO116" s="104" t="n"/>
      <c r="BP116" s="104" t="n"/>
      <c r="BQ116" s="104" t="n"/>
      <c r="BR116" s="104" t="n"/>
      <c r="BS116" s="104" t="n"/>
      <c r="BT116" s="104" t="n"/>
      <c r="BU116" s="104" t="n"/>
      <c r="BV116" s="104" t="n"/>
      <c r="BW116" s="104" t="n"/>
      <c r="BX116" s="104" t="n"/>
    </row>
    <row r="117">
      <c r="B117" s="64" t="n"/>
      <c r="C117" s="104" t="n"/>
      <c r="D117" s="104" t="n"/>
      <c r="E117" s="104" t="n"/>
      <c r="F117" s="104" t="n"/>
      <c r="G117" s="104" t="n"/>
      <c r="H117" s="104" t="n"/>
      <c r="I117" s="104" t="n"/>
      <c r="J117" s="104" t="n"/>
      <c r="K117" s="104" t="n"/>
      <c r="L117" s="104" t="n"/>
      <c r="N117" s="104" t="n"/>
      <c r="O117" s="104" t="n"/>
      <c r="P117" s="104" t="n"/>
      <c r="Q117" s="104" t="n"/>
      <c r="R117" s="104" t="n"/>
      <c r="S117" s="104" t="n"/>
      <c r="T117" s="104" t="n"/>
      <c r="U117" s="104" t="n"/>
      <c r="V117" s="104" t="n"/>
      <c r="W117" s="104" t="n"/>
      <c r="X117" s="104" t="n"/>
      <c r="Y117" s="104" t="n"/>
      <c r="Z117" s="104" t="n"/>
      <c r="AA117" s="104" t="n"/>
      <c r="AB117" s="104" t="n"/>
      <c r="AC117" s="104" t="n"/>
      <c r="AD117" s="104" t="n"/>
      <c r="AE117" s="104" t="n"/>
      <c r="AF117" s="104" t="n"/>
      <c r="AG117" s="104" t="n"/>
      <c r="AH117" s="104" t="n"/>
      <c r="AI117" s="104" t="n"/>
      <c r="AJ117" s="104" t="n"/>
      <c r="AK117" s="104" t="n"/>
      <c r="AL117" s="104" t="n"/>
      <c r="AM117" s="104" t="n"/>
      <c r="AN117" s="104" t="n"/>
      <c r="AO117" s="104" t="n"/>
      <c r="AP117" s="104" t="n"/>
      <c r="AQ117" s="104" t="n"/>
      <c r="AR117" s="104" t="n"/>
      <c r="AS117" s="104" t="n"/>
      <c r="AT117" s="104" t="n"/>
      <c r="AU117" s="104" t="n"/>
      <c r="AV117" s="104" t="n"/>
      <c r="AW117" s="104" t="n"/>
      <c r="AX117" s="104" t="n"/>
      <c r="AY117" s="104" t="n"/>
      <c r="AZ117" s="104" t="n"/>
      <c r="BA117" s="104" t="n"/>
      <c r="BB117" s="104" t="n"/>
      <c r="BC117" s="104" t="n"/>
      <c r="BD117" s="104" t="n"/>
      <c r="BE117" s="104" t="n"/>
      <c r="BF117" s="104" t="n"/>
      <c r="BG117" s="104" t="n"/>
      <c r="BH117" s="104" t="n"/>
      <c r="BI117" s="104" t="n"/>
      <c r="BJ117" s="104" t="n"/>
      <c r="BK117" s="104" t="n"/>
      <c r="BL117" s="104" t="n"/>
      <c r="BM117" s="104" t="n"/>
      <c r="BN117" s="104" t="n"/>
      <c r="BO117" s="104" t="n"/>
      <c r="BP117" s="104" t="n"/>
      <c r="BQ117" s="104" t="n"/>
      <c r="BR117" s="104" t="n"/>
      <c r="BS117" s="104" t="n"/>
      <c r="BT117" s="104" t="n"/>
      <c r="BU117" s="104" t="n"/>
      <c r="BV117" s="104" t="n"/>
      <c r="BW117" s="104" t="n"/>
      <c r="BX117" s="104" t="n"/>
    </row>
    <row r="118">
      <c r="B118" s="64" t="n"/>
      <c r="C118" s="104" t="n"/>
      <c r="D118" s="104" t="n"/>
      <c r="E118" s="104" t="n"/>
      <c r="F118" s="104" t="n"/>
      <c r="G118" s="104" t="n"/>
      <c r="H118" s="104" t="n"/>
      <c r="I118" s="104" t="n"/>
      <c r="J118" s="104" t="n"/>
      <c r="K118" s="104" t="n"/>
      <c r="L118" s="104" t="n"/>
      <c r="N118" s="104" t="n"/>
      <c r="O118" s="104" t="n"/>
      <c r="P118" s="104" t="n"/>
      <c r="Q118" s="104" t="n"/>
      <c r="R118" s="104" t="n"/>
      <c r="S118" s="104" t="n"/>
      <c r="T118" s="104" t="n"/>
      <c r="U118" s="104" t="n"/>
      <c r="V118" s="104" t="n"/>
      <c r="W118" s="104" t="n"/>
      <c r="X118" s="104" t="n"/>
      <c r="Y118" s="104" t="n"/>
      <c r="Z118" s="104" t="n"/>
      <c r="AA118" s="104" t="n"/>
      <c r="AB118" s="104" t="n"/>
      <c r="AC118" s="104" t="n"/>
      <c r="AD118" s="104" t="n"/>
      <c r="AE118" s="104" t="n"/>
      <c r="AF118" s="104" t="n"/>
      <c r="AG118" s="104" t="n"/>
      <c r="AH118" s="104" t="n"/>
      <c r="AI118" s="104" t="n"/>
      <c r="AJ118" s="104" t="n"/>
      <c r="AK118" s="104" t="n"/>
      <c r="AL118" s="104" t="n"/>
      <c r="AM118" s="104" t="n"/>
      <c r="AN118" s="104" t="n"/>
      <c r="AO118" s="104" t="n"/>
      <c r="AP118" s="104" t="n"/>
      <c r="AQ118" s="104" t="n"/>
      <c r="AR118" s="104" t="n"/>
      <c r="AS118" s="104" t="n"/>
      <c r="AT118" s="104" t="n"/>
      <c r="AU118" s="104" t="n"/>
      <c r="AV118" s="104" t="n"/>
      <c r="AW118" s="104" t="n"/>
      <c r="AX118" s="104" t="n"/>
      <c r="AY118" s="104" t="n"/>
      <c r="AZ118" s="104" t="n"/>
      <c r="BA118" s="104" t="n"/>
      <c r="BB118" s="104" t="n"/>
      <c r="BC118" s="104" t="n"/>
      <c r="BD118" s="104" t="n"/>
      <c r="BE118" s="104" t="n"/>
      <c r="BF118" s="104" t="n"/>
      <c r="BG118" s="104" t="n"/>
      <c r="BH118" s="104" t="n"/>
      <c r="BI118" s="104" t="n"/>
      <c r="BJ118" s="104" t="n"/>
      <c r="BK118" s="104" t="n"/>
      <c r="BL118" s="104" t="n"/>
      <c r="BM118" s="104" t="n"/>
      <c r="BN118" s="104" t="n"/>
      <c r="BO118" s="104" t="n"/>
      <c r="BP118" s="104" t="n"/>
      <c r="BQ118" s="104" t="n"/>
      <c r="BR118" s="104" t="n"/>
      <c r="BS118" s="104" t="n"/>
      <c r="BT118" s="104" t="n"/>
      <c r="BU118" s="104" t="n"/>
      <c r="BV118" s="104" t="n"/>
      <c r="BW118" s="104" t="n"/>
      <c r="BX118" s="104" t="n"/>
    </row>
    <row r="119">
      <c r="B119" s="64" t="n"/>
      <c r="C119" s="104" t="n"/>
      <c r="D119" s="104" t="n"/>
      <c r="E119" s="104" t="n"/>
      <c r="F119" s="104" t="n"/>
      <c r="G119" s="104" t="n"/>
      <c r="H119" s="104" t="n"/>
      <c r="I119" s="104" t="n"/>
      <c r="J119" s="104" t="n"/>
      <c r="K119" s="104" t="n"/>
      <c r="L119" s="104" t="n"/>
      <c r="N119" s="104" t="n"/>
      <c r="O119" s="104" t="n"/>
      <c r="P119" s="104" t="n"/>
      <c r="Q119" s="104" t="n"/>
      <c r="R119" s="104" t="n"/>
      <c r="S119" s="104" t="n"/>
      <c r="T119" s="104" t="n"/>
      <c r="U119" s="104" t="n"/>
      <c r="V119" s="104" t="n"/>
      <c r="W119" s="104" t="n"/>
      <c r="X119" s="104" t="n"/>
      <c r="Y119" s="104" t="n"/>
      <c r="Z119" s="104" t="n"/>
      <c r="AA119" s="104" t="n"/>
      <c r="AB119" s="104" t="n"/>
      <c r="AC119" s="104" t="n"/>
      <c r="AD119" s="104" t="n"/>
      <c r="AE119" s="104" t="n"/>
      <c r="AF119" s="104" t="n"/>
      <c r="AG119" s="104" t="n"/>
      <c r="AH119" s="104" t="n"/>
      <c r="AI119" s="104" t="n"/>
      <c r="AJ119" s="104" t="n"/>
      <c r="AK119" s="104" t="n"/>
      <c r="AL119" s="104" t="n"/>
      <c r="AM119" s="104" t="n"/>
      <c r="AN119" s="104" t="n"/>
      <c r="AO119" s="104" t="n"/>
      <c r="AP119" s="104" t="n"/>
      <c r="AQ119" s="104" t="n"/>
      <c r="AR119" s="104" t="n"/>
      <c r="AS119" s="104" t="n"/>
      <c r="AT119" s="104" t="n"/>
      <c r="AU119" s="104" t="n"/>
      <c r="AV119" s="104" t="n"/>
      <c r="AW119" s="104" t="n"/>
      <c r="AX119" s="104" t="n"/>
      <c r="AY119" s="104" t="n"/>
      <c r="AZ119" s="104" t="n"/>
      <c r="BA119" s="104" t="n"/>
      <c r="BB119" s="104" t="n"/>
      <c r="BC119" s="104" t="n"/>
      <c r="BD119" s="104" t="n"/>
      <c r="BE119" s="104" t="n"/>
      <c r="BF119" s="104" t="n"/>
      <c r="BG119" s="104" t="n"/>
      <c r="BH119" s="104" t="n"/>
      <c r="BI119" s="104" t="n"/>
      <c r="BJ119" s="104" t="n"/>
      <c r="BK119" s="104" t="n"/>
      <c r="BL119" s="104" t="n"/>
      <c r="BM119" s="104" t="n"/>
      <c r="BN119" s="104" t="n"/>
      <c r="BO119" s="104" t="n"/>
      <c r="BP119" s="104" t="n"/>
      <c r="BQ119" s="104" t="n"/>
      <c r="BR119" s="104" t="n"/>
      <c r="BS119" s="104" t="n"/>
      <c r="BT119" s="104" t="n"/>
      <c r="BU119" s="104" t="n"/>
      <c r="BV119" s="104" t="n"/>
      <c r="BW119" s="104" t="n"/>
      <c r="BX119" s="104" t="n"/>
    </row>
    <row r="120">
      <c r="B120" s="64" t="n"/>
      <c r="C120" s="104" t="n"/>
      <c r="D120" s="104" t="n"/>
      <c r="E120" s="104" t="n"/>
      <c r="F120" s="104" t="n"/>
      <c r="G120" s="104" t="n"/>
      <c r="H120" s="104" t="n"/>
      <c r="I120" s="104" t="n"/>
      <c r="J120" s="104" t="n"/>
      <c r="K120" s="104" t="n"/>
      <c r="L120" s="104" t="n"/>
      <c r="N120" s="104" t="n"/>
      <c r="O120" s="104" t="n"/>
      <c r="P120" s="104" t="n"/>
      <c r="Q120" s="104" t="n"/>
      <c r="R120" s="104" t="n"/>
      <c r="S120" s="104" t="n"/>
      <c r="T120" s="104" t="n"/>
      <c r="U120" s="104" t="n"/>
      <c r="V120" s="104" t="n"/>
      <c r="W120" s="104" t="n"/>
      <c r="X120" s="104" t="n"/>
      <c r="Y120" s="104" t="n"/>
      <c r="Z120" s="104" t="n"/>
      <c r="AA120" s="104" t="n"/>
      <c r="AB120" s="104" t="n"/>
      <c r="AC120" s="104" t="n"/>
      <c r="AD120" s="104" t="n"/>
      <c r="AE120" s="104" t="n"/>
      <c r="AF120" s="104" t="n"/>
      <c r="AG120" s="104" t="n"/>
      <c r="AH120" s="104" t="n"/>
      <c r="AI120" s="104" t="n"/>
      <c r="AJ120" s="104" t="n"/>
      <c r="AK120" s="104" t="n"/>
      <c r="AL120" s="104" t="n"/>
      <c r="AM120" s="104" t="n"/>
      <c r="AN120" s="104" t="n"/>
      <c r="AO120" s="104" t="n"/>
      <c r="AP120" s="104" t="n"/>
      <c r="AQ120" s="104" t="n"/>
      <c r="AR120" s="104" t="n"/>
      <c r="AS120" s="104" t="n"/>
      <c r="AT120" s="104" t="n"/>
      <c r="AU120" s="104" t="n"/>
      <c r="AV120" s="104" t="n"/>
      <c r="AW120" s="104" t="n"/>
      <c r="AX120" s="104" t="n"/>
      <c r="AY120" s="104" t="n"/>
      <c r="AZ120" s="104" t="n"/>
      <c r="BA120" s="104" t="n"/>
      <c r="BB120" s="104" t="n"/>
      <c r="BC120" s="104" t="n"/>
      <c r="BD120" s="104" t="n"/>
      <c r="BE120" s="104" t="n"/>
      <c r="BF120" s="104" t="n"/>
      <c r="BG120" s="104" t="n"/>
      <c r="BH120" s="104" t="n"/>
      <c r="BI120" s="104" t="n"/>
      <c r="BJ120" s="104" t="n"/>
      <c r="BK120" s="104" t="n"/>
      <c r="BL120" s="104" t="n"/>
      <c r="BM120" s="104" t="n"/>
      <c r="BN120" s="104" t="n"/>
      <c r="BO120" s="104" t="n"/>
      <c r="BP120" s="104" t="n"/>
      <c r="BQ120" s="104" t="n"/>
      <c r="BR120" s="104" t="n"/>
      <c r="BS120" s="104" t="n"/>
      <c r="BT120" s="104" t="n"/>
      <c r="BU120" s="104" t="n"/>
      <c r="BV120" s="104" t="n"/>
      <c r="BW120" s="104" t="n"/>
      <c r="BX120" s="104" t="n"/>
    </row>
    <row r="121">
      <c r="B121" s="64" t="n"/>
      <c r="C121" s="104" t="n"/>
      <c r="D121" s="104" t="n"/>
      <c r="E121" s="104" t="n"/>
      <c r="F121" s="104" t="n"/>
      <c r="G121" s="104" t="n"/>
      <c r="H121" s="104" t="n"/>
      <c r="I121" s="104" t="n"/>
      <c r="J121" s="104" t="n"/>
      <c r="K121" s="104" t="n"/>
      <c r="L121" s="104" t="n"/>
      <c r="N121" s="104" t="n"/>
      <c r="O121" s="104" t="n"/>
      <c r="P121" s="104" t="n"/>
      <c r="Q121" s="104" t="n"/>
      <c r="R121" s="104" t="n"/>
      <c r="S121" s="104" t="n"/>
      <c r="T121" s="104" t="n"/>
      <c r="U121" s="104" t="n"/>
      <c r="V121" s="104" t="n"/>
      <c r="W121" s="104" t="n"/>
      <c r="X121" s="104" t="n"/>
      <c r="Y121" s="104" t="n"/>
      <c r="Z121" s="104" t="n"/>
      <c r="AA121" s="104" t="n"/>
      <c r="AB121" s="104" t="n"/>
      <c r="AC121" s="104" t="n"/>
      <c r="AD121" s="104" t="n"/>
      <c r="AE121" s="104" t="n"/>
      <c r="AF121" s="104" t="n"/>
      <c r="AG121" s="104" t="n"/>
      <c r="AH121" s="104" t="n"/>
      <c r="AI121" s="104" t="n"/>
      <c r="AJ121" s="104" t="n"/>
      <c r="AK121" s="104" t="n"/>
      <c r="AL121" s="104" t="n"/>
      <c r="AM121" s="104" t="n"/>
      <c r="AN121" s="104" t="n"/>
      <c r="AO121" s="104" t="n"/>
      <c r="AP121" s="104" t="n"/>
      <c r="AQ121" s="104" t="n"/>
      <c r="AR121" s="104" t="n"/>
      <c r="AS121" s="104" t="n"/>
      <c r="AT121" s="104" t="n"/>
      <c r="AU121" s="104" t="n"/>
      <c r="AV121" s="104" t="n"/>
      <c r="AW121" s="104" t="n"/>
      <c r="AX121" s="104" t="n"/>
      <c r="AY121" s="104" t="n"/>
      <c r="AZ121" s="104" t="n"/>
      <c r="BA121" s="104" t="n"/>
      <c r="BB121" s="104" t="n"/>
      <c r="BC121" s="104" t="n"/>
      <c r="BD121" s="104" t="n"/>
      <c r="BE121" s="104" t="n"/>
      <c r="BF121" s="104" t="n"/>
      <c r="BG121" s="104" t="n"/>
      <c r="BH121" s="104" t="n"/>
      <c r="BI121" s="104" t="n"/>
      <c r="BJ121" s="104" t="n"/>
      <c r="BK121" s="104" t="n"/>
      <c r="BL121" s="104" t="n"/>
      <c r="BM121" s="104" t="n"/>
      <c r="BN121" s="104" t="n"/>
      <c r="BO121" s="104" t="n"/>
      <c r="BP121" s="104" t="n"/>
      <c r="BQ121" s="104" t="n"/>
      <c r="BR121" s="104" t="n"/>
      <c r="BS121" s="104" t="n"/>
      <c r="BT121" s="104" t="n"/>
      <c r="BU121" s="104" t="n"/>
      <c r="BV121" s="104" t="n"/>
      <c r="BW121" s="104" t="n"/>
      <c r="BX121" s="104" t="n"/>
    </row>
    <row r="122">
      <c r="B122" s="64" t="n"/>
      <c r="C122" s="104" t="n"/>
      <c r="D122" s="104" t="n"/>
      <c r="E122" s="104" t="n"/>
      <c r="F122" s="104" t="n"/>
      <c r="G122" s="104" t="n"/>
      <c r="H122" s="104" t="n"/>
      <c r="I122" s="104" t="n"/>
      <c r="J122" s="104" t="n"/>
      <c r="K122" s="104" t="n"/>
      <c r="L122" s="104" t="n"/>
      <c r="N122" s="104" t="n"/>
      <c r="O122" s="104" t="n"/>
      <c r="P122" s="104" t="n"/>
      <c r="Q122" s="104" t="n"/>
      <c r="R122" s="104" t="n"/>
      <c r="S122" s="104" t="n"/>
      <c r="T122" s="104" t="n"/>
      <c r="U122" s="104" t="n"/>
      <c r="V122" s="104" t="n"/>
      <c r="W122" s="104" t="n"/>
      <c r="X122" s="104" t="n"/>
      <c r="Y122" s="104" t="n"/>
      <c r="Z122" s="104" t="n"/>
      <c r="AA122" s="104" t="n"/>
      <c r="AB122" s="104" t="n"/>
      <c r="AC122" s="104" t="n"/>
      <c r="AD122" s="104" t="n"/>
      <c r="AE122" s="104" t="n"/>
      <c r="AF122" s="104" t="n"/>
      <c r="AG122" s="104" t="n"/>
      <c r="AH122" s="104" t="n"/>
      <c r="AI122" s="104" t="n"/>
      <c r="AJ122" s="104" t="n"/>
      <c r="AK122" s="104" t="n"/>
      <c r="AL122" s="104" t="n"/>
      <c r="AM122" s="104" t="n"/>
      <c r="AN122" s="104" t="n"/>
      <c r="AO122" s="104" t="n"/>
      <c r="AP122" s="104" t="n"/>
      <c r="AQ122" s="104" t="n"/>
      <c r="AR122" s="104" t="n"/>
      <c r="AS122" s="104" t="n"/>
      <c r="AT122" s="104" t="n"/>
      <c r="AU122" s="104" t="n"/>
      <c r="AV122" s="104" t="n"/>
      <c r="AW122" s="104" t="n"/>
      <c r="AX122" s="104" t="n"/>
      <c r="AY122" s="104" t="n"/>
      <c r="AZ122" s="104" t="n"/>
      <c r="BA122" s="104" t="n"/>
      <c r="BB122" s="104" t="n"/>
      <c r="BC122" s="104" t="n"/>
      <c r="BD122" s="104" t="n"/>
      <c r="BE122" s="104" t="n"/>
      <c r="BF122" s="104" t="n"/>
      <c r="BG122" s="104" t="n"/>
      <c r="BH122" s="104" t="n"/>
      <c r="BI122" s="104" t="n"/>
      <c r="BJ122" s="104" t="n"/>
      <c r="BK122" s="104" t="n"/>
      <c r="BL122" s="104" t="n"/>
      <c r="BM122" s="104" t="n"/>
      <c r="BN122" s="104" t="n"/>
      <c r="BO122" s="104" t="n"/>
      <c r="BP122" s="104" t="n"/>
      <c r="BQ122" s="104" t="n"/>
      <c r="BR122" s="104" t="n"/>
      <c r="BS122" s="104" t="n"/>
      <c r="BT122" s="104" t="n"/>
      <c r="BU122" s="104" t="n"/>
      <c r="BV122" s="104" t="n"/>
      <c r="BW122" s="104" t="n"/>
      <c r="BX122" s="104" t="n"/>
    </row>
    <row r="123">
      <c r="B123" s="64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N123" s="104" t="n"/>
      <c r="O123" s="104" t="n"/>
      <c r="P123" s="104" t="n"/>
      <c r="Q123" s="104" t="n"/>
      <c r="R123" s="104" t="n"/>
      <c r="S123" s="104" t="n"/>
      <c r="T123" s="104" t="n"/>
      <c r="U123" s="104" t="n"/>
      <c r="V123" s="104" t="n"/>
      <c r="W123" s="104" t="n"/>
      <c r="X123" s="104" t="n"/>
      <c r="Y123" s="104" t="n"/>
      <c r="Z123" s="104" t="n"/>
      <c r="AA123" s="104" t="n"/>
      <c r="AB123" s="104" t="n"/>
      <c r="AC123" s="104" t="n"/>
      <c r="AD123" s="104" t="n"/>
      <c r="AE123" s="104" t="n"/>
      <c r="AF123" s="104" t="n"/>
      <c r="AG123" s="104" t="n"/>
      <c r="AH123" s="104" t="n"/>
      <c r="AI123" s="104" t="n"/>
      <c r="AJ123" s="104" t="n"/>
      <c r="AK123" s="104" t="n"/>
      <c r="AL123" s="104" t="n"/>
      <c r="AM123" s="104" t="n"/>
      <c r="AN123" s="104" t="n"/>
      <c r="AO123" s="104" t="n"/>
      <c r="AP123" s="104" t="n"/>
      <c r="AQ123" s="104" t="n"/>
      <c r="AR123" s="104" t="n"/>
      <c r="AS123" s="104" t="n"/>
      <c r="AT123" s="104" t="n"/>
      <c r="AU123" s="104" t="n"/>
      <c r="AV123" s="104" t="n"/>
      <c r="AW123" s="104" t="n"/>
      <c r="AX123" s="104" t="n"/>
      <c r="AY123" s="104" t="n"/>
      <c r="AZ123" s="104" t="n"/>
      <c r="BA123" s="104" t="n"/>
      <c r="BB123" s="104" t="n"/>
      <c r="BC123" s="104" t="n"/>
      <c r="BD123" s="104" t="n"/>
      <c r="BE123" s="104" t="n"/>
      <c r="BF123" s="104" t="n"/>
      <c r="BG123" s="104" t="n"/>
      <c r="BH123" s="104" t="n"/>
      <c r="BI123" s="104" t="n"/>
      <c r="BJ123" s="104" t="n"/>
      <c r="BK123" s="104" t="n"/>
      <c r="BL123" s="104" t="n"/>
      <c r="BM123" s="104" t="n"/>
      <c r="BN123" s="104" t="n"/>
      <c r="BO123" s="104" t="n"/>
      <c r="BP123" s="104" t="n"/>
      <c r="BQ123" s="104" t="n"/>
      <c r="BR123" s="104" t="n"/>
      <c r="BS123" s="104" t="n"/>
      <c r="BT123" s="104" t="n"/>
      <c r="BU123" s="104" t="n"/>
      <c r="BV123" s="104" t="n"/>
      <c r="BW123" s="104" t="n"/>
      <c r="BX123" s="104" t="n"/>
    </row>
    <row r="124">
      <c r="B124" s="64" t="n"/>
      <c r="C124" s="104" t="n"/>
      <c r="D124" s="104" t="n"/>
      <c r="E124" s="104" t="n"/>
      <c r="F124" s="104" t="n"/>
      <c r="G124" s="104" t="n"/>
      <c r="H124" s="104" t="n"/>
      <c r="I124" s="104" t="n"/>
      <c r="J124" s="104" t="n"/>
      <c r="K124" s="104" t="n"/>
      <c r="L124" s="104" t="n"/>
      <c r="N124" s="104" t="n"/>
      <c r="O124" s="104" t="n"/>
      <c r="P124" s="104" t="n"/>
      <c r="Q124" s="104" t="n"/>
      <c r="R124" s="104" t="n"/>
      <c r="S124" s="104" t="n"/>
      <c r="T124" s="104" t="n"/>
      <c r="U124" s="104" t="n"/>
      <c r="V124" s="104" t="n"/>
      <c r="W124" s="104" t="n"/>
      <c r="X124" s="104" t="n"/>
      <c r="Y124" s="104" t="n"/>
      <c r="Z124" s="104" t="n"/>
      <c r="AA124" s="104" t="n"/>
      <c r="AB124" s="104" t="n"/>
      <c r="AC124" s="104" t="n"/>
      <c r="AD124" s="104" t="n"/>
      <c r="AE124" s="104" t="n"/>
      <c r="AF124" s="104" t="n"/>
      <c r="AG124" s="104" t="n"/>
      <c r="AH124" s="104" t="n"/>
      <c r="AI124" s="104" t="n"/>
      <c r="AJ124" s="104" t="n"/>
      <c r="AK124" s="104" t="n"/>
      <c r="AL124" s="104" t="n"/>
      <c r="AM124" s="104" t="n"/>
      <c r="AN124" s="104" t="n"/>
      <c r="AO124" s="104" t="n"/>
      <c r="AP124" s="104" t="n"/>
      <c r="AQ124" s="104" t="n"/>
      <c r="AR124" s="104" t="n"/>
      <c r="AS124" s="104" t="n"/>
      <c r="AT124" s="104" t="n"/>
      <c r="AU124" s="104" t="n"/>
      <c r="AV124" s="104" t="n"/>
      <c r="AW124" s="104" t="n"/>
      <c r="AX124" s="104" t="n"/>
      <c r="AY124" s="104" t="n"/>
      <c r="AZ124" s="104" t="n"/>
      <c r="BA124" s="104" t="n"/>
      <c r="BB124" s="104" t="n"/>
      <c r="BC124" s="104" t="n"/>
      <c r="BD124" s="104" t="n"/>
      <c r="BE124" s="104" t="n"/>
      <c r="BF124" s="104" t="n"/>
      <c r="BG124" s="104" t="n"/>
      <c r="BH124" s="104" t="n"/>
      <c r="BI124" s="104" t="n"/>
      <c r="BJ124" s="104" t="n"/>
      <c r="BK124" s="104" t="n"/>
      <c r="BL124" s="104" t="n"/>
      <c r="BM124" s="104" t="n"/>
      <c r="BN124" s="104" t="n"/>
      <c r="BO124" s="104" t="n"/>
      <c r="BP124" s="104" t="n"/>
      <c r="BQ124" s="104" t="n"/>
      <c r="BR124" s="104" t="n"/>
      <c r="BS124" s="104" t="n"/>
      <c r="BT124" s="104" t="n"/>
      <c r="BU124" s="104" t="n"/>
      <c r="BV124" s="104" t="n"/>
      <c r="BW124" s="104" t="n"/>
      <c r="BX124" s="104" t="n"/>
    </row>
    <row r="125">
      <c r="B125" s="64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N125" s="104" t="n"/>
      <c r="O125" s="104" t="n"/>
      <c r="P125" s="104" t="n"/>
      <c r="Q125" s="104" t="n"/>
      <c r="R125" s="104" t="n"/>
      <c r="S125" s="104" t="n"/>
      <c r="T125" s="104" t="n"/>
      <c r="U125" s="104" t="n"/>
      <c r="V125" s="104" t="n"/>
      <c r="W125" s="104" t="n"/>
      <c r="X125" s="104" t="n"/>
      <c r="Y125" s="104" t="n"/>
      <c r="Z125" s="104" t="n"/>
      <c r="AA125" s="104" t="n"/>
      <c r="AB125" s="104" t="n"/>
      <c r="AC125" s="104" t="n"/>
      <c r="AD125" s="104" t="n"/>
      <c r="AE125" s="104" t="n"/>
      <c r="AF125" s="104" t="n"/>
      <c r="AG125" s="104" t="n"/>
      <c r="AH125" s="104" t="n"/>
      <c r="AI125" s="104" t="n"/>
      <c r="AJ125" s="104" t="n"/>
      <c r="AK125" s="104" t="n"/>
      <c r="AL125" s="104" t="n"/>
      <c r="AM125" s="104" t="n"/>
      <c r="AN125" s="104" t="n"/>
      <c r="AO125" s="104" t="n"/>
      <c r="AP125" s="104" t="n"/>
      <c r="AQ125" s="104" t="n"/>
      <c r="AR125" s="104" t="n"/>
      <c r="AS125" s="104" t="n"/>
      <c r="AT125" s="104" t="n"/>
      <c r="AU125" s="104" t="n"/>
      <c r="AV125" s="104" t="n"/>
      <c r="AW125" s="104" t="n"/>
      <c r="AX125" s="104" t="n"/>
      <c r="AY125" s="104" t="n"/>
      <c r="AZ125" s="104" t="n"/>
      <c r="BA125" s="104" t="n"/>
      <c r="BB125" s="104" t="n"/>
      <c r="BC125" s="104" t="n"/>
      <c r="BD125" s="104" t="n"/>
      <c r="BE125" s="104" t="n"/>
      <c r="BF125" s="104" t="n"/>
      <c r="BG125" s="104" t="n"/>
      <c r="BH125" s="104" t="n"/>
      <c r="BI125" s="104" t="n"/>
      <c r="BJ125" s="104" t="n"/>
      <c r="BK125" s="104" t="n"/>
      <c r="BL125" s="104" t="n"/>
      <c r="BM125" s="104" t="n"/>
      <c r="BN125" s="104" t="n"/>
      <c r="BO125" s="104" t="n"/>
      <c r="BP125" s="104" t="n"/>
      <c r="BQ125" s="104" t="n"/>
      <c r="BR125" s="104" t="n"/>
      <c r="BS125" s="104" t="n"/>
      <c r="BT125" s="104" t="n"/>
      <c r="BU125" s="104" t="n"/>
      <c r="BV125" s="104" t="n"/>
      <c r="BW125" s="104" t="n"/>
      <c r="BX125" s="104" t="n"/>
    </row>
    <row r="126">
      <c r="B126" s="64" t="n"/>
      <c r="C126" s="104" t="n"/>
      <c r="D126" s="104" t="n"/>
      <c r="E126" s="104" t="n"/>
      <c r="F126" s="104" t="n"/>
      <c r="G126" s="104" t="n"/>
      <c r="H126" s="104" t="n"/>
      <c r="I126" s="104" t="n"/>
      <c r="J126" s="104" t="n"/>
      <c r="K126" s="104" t="n"/>
      <c r="L126" s="104" t="n"/>
      <c r="N126" s="104" t="n"/>
      <c r="O126" s="104" t="n"/>
      <c r="P126" s="104" t="n"/>
      <c r="Q126" s="104" t="n"/>
      <c r="R126" s="104" t="n"/>
      <c r="S126" s="104" t="n"/>
      <c r="T126" s="104" t="n"/>
      <c r="U126" s="104" t="n"/>
      <c r="V126" s="104" t="n"/>
      <c r="W126" s="104" t="n"/>
      <c r="X126" s="104" t="n"/>
      <c r="Y126" s="104" t="n"/>
      <c r="Z126" s="104" t="n"/>
      <c r="AA126" s="104" t="n"/>
      <c r="AB126" s="104" t="n"/>
      <c r="AC126" s="104" t="n"/>
      <c r="AD126" s="104" t="n"/>
      <c r="AE126" s="104" t="n"/>
      <c r="AF126" s="104" t="n"/>
      <c r="AG126" s="104" t="n"/>
      <c r="AH126" s="104" t="n"/>
      <c r="AI126" s="104" t="n"/>
      <c r="AJ126" s="104" t="n"/>
      <c r="AK126" s="104" t="n"/>
      <c r="AL126" s="104" t="n"/>
      <c r="AM126" s="104" t="n"/>
      <c r="AN126" s="104" t="n"/>
      <c r="AO126" s="104" t="n"/>
      <c r="AP126" s="104" t="n"/>
      <c r="AQ126" s="104" t="n"/>
      <c r="AR126" s="104" t="n"/>
      <c r="AS126" s="104" t="n"/>
      <c r="AT126" s="104" t="n"/>
      <c r="AU126" s="104" t="n"/>
      <c r="AV126" s="104" t="n"/>
      <c r="AW126" s="104" t="n"/>
      <c r="AX126" s="104" t="n"/>
      <c r="AY126" s="104" t="n"/>
      <c r="AZ126" s="104" t="n"/>
      <c r="BA126" s="104" t="n"/>
      <c r="BB126" s="104" t="n"/>
      <c r="BC126" s="104" t="n"/>
      <c r="BD126" s="104" t="n"/>
      <c r="BE126" s="104" t="n"/>
      <c r="BF126" s="104" t="n"/>
      <c r="BG126" s="104" t="n"/>
      <c r="BH126" s="104" t="n"/>
      <c r="BI126" s="104" t="n"/>
      <c r="BJ126" s="104" t="n"/>
      <c r="BK126" s="104" t="n"/>
      <c r="BL126" s="104" t="n"/>
      <c r="BM126" s="104" t="n"/>
      <c r="BN126" s="104" t="n"/>
      <c r="BO126" s="104" t="n"/>
      <c r="BP126" s="104" t="n"/>
      <c r="BQ126" s="104" t="n"/>
      <c r="BR126" s="104" t="n"/>
      <c r="BS126" s="104" t="n"/>
      <c r="BT126" s="104" t="n"/>
      <c r="BU126" s="104" t="n"/>
      <c r="BV126" s="104" t="n"/>
      <c r="BW126" s="104" t="n"/>
      <c r="BX126" s="104" t="n"/>
    </row>
    <row r="127">
      <c r="B127" s="64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N127" s="104" t="n"/>
      <c r="O127" s="104" t="n"/>
      <c r="P127" s="104" t="n"/>
      <c r="Q127" s="104" t="n"/>
      <c r="R127" s="104" t="n"/>
      <c r="S127" s="104" t="n"/>
      <c r="T127" s="104" t="n"/>
      <c r="U127" s="104" t="n"/>
      <c r="V127" s="104" t="n"/>
      <c r="W127" s="104" t="n"/>
      <c r="X127" s="104" t="n"/>
      <c r="Y127" s="104" t="n"/>
      <c r="Z127" s="104" t="n"/>
      <c r="AA127" s="104" t="n"/>
      <c r="AB127" s="104" t="n"/>
      <c r="AC127" s="104" t="n"/>
      <c r="AD127" s="104" t="n"/>
      <c r="AE127" s="104" t="n"/>
      <c r="AF127" s="104" t="n"/>
      <c r="AG127" s="104" t="n"/>
      <c r="AH127" s="104" t="n"/>
      <c r="AI127" s="104" t="n"/>
      <c r="AJ127" s="104" t="n"/>
      <c r="AK127" s="104" t="n"/>
      <c r="AL127" s="104" t="n"/>
      <c r="AM127" s="104" t="n"/>
      <c r="AN127" s="104" t="n"/>
      <c r="AO127" s="104" t="n"/>
      <c r="AP127" s="104" t="n"/>
      <c r="AQ127" s="104" t="n"/>
      <c r="AR127" s="104" t="n"/>
      <c r="AS127" s="104" t="n"/>
      <c r="AT127" s="104" t="n"/>
      <c r="AU127" s="104" t="n"/>
      <c r="AV127" s="104" t="n"/>
      <c r="AW127" s="104" t="n"/>
      <c r="AX127" s="104" t="n"/>
      <c r="AY127" s="104" t="n"/>
      <c r="AZ127" s="104" t="n"/>
      <c r="BA127" s="104" t="n"/>
      <c r="BB127" s="104" t="n"/>
      <c r="BC127" s="104" t="n"/>
      <c r="BD127" s="104" t="n"/>
      <c r="BE127" s="104" t="n"/>
      <c r="BF127" s="104" t="n"/>
      <c r="BG127" s="104" t="n"/>
      <c r="BH127" s="104" t="n"/>
      <c r="BI127" s="104" t="n"/>
      <c r="BJ127" s="104" t="n"/>
      <c r="BK127" s="104" t="n"/>
      <c r="BL127" s="104" t="n"/>
      <c r="BM127" s="104" t="n"/>
      <c r="BN127" s="104" t="n"/>
      <c r="BO127" s="104" t="n"/>
      <c r="BP127" s="104" t="n"/>
      <c r="BQ127" s="104" t="n"/>
      <c r="BR127" s="104" t="n"/>
      <c r="BS127" s="104" t="n"/>
      <c r="BT127" s="104" t="n"/>
      <c r="BU127" s="104" t="n"/>
      <c r="BV127" s="104" t="n"/>
      <c r="BW127" s="104" t="n"/>
      <c r="BX127" s="104" t="n"/>
    </row>
    <row r="128">
      <c r="B128" s="64" t="n"/>
      <c r="C128" s="104" t="n"/>
      <c r="D128" s="104" t="n"/>
      <c r="E128" s="104" t="n"/>
      <c r="F128" s="104" t="n"/>
      <c r="G128" s="104" t="n"/>
      <c r="H128" s="104" t="n"/>
      <c r="I128" s="104" t="n"/>
      <c r="J128" s="104" t="n"/>
      <c r="K128" s="104" t="n"/>
      <c r="L128" s="104" t="n"/>
      <c r="N128" s="104" t="n"/>
      <c r="O128" s="104" t="n"/>
      <c r="P128" s="104" t="n"/>
      <c r="Q128" s="104" t="n"/>
      <c r="R128" s="104" t="n"/>
      <c r="S128" s="104" t="n"/>
      <c r="T128" s="104" t="n"/>
      <c r="U128" s="104" t="n"/>
      <c r="V128" s="104" t="n"/>
      <c r="W128" s="104" t="n"/>
      <c r="X128" s="104" t="n"/>
      <c r="Y128" s="104" t="n"/>
      <c r="Z128" s="104" t="n"/>
      <c r="AA128" s="104" t="n"/>
      <c r="AB128" s="104" t="n"/>
      <c r="AC128" s="104" t="n"/>
      <c r="AD128" s="104" t="n"/>
      <c r="AE128" s="104" t="n"/>
      <c r="AF128" s="104" t="n"/>
      <c r="AG128" s="104" t="n"/>
      <c r="AH128" s="104" t="n"/>
      <c r="AI128" s="104" t="n"/>
      <c r="AJ128" s="104" t="n"/>
      <c r="AK128" s="104" t="n"/>
      <c r="AL128" s="104" t="n"/>
      <c r="AM128" s="104" t="n"/>
      <c r="AN128" s="104" t="n"/>
      <c r="AO128" s="104" t="n"/>
      <c r="AP128" s="104" t="n"/>
      <c r="AQ128" s="104" t="n"/>
      <c r="AR128" s="104" t="n"/>
      <c r="AS128" s="104" t="n"/>
      <c r="AT128" s="104" t="n"/>
      <c r="AU128" s="104" t="n"/>
      <c r="AV128" s="104" t="n"/>
      <c r="AW128" s="104" t="n"/>
      <c r="AX128" s="104" t="n"/>
      <c r="AY128" s="104" t="n"/>
      <c r="AZ128" s="104" t="n"/>
      <c r="BA128" s="104" t="n"/>
      <c r="BB128" s="104" t="n"/>
      <c r="BC128" s="104" t="n"/>
      <c r="BD128" s="104" t="n"/>
      <c r="BE128" s="104" t="n"/>
      <c r="BF128" s="104" t="n"/>
      <c r="BG128" s="104" t="n"/>
      <c r="BH128" s="104" t="n"/>
      <c r="BI128" s="104" t="n"/>
      <c r="BJ128" s="104" t="n"/>
      <c r="BK128" s="104" t="n"/>
      <c r="BL128" s="104" t="n"/>
      <c r="BM128" s="104" t="n"/>
      <c r="BN128" s="104" t="n"/>
      <c r="BO128" s="104" t="n"/>
      <c r="BP128" s="104" t="n"/>
      <c r="BQ128" s="104" t="n"/>
      <c r="BR128" s="104" t="n"/>
      <c r="BS128" s="104" t="n"/>
      <c r="BT128" s="104" t="n"/>
      <c r="BU128" s="104" t="n"/>
      <c r="BV128" s="104" t="n"/>
      <c r="BW128" s="104" t="n"/>
      <c r="BX128" s="104" t="n"/>
    </row>
    <row r="129">
      <c r="B129" s="64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N129" s="104" t="n"/>
      <c r="O129" s="104" t="n"/>
      <c r="P129" s="104" t="n"/>
      <c r="Q129" s="104" t="n"/>
      <c r="R129" s="104" t="n"/>
      <c r="S129" s="104" t="n"/>
      <c r="T129" s="104" t="n"/>
      <c r="U129" s="104" t="n"/>
      <c r="V129" s="104" t="n"/>
      <c r="W129" s="104" t="n"/>
      <c r="X129" s="104" t="n"/>
      <c r="Y129" s="104" t="n"/>
      <c r="Z129" s="104" t="n"/>
      <c r="AA129" s="104" t="n"/>
      <c r="AB129" s="104" t="n"/>
      <c r="AC129" s="104" t="n"/>
      <c r="AD129" s="104" t="n"/>
      <c r="AE129" s="104" t="n"/>
      <c r="AF129" s="104" t="n"/>
      <c r="AG129" s="104" t="n"/>
      <c r="AH129" s="104" t="n"/>
      <c r="AI129" s="104" t="n"/>
      <c r="AJ129" s="104" t="n"/>
      <c r="AK129" s="104" t="n"/>
      <c r="AL129" s="104" t="n"/>
      <c r="AM129" s="104" t="n"/>
      <c r="AN129" s="104" t="n"/>
      <c r="AO129" s="104" t="n"/>
      <c r="AP129" s="104" t="n"/>
      <c r="AQ129" s="104" t="n"/>
      <c r="AR129" s="104" t="n"/>
      <c r="AS129" s="104" t="n"/>
      <c r="AT129" s="104" t="n"/>
      <c r="AU129" s="104" t="n"/>
      <c r="AV129" s="104" t="n"/>
      <c r="AW129" s="104" t="n"/>
      <c r="AX129" s="104" t="n"/>
      <c r="AY129" s="104" t="n"/>
      <c r="AZ129" s="104" t="n"/>
      <c r="BA129" s="104" t="n"/>
      <c r="BB129" s="104" t="n"/>
      <c r="BC129" s="104" t="n"/>
      <c r="BD129" s="104" t="n"/>
      <c r="BE129" s="104" t="n"/>
      <c r="BF129" s="104" t="n"/>
      <c r="BG129" s="104" t="n"/>
      <c r="BH129" s="104" t="n"/>
      <c r="BI129" s="104" t="n"/>
      <c r="BJ129" s="104" t="n"/>
      <c r="BK129" s="104" t="n"/>
      <c r="BL129" s="104" t="n"/>
      <c r="BM129" s="104" t="n"/>
      <c r="BN129" s="104" t="n"/>
      <c r="BO129" s="104" t="n"/>
      <c r="BP129" s="104" t="n"/>
      <c r="BQ129" s="104" t="n"/>
      <c r="BR129" s="104" t="n"/>
      <c r="BS129" s="104" t="n"/>
      <c r="BT129" s="104" t="n"/>
      <c r="BU129" s="104" t="n"/>
      <c r="BV129" s="104" t="n"/>
      <c r="BW129" s="104" t="n"/>
      <c r="BX129" s="104" t="n"/>
    </row>
    <row r="130">
      <c r="B130" s="64" t="n"/>
      <c r="C130" s="104" t="n"/>
      <c r="D130" s="104" t="n"/>
      <c r="E130" s="104" t="n"/>
      <c r="F130" s="104" t="n"/>
      <c r="G130" s="104" t="n"/>
      <c r="H130" s="104" t="n"/>
      <c r="I130" s="104" t="n"/>
      <c r="J130" s="104" t="n"/>
      <c r="K130" s="104" t="n"/>
      <c r="L130" s="104" t="n"/>
      <c r="N130" s="104" t="n"/>
      <c r="O130" s="104" t="n"/>
      <c r="P130" s="104" t="n"/>
      <c r="Q130" s="104" t="n"/>
      <c r="R130" s="104" t="n"/>
      <c r="S130" s="104" t="n"/>
      <c r="T130" s="104" t="n"/>
      <c r="U130" s="104" t="n"/>
      <c r="V130" s="104" t="n"/>
      <c r="W130" s="104" t="n"/>
      <c r="X130" s="104" t="n"/>
      <c r="Y130" s="104" t="n"/>
      <c r="Z130" s="104" t="n"/>
      <c r="AA130" s="104" t="n"/>
      <c r="AB130" s="104" t="n"/>
      <c r="AC130" s="104" t="n"/>
      <c r="AD130" s="104" t="n"/>
      <c r="AE130" s="104" t="n"/>
      <c r="AF130" s="104" t="n"/>
      <c r="AG130" s="104" t="n"/>
      <c r="AH130" s="104" t="n"/>
      <c r="AI130" s="104" t="n"/>
      <c r="AJ130" s="104" t="n"/>
      <c r="AK130" s="104" t="n"/>
      <c r="AL130" s="104" t="n"/>
      <c r="AM130" s="104" t="n"/>
      <c r="AN130" s="104" t="n"/>
      <c r="AO130" s="104" t="n"/>
      <c r="AP130" s="104" t="n"/>
      <c r="AQ130" s="104" t="n"/>
      <c r="AR130" s="104" t="n"/>
      <c r="AS130" s="104" t="n"/>
      <c r="AT130" s="104" t="n"/>
      <c r="AU130" s="104" t="n"/>
      <c r="AV130" s="104" t="n"/>
      <c r="AW130" s="104" t="n"/>
      <c r="AX130" s="104" t="n"/>
      <c r="AY130" s="104" t="n"/>
      <c r="AZ130" s="104" t="n"/>
      <c r="BA130" s="104" t="n"/>
      <c r="BB130" s="104" t="n"/>
      <c r="BC130" s="104" t="n"/>
      <c r="BD130" s="104" t="n"/>
      <c r="BE130" s="104" t="n"/>
      <c r="BF130" s="104" t="n"/>
      <c r="BG130" s="104" t="n"/>
      <c r="BH130" s="104" t="n"/>
      <c r="BI130" s="104" t="n"/>
      <c r="BJ130" s="104" t="n"/>
      <c r="BK130" s="104" t="n"/>
      <c r="BL130" s="104" t="n"/>
      <c r="BM130" s="104" t="n"/>
      <c r="BN130" s="104" t="n"/>
      <c r="BO130" s="104" t="n"/>
      <c r="BP130" s="104" t="n"/>
      <c r="BQ130" s="104" t="n"/>
      <c r="BR130" s="104" t="n"/>
      <c r="BS130" s="104" t="n"/>
      <c r="BT130" s="104" t="n"/>
      <c r="BU130" s="104" t="n"/>
      <c r="BV130" s="104" t="n"/>
      <c r="BW130" s="104" t="n"/>
      <c r="BX130" s="104" t="n"/>
    </row>
    <row r="131">
      <c r="B131" s="64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N131" s="104" t="n"/>
      <c r="O131" s="104" t="n"/>
      <c r="P131" s="104" t="n"/>
      <c r="Q131" s="104" t="n"/>
      <c r="R131" s="104" t="n"/>
      <c r="S131" s="104" t="n"/>
      <c r="T131" s="104" t="n"/>
      <c r="U131" s="104" t="n"/>
      <c r="V131" s="104" t="n"/>
      <c r="W131" s="104" t="n"/>
      <c r="X131" s="104" t="n"/>
      <c r="Y131" s="104" t="n"/>
      <c r="Z131" s="104" t="n"/>
      <c r="AA131" s="104" t="n"/>
      <c r="AB131" s="104" t="n"/>
      <c r="AC131" s="104" t="n"/>
      <c r="AD131" s="104" t="n"/>
      <c r="AE131" s="104" t="n"/>
      <c r="AF131" s="104" t="n"/>
      <c r="AG131" s="104" t="n"/>
      <c r="AH131" s="104" t="n"/>
      <c r="AI131" s="104" t="n"/>
      <c r="AJ131" s="104" t="n"/>
      <c r="AK131" s="104" t="n"/>
      <c r="AL131" s="104" t="n"/>
      <c r="AM131" s="104" t="n"/>
      <c r="AN131" s="104" t="n"/>
      <c r="AO131" s="104" t="n"/>
      <c r="AP131" s="104" t="n"/>
      <c r="AQ131" s="104" t="n"/>
      <c r="AR131" s="104" t="n"/>
      <c r="AS131" s="104" t="n"/>
      <c r="AT131" s="104" t="n"/>
      <c r="AU131" s="104" t="n"/>
      <c r="AV131" s="104" t="n"/>
      <c r="AW131" s="104" t="n"/>
      <c r="AX131" s="104" t="n"/>
      <c r="AY131" s="104" t="n"/>
      <c r="AZ131" s="104" t="n"/>
      <c r="BA131" s="104" t="n"/>
      <c r="BB131" s="104" t="n"/>
      <c r="BC131" s="104" t="n"/>
      <c r="BD131" s="104" t="n"/>
      <c r="BE131" s="104" t="n"/>
      <c r="BF131" s="104" t="n"/>
      <c r="BG131" s="104" t="n"/>
      <c r="BH131" s="104" t="n"/>
      <c r="BI131" s="104" t="n"/>
      <c r="BJ131" s="104" t="n"/>
      <c r="BK131" s="104" t="n"/>
      <c r="BL131" s="104" t="n"/>
      <c r="BM131" s="104" t="n"/>
      <c r="BN131" s="104" t="n"/>
      <c r="BO131" s="104" t="n"/>
      <c r="BP131" s="104" t="n"/>
      <c r="BQ131" s="104" t="n"/>
      <c r="BR131" s="104" t="n"/>
      <c r="BS131" s="104" t="n"/>
      <c r="BT131" s="104" t="n"/>
      <c r="BU131" s="104" t="n"/>
      <c r="BV131" s="104" t="n"/>
      <c r="BW131" s="104" t="n"/>
      <c r="BX131" s="104" t="n"/>
    </row>
    <row r="132">
      <c r="B132" s="64" t="n"/>
      <c r="C132" s="104" t="n"/>
      <c r="D132" s="104" t="n"/>
      <c r="E132" s="104" t="n"/>
      <c r="F132" s="104" t="n"/>
      <c r="G132" s="104" t="n"/>
      <c r="H132" s="104" t="n"/>
      <c r="I132" s="104" t="n"/>
      <c r="J132" s="104" t="n"/>
      <c r="K132" s="104" t="n"/>
      <c r="L132" s="104" t="n"/>
      <c r="N132" s="104" t="n"/>
      <c r="O132" s="104" t="n"/>
      <c r="P132" s="104" t="n"/>
      <c r="Q132" s="104" t="n"/>
      <c r="R132" s="104" t="n"/>
      <c r="S132" s="104" t="n"/>
      <c r="T132" s="104" t="n"/>
      <c r="U132" s="104" t="n"/>
      <c r="V132" s="104" t="n"/>
      <c r="W132" s="104" t="n"/>
      <c r="X132" s="104" t="n"/>
      <c r="Y132" s="104" t="n"/>
      <c r="Z132" s="104" t="n"/>
      <c r="AA132" s="104" t="n"/>
      <c r="AB132" s="104" t="n"/>
      <c r="AC132" s="104" t="n"/>
      <c r="AD132" s="104" t="n"/>
      <c r="AE132" s="104" t="n"/>
      <c r="AF132" s="104" t="n"/>
      <c r="AG132" s="104" t="n"/>
      <c r="AH132" s="104" t="n"/>
      <c r="AI132" s="104" t="n"/>
      <c r="AJ132" s="104" t="n"/>
      <c r="AK132" s="104" t="n"/>
      <c r="AL132" s="104" t="n"/>
      <c r="AM132" s="104" t="n"/>
      <c r="AN132" s="104" t="n"/>
      <c r="AO132" s="104" t="n"/>
      <c r="AP132" s="104" t="n"/>
      <c r="AQ132" s="104" t="n"/>
      <c r="AR132" s="104" t="n"/>
      <c r="AS132" s="104" t="n"/>
      <c r="AT132" s="104" t="n"/>
      <c r="AU132" s="104" t="n"/>
      <c r="AV132" s="104" t="n"/>
      <c r="AW132" s="104" t="n"/>
      <c r="AX132" s="104" t="n"/>
      <c r="AY132" s="104" t="n"/>
      <c r="AZ132" s="104" t="n"/>
      <c r="BA132" s="104" t="n"/>
      <c r="BB132" s="104" t="n"/>
      <c r="BC132" s="104" t="n"/>
      <c r="BD132" s="104" t="n"/>
      <c r="BE132" s="104" t="n"/>
      <c r="BF132" s="104" t="n"/>
      <c r="BG132" s="104" t="n"/>
      <c r="BH132" s="104" t="n"/>
      <c r="BI132" s="104" t="n"/>
      <c r="BJ132" s="104" t="n"/>
      <c r="BK132" s="104" t="n"/>
      <c r="BL132" s="104" t="n"/>
      <c r="BM132" s="104" t="n"/>
      <c r="BN132" s="104" t="n"/>
      <c r="BO132" s="104" t="n"/>
      <c r="BP132" s="104" t="n"/>
      <c r="BQ132" s="104" t="n"/>
      <c r="BR132" s="104" t="n"/>
      <c r="BS132" s="104" t="n"/>
      <c r="BT132" s="104" t="n"/>
      <c r="BU132" s="104" t="n"/>
      <c r="BV132" s="104" t="n"/>
      <c r="BW132" s="104" t="n"/>
      <c r="BX132" s="104" t="n"/>
    </row>
    <row r="133">
      <c r="B133" s="64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N133" s="104" t="n"/>
      <c r="O133" s="104" t="n"/>
      <c r="P133" s="104" t="n"/>
      <c r="Q133" s="104" t="n"/>
      <c r="R133" s="104" t="n"/>
      <c r="S133" s="104" t="n"/>
      <c r="T133" s="104" t="n"/>
      <c r="U133" s="104" t="n"/>
      <c r="V133" s="104" t="n"/>
      <c r="W133" s="104" t="n"/>
      <c r="X133" s="104" t="n"/>
      <c r="Y133" s="104" t="n"/>
      <c r="Z133" s="104" t="n"/>
      <c r="AA133" s="104" t="n"/>
      <c r="AB133" s="104" t="n"/>
      <c r="AC133" s="104" t="n"/>
      <c r="AD133" s="104" t="n"/>
      <c r="AE133" s="104" t="n"/>
      <c r="AF133" s="104" t="n"/>
      <c r="AG133" s="104" t="n"/>
      <c r="AH133" s="104" t="n"/>
      <c r="AI133" s="104" t="n"/>
      <c r="AJ133" s="104" t="n"/>
      <c r="AK133" s="104" t="n"/>
      <c r="AL133" s="104" t="n"/>
      <c r="AM133" s="104" t="n"/>
      <c r="AN133" s="104" t="n"/>
      <c r="AO133" s="104" t="n"/>
      <c r="AP133" s="104" t="n"/>
      <c r="AQ133" s="104" t="n"/>
      <c r="AR133" s="104" t="n"/>
      <c r="AS133" s="104" t="n"/>
      <c r="AT133" s="104" t="n"/>
      <c r="AU133" s="104" t="n"/>
      <c r="AV133" s="104" t="n"/>
      <c r="AW133" s="104" t="n"/>
      <c r="AX133" s="104" t="n"/>
      <c r="AY133" s="104" t="n"/>
      <c r="AZ133" s="104" t="n"/>
      <c r="BA133" s="104" t="n"/>
      <c r="BB133" s="104" t="n"/>
      <c r="BC133" s="104" t="n"/>
      <c r="BD133" s="104" t="n"/>
      <c r="BE133" s="104" t="n"/>
      <c r="BF133" s="104" t="n"/>
      <c r="BG133" s="104" t="n"/>
      <c r="BH133" s="104" t="n"/>
      <c r="BI133" s="104" t="n"/>
      <c r="BJ133" s="104" t="n"/>
      <c r="BK133" s="104" t="n"/>
      <c r="BL133" s="104" t="n"/>
      <c r="BM133" s="104" t="n"/>
      <c r="BN133" s="104" t="n"/>
      <c r="BO133" s="104" t="n"/>
      <c r="BP133" s="104" t="n"/>
      <c r="BQ133" s="104" t="n"/>
      <c r="BR133" s="104" t="n"/>
      <c r="BS133" s="104" t="n"/>
      <c r="BT133" s="104" t="n"/>
      <c r="BU133" s="104" t="n"/>
      <c r="BV133" s="104" t="n"/>
      <c r="BW133" s="104" t="n"/>
      <c r="BX133" s="104" t="n"/>
    </row>
    <row r="134">
      <c r="B134" s="64" t="n"/>
      <c r="C134" s="104" t="n"/>
      <c r="D134" s="104" t="n"/>
      <c r="E134" s="104" t="n"/>
      <c r="F134" s="104" t="n"/>
      <c r="G134" s="104" t="n"/>
      <c r="H134" s="104" t="n"/>
      <c r="I134" s="104" t="n"/>
      <c r="J134" s="104" t="n"/>
      <c r="K134" s="104" t="n"/>
      <c r="L134" s="104" t="n"/>
      <c r="N134" s="104" t="n"/>
      <c r="O134" s="104" t="n"/>
      <c r="P134" s="104" t="n"/>
      <c r="Q134" s="104" t="n"/>
      <c r="R134" s="104" t="n"/>
      <c r="S134" s="104" t="n"/>
      <c r="T134" s="104" t="n"/>
      <c r="U134" s="104" t="n"/>
      <c r="V134" s="104" t="n"/>
      <c r="W134" s="104" t="n"/>
      <c r="X134" s="104" t="n"/>
      <c r="Y134" s="104" t="n"/>
      <c r="Z134" s="104" t="n"/>
      <c r="AA134" s="104" t="n"/>
      <c r="AB134" s="104" t="n"/>
      <c r="AC134" s="104" t="n"/>
      <c r="AD134" s="104" t="n"/>
      <c r="AE134" s="104" t="n"/>
      <c r="AF134" s="104" t="n"/>
      <c r="AG134" s="104" t="n"/>
      <c r="AH134" s="104" t="n"/>
      <c r="AI134" s="104" t="n"/>
      <c r="AJ134" s="104" t="n"/>
      <c r="AK134" s="104" t="n"/>
      <c r="AL134" s="104" t="n"/>
      <c r="AM134" s="104" t="n"/>
      <c r="AN134" s="104" t="n"/>
      <c r="AO134" s="104" t="n"/>
      <c r="AP134" s="104" t="n"/>
      <c r="AQ134" s="104" t="n"/>
      <c r="AR134" s="104" t="n"/>
      <c r="AS134" s="104" t="n"/>
      <c r="AT134" s="104" t="n"/>
      <c r="AU134" s="104" t="n"/>
      <c r="AV134" s="104" t="n"/>
      <c r="AW134" s="104" t="n"/>
      <c r="AX134" s="104" t="n"/>
      <c r="AY134" s="104" t="n"/>
      <c r="AZ134" s="104" t="n"/>
      <c r="BA134" s="104" t="n"/>
      <c r="BB134" s="104" t="n"/>
      <c r="BC134" s="104" t="n"/>
      <c r="BD134" s="104" t="n"/>
      <c r="BE134" s="104" t="n"/>
      <c r="BF134" s="104" t="n"/>
      <c r="BG134" s="104" t="n"/>
      <c r="BH134" s="104" t="n"/>
      <c r="BI134" s="104" t="n"/>
      <c r="BJ134" s="104" t="n"/>
      <c r="BK134" s="104" t="n"/>
      <c r="BL134" s="104" t="n"/>
      <c r="BM134" s="104" t="n"/>
      <c r="BN134" s="104" t="n"/>
      <c r="BO134" s="104" t="n"/>
      <c r="BP134" s="104" t="n"/>
      <c r="BQ134" s="104" t="n"/>
      <c r="BR134" s="104" t="n"/>
      <c r="BS134" s="104" t="n"/>
      <c r="BT134" s="104" t="n"/>
      <c r="BU134" s="104" t="n"/>
      <c r="BV134" s="104" t="n"/>
      <c r="BW134" s="104" t="n"/>
      <c r="BX134" s="104" t="n"/>
    </row>
    <row r="135">
      <c r="B135" s="64" t="n"/>
      <c r="C135" s="104" t="n"/>
      <c r="D135" s="104" t="n"/>
      <c r="E135" s="104" t="n"/>
      <c r="F135" s="104" t="n"/>
      <c r="G135" s="104" t="n"/>
      <c r="H135" s="104" t="n"/>
      <c r="I135" s="104" t="n"/>
      <c r="J135" s="104" t="n"/>
      <c r="K135" s="104" t="n"/>
      <c r="L135" s="104" t="n"/>
      <c r="N135" s="104" t="n"/>
      <c r="O135" s="104" t="n"/>
      <c r="P135" s="104" t="n"/>
      <c r="Q135" s="104" t="n"/>
      <c r="R135" s="104" t="n"/>
      <c r="S135" s="104" t="n"/>
      <c r="T135" s="104" t="n"/>
      <c r="U135" s="104" t="n"/>
      <c r="V135" s="104" t="n"/>
      <c r="W135" s="104" t="n"/>
      <c r="X135" s="104" t="n"/>
      <c r="Y135" s="104" t="n"/>
      <c r="Z135" s="104" t="n"/>
      <c r="AA135" s="104" t="n"/>
      <c r="AB135" s="104" t="n"/>
      <c r="AC135" s="104" t="n"/>
      <c r="AD135" s="104" t="n"/>
      <c r="AE135" s="104" t="n"/>
      <c r="AF135" s="104" t="n"/>
      <c r="AG135" s="104" t="n"/>
      <c r="AH135" s="104" t="n"/>
      <c r="AI135" s="104" t="n"/>
      <c r="AJ135" s="104" t="n"/>
      <c r="AK135" s="104" t="n"/>
      <c r="AL135" s="104" t="n"/>
      <c r="AM135" s="104" t="n"/>
      <c r="AN135" s="104" t="n"/>
      <c r="AO135" s="104" t="n"/>
      <c r="AP135" s="104" t="n"/>
      <c r="AQ135" s="104" t="n"/>
      <c r="AR135" s="104" t="n"/>
      <c r="AS135" s="104" t="n"/>
      <c r="AT135" s="104" t="n"/>
      <c r="AU135" s="104" t="n"/>
      <c r="AV135" s="104" t="n"/>
      <c r="AW135" s="104" t="n"/>
      <c r="AX135" s="104" t="n"/>
      <c r="AY135" s="104" t="n"/>
      <c r="AZ135" s="104" t="n"/>
      <c r="BA135" s="104" t="n"/>
      <c r="BB135" s="104" t="n"/>
      <c r="BC135" s="104" t="n"/>
      <c r="BD135" s="104" t="n"/>
      <c r="BE135" s="104" t="n"/>
      <c r="BF135" s="104" t="n"/>
      <c r="BG135" s="104" t="n"/>
      <c r="BH135" s="104" t="n"/>
      <c r="BI135" s="104" t="n"/>
      <c r="BJ135" s="104" t="n"/>
      <c r="BK135" s="104" t="n"/>
      <c r="BL135" s="104" t="n"/>
      <c r="BM135" s="104" t="n"/>
      <c r="BN135" s="104" t="n"/>
      <c r="BO135" s="104" t="n"/>
      <c r="BP135" s="104" t="n"/>
      <c r="BQ135" s="104" t="n"/>
      <c r="BR135" s="104" t="n"/>
      <c r="BS135" s="104" t="n"/>
      <c r="BT135" s="104" t="n"/>
      <c r="BU135" s="104" t="n"/>
      <c r="BV135" s="104" t="n"/>
      <c r="BW135" s="104" t="n"/>
      <c r="BX135" s="104" t="n"/>
    </row>
    <row r="136">
      <c r="B136" s="64" t="n"/>
      <c r="C136" s="104" t="n"/>
      <c r="D136" s="104" t="n"/>
      <c r="E136" s="104" t="n"/>
      <c r="F136" s="104" t="n"/>
      <c r="G136" s="104" t="n"/>
      <c r="H136" s="104" t="n"/>
      <c r="I136" s="104" t="n"/>
      <c r="J136" s="104" t="n"/>
      <c r="K136" s="104" t="n"/>
      <c r="L136" s="104" t="n"/>
      <c r="N136" s="104" t="n"/>
      <c r="O136" s="104" t="n"/>
      <c r="P136" s="104" t="n"/>
      <c r="Q136" s="104" t="n"/>
      <c r="R136" s="104" t="n"/>
      <c r="S136" s="104" t="n"/>
      <c r="T136" s="104" t="n"/>
      <c r="U136" s="104" t="n"/>
      <c r="V136" s="104" t="n"/>
      <c r="W136" s="104" t="n"/>
      <c r="X136" s="104" t="n"/>
      <c r="Y136" s="104" t="n"/>
      <c r="Z136" s="104" t="n"/>
      <c r="AA136" s="104" t="n"/>
      <c r="AB136" s="104" t="n"/>
      <c r="AC136" s="104" t="n"/>
      <c r="AD136" s="104" t="n"/>
      <c r="AE136" s="104" t="n"/>
      <c r="AF136" s="104" t="n"/>
      <c r="AG136" s="104" t="n"/>
      <c r="AH136" s="104" t="n"/>
      <c r="AI136" s="104" t="n"/>
      <c r="AJ136" s="104" t="n"/>
      <c r="AK136" s="104" t="n"/>
      <c r="AL136" s="104" t="n"/>
      <c r="AM136" s="104" t="n"/>
      <c r="AN136" s="104" t="n"/>
      <c r="AO136" s="104" t="n"/>
      <c r="AP136" s="104" t="n"/>
      <c r="AQ136" s="104" t="n"/>
      <c r="AR136" s="104" t="n"/>
      <c r="AS136" s="104" t="n"/>
      <c r="AT136" s="104" t="n"/>
      <c r="AU136" s="104" t="n"/>
      <c r="AV136" s="104" t="n"/>
      <c r="AW136" s="104" t="n"/>
      <c r="AX136" s="104" t="n"/>
      <c r="AY136" s="104" t="n"/>
      <c r="AZ136" s="104" t="n"/>
      <c r="BA136" s="104" t="n"/>
      <c r="BB136" s="104" t="n"/>
      <c r="BC136" s="104" t="n"/>
      <c r="BD136" s="104" t="n"/>
      <c r="BE136" s="104" t="n"/>
      <c r="BF136" s="104" t="n"/>
      <c r="BG136" s="104" t="n"/>
      <c r="BH136" s="104" t="n"/>
      <c r="BI136" s="104" t="n"/>
      <c r="BJ136" s="104" t="n"/>
      <c r="BK136" s="104" t="n"/>
      <c r="BL136" s="104" t="n"/>
      <c r="BM136" s="104" t="n"/>
      <c r="BN136" s="104" t="n"/>
      <c r="BO136" s="104" t="n"/>
      <c r="BP136" s="104" t="n"/>
      <c r="BQ136" s="104" t="n"/>
      <c r="BR136" s="104" t="n"/>
      <c r="BS136" s="104" t="n"/>
      <c r="BT136" s="104" t="n"/>
      <c r="BU136" s="104" t="n"/>
      <c r="BV136" s="104" t="n"/>
      <c r="BW136" s="104" t="n"/>
      <c r="BX136" s="104" t="n"/>
    </row>
    <row r="137">
      <c r="B137" s="64" t="n"/>
      <c r="C137" s="104" t="n"/>
      <c r="D137" s="104" t="n"/>
      <c r="E137" s="104" t="n"/>
      <c r="F137" s="104" t="n"/>
      <c r="G137" s="104" t="n"/>
      <c r="H137" s="104" t="n"/>
      <c r="I137" s="104" t="n"/>
      <c r="J137" s="104" t="n"/>
      <c r="K137" s="104" t="n"/>
      <c r="L137" s="104" t="n"/>
      <c r="N137" s="104" t="n"/>
      <c r="O137" s="104" t="n"/>
      <c r="P137" s="104" t="n"/>
      <c r="Q137" s="104" t="n"/>
      <c r="R137" s="104" t="n"/>
      <c r="S137" s="104" t="n"/>
      <c r="T137" s="104" t="n"/>
      <c r="U137" s="104" t="n"/>
      <c r="V137" s="104" t="n"/>
      <c r="W137" s="104" t="n"/>
      <c r="X137" s="104" t="n"/>
      <c r="Y137" s="104" t="n"/>
      <c r="Z137" s="104" t="n"/>
      <c r="AA137" s="104" t="n"/>
      <c r="AB137" s="104" t="n"/>
      <c r="AC137" s="104" t="n"/>
      <c r="AD137" s="104" t="n"/>
      <c r="AE137" s="104" t="n"/>
      <c r="AF137" s="104" t="n"/>
      <c r="AG137" s="104" t="n"/>
      <c r="AH137" s="104" t="n"/>
      <c r="AI137" s="104" t="n"/>
      <c r="AJ137" s="104" t="n"/>
      <c r="AK137" s="104" t="n"/>
      <c r="AL137" s="104" t="n"/>
      <c r="AM137" s="104" t="n"/>
      <c r="AN137" s="104" t="n"/>
      <c r="AO137" s="104" t="n"/>
      <c r="AP137" s="104" t="n"/>
      <c r="AQ137" s="104" t="n"/>
      <c r="AR137" s="104" t="n"/>
      <c r="AS137" s="104" t="n"/>
      <c r="AT137" s="104" t="n"/>
      <c r="AU137" s="104" t="n"/>
      <c r="AV137" s="104" t="n"/>
      <c r="AW137" s="104" t="n"/>
      <c r="AX137" s="104" t="n"/>
      <c r="AY137" s="104" t="n"/>
      <c r="AZ137" s="104" t="n"/>
      <c r="BA137" s="104" t="n"/>
      <c r="BB137" s="104" t="n"/>
      <c r="BC137" s="104" t="n"/>
      <c r="BD137" s="104" t="n"/>
      <c r="BE137" s="104" t="n"/>
      <c r="BF137" s="104" t="n"/>
      <c r="BG137" s="104" t="n"/>
      <c r="BH137" s="104" t="n"/>
      <c r="BI137" s="104" t="n"/>
      <c r="BJ137" s="104" t="n"/>
      <c r="BK137" s="104" t="n"/>
      <c r="BL137" s="104" t="n"/>
      <c r="BM137" s="104" t="n"/>
      <c r="BN137" s="104" t="n"/>
      <c r="BO137" s="104" t="n"/>
      <c r="BP137" s="104" t="n"/>
      <c r="BQ137" s="104" t="n"/>
      <c r="BR137" s="104" t="n"/>
      <c r="BS137" s="104" t="n"/>
      <c r="BT137" s="104" t="n"/>
      <c r="BU137" s="104" t="n"/>
      <c r="BV137" s="104" t="n"/>
      <c r="BW137" s="104" t="n"/>
      <c r="BX137" s="104" t="n"/>
    </row>
    <row r="138">
      <c r="B138" s="64" t="n"/>
      <c r="C138" s="104" t="n"/>
      <c r="D138" s="104" t="n"/>
      <c r="E138" s="104" t="n"/>
      <c r="F138" s="104" t="n"/>
      <c r="G138" s="104" t="n"/>
      <c r="H138" s="104" t="n"/>
      <c r="I138" s="104" t="n"/>
      <c r="J138" s="104" t="n"/>
      <c r="K138" s="104" t="n"/>
      <c r="L138" s="104" t="n"/>
      <c r="N138" s="104" t="n"/>
      <c r="O138" s="104" t="n"/>
      <c r="P138" s="104" t="n"/>
      <c r="Q138" s="104" t="n"/>
      <c r="R138" s="104" t="n"/>
      <c r="S138" s="104" t="n"/>
      <c r="T138" s="104" t="n"/>
      <c r="U138" s="104" t="n"/>
      <c r="V138" s="104" t="n"/>
      <c r="W138" s="104" t="n"/>
      <c r="X138" s="104" t="n"/>
      <c r="Y138" s="104" t="n"/>
      <c r="Z138" s="104" t="n"/>
      <c r="AA138" s="104" t="n"/>
      <c r="AB138" s="104" t="n"/>
      <c r="AC138" s="104" t="n"/>
      <c r="AD138" s="104" t="n"/>
      <c r="AE138" s="104" t="n"/>
      <c r="AF138" s="104" t="n"/>
      <c r="AG138" s="104" t="n"/>
      <c r="AH138" s="104" t="n"/>
      <c r="AI138" s="104" t="n"/>
      <c r="AJ138" s="104" t="n"/>
      <c r="AK138" s="104" t="n"/>
      <c r="AL138" s="104" t="n"/>
      <c r="AM138" s="104" t="n"/>
      <c r="AN138" s="104" t="n"/>
      <c r="AO138" s="104" t="n"/>
      <c r="AP138" s="104" t="n"/>
      <c r="AQ138" s="104" t="n"/>
      <c r="AR138" s="104" t="n"/>
      <c r="AS138" s="104" t="n"/>
      <c r="AT138" s="104" t="n"/>
      <c r="AU138" s="104" t="n"/>
      <c r="AV138" s="104" t="n"/>
      <c r="AW138" s="104" t="n"/>
      <c r="AX138" s="104" t="n"/>
      <c r="AY138" s="104" t="n"/>
      <c r="AZ138" s="104" t="n"/>
      <c r="BA138" s="104" t="n"/>
      <c r="BB138" s="104" t="n"/>
      <c r="BC138" s="104" t="n"/>
      <c r="BD138" s="104" t="n"/>
      <c r="BE138" s="104" t="n"/>
      <c r="BF138" s="104" t="n"/>
      <c r="BG138" s="104" t="n"/>
      <c r="BH138" s="104" t="n"/>
      <c r="BI138" s="104" t="n"/>
      <c r="BJ138" s="104" t="n"/>
      <c r="BK138" s="104" t="n"/>
      <c r="BL138" s="104" t="n"/>
      <c r="BM138" s="104" t="n"/>
      <c r="BN138" s="104" t="n"/>
      <c r="BO138" s="104" t="n"/>
      <c r="BP138" s="104" t="n"/>
      <c r="BQ138" s="104" t="n"/>
      <c r="BR138" s="104" t="n"/>
      <c r="BS138" s="104" t="n"/>
      <c r="BT138" s="104" t="n"/>
      <c r="BU138" s="104" t="n"/>
      <c r="BV138" s="104" t="n"/>
      <c r="BW138" s="104" t="n"/>
      <c r="BX138" s="104" t="n"/>
    </row>
    <row r="139">
      <c r="B139" s="64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N139" s="104" t="n"/>
      <c r="O139" s="104" t="n"/>
      <c r="P139" s="104" t="n"/>
      <c r="Q139" s="104" t="n"/>
      <c r="R139" s="104" t="n"/>
      <c r="S139" s="104" t="n"/>
      <c r="T139" s="104" t="n"/>
      <c r="U139" s="104" t="n"/>
      <c r="V139" s="104" t="n"/>
      <c r="W139" s="104" t="n"/>
      <c r="X139" s="104" t="n"/>
      <c r="Y139" s="104" t="n"/>
      <c r="Z139" s="104" t="n"/>
      <c r="AA139" s="104" t="n"/>
      <c r="AB139" s="104" t="n"/>
      <c r="AC139" s="104" t="n"/>
      <c r="AD139" s="104" t="n"/>
      <c r="AE139" s="104" t="n"/>
      <c r="AF139" s="104" t="n"/>
      <c r="AG139" s="104" t="n"/>
      <c r="AH139" s="104" t="n"/>
      <c r="AI139" s="104" t="n"/>
      <c r="AJ139" s="104" t="n"/>
      <c r="AK139" s="104" t="n"/>
      <c r="AL139" s="104" t="n"/>
      <c r="AM139" s="104" t="n"/>
      <c r="AN139" s="104" t="n"/>
      <c r="AO139" s="104" t="n"/>
      <c r="AP139" s="104" t="n"/>
      <c r="AQ139" s="104" t="n"/>
      <c r="AR139" s="104" t="n"/>
      <c r="AS139" s="104" t="n"/>
      <c r="AT139" s="104" t="n"/>
      <c r="AU139" s="104" t="n"/>
      <c r="AV139" s="104" t="n"/>
      <c r="AW139" s="104" t="n"/>
      <c r="AX139" s="104" t="n"/>
      <c r="AY139" s="104" t="n"/>
      <c r="AZ139" s="104" t="n"/>
      <c r="BA139" s="104" t="n"/>
      <c r="BB139" s="104" t="n"/>
      <c r="BC139" s="104" t="n"/>
      <c r="BD139" s="104" t="n"/>
      <c r="BE139" s="104" t="n"/>
      <c r="BF139" s="104" t="n"/>
      <c r="BG139" s="104" t="n"/>
      <c r="BH139" s="104" t="n"/>
      <c r="BI139" s="104" t="n"/>
      <c r="BJ139" s="104" t="n"/>
      <c r="BK139" s="104" t="n"/>
      <c r="BL139" s="104" t="n"/>
      <c r="BM139" s="104" t="n"/>
      <c r="BN139" s="104" t="n"/>
      <c r="BO139" s="104" t="n"/>
      <c r="BP139" s="104" t="n"/>
      <c r="BQ139" s="104" t="n"/>
      <c r="BR139" s="104" t="n"/>
      <c r="BS139" s="104" t="n"/>
      <c r="BT139" s="104" t="n"/>
      <c r="BU139" s="104" t="n"/>
      <c r="BV139" s="104" t="n"/>
      <c r="BW139" s="104" t="n"/>
      <c r="BX139" s="104" t="n"/>
    </row>
    <row r="140">
      <c r="B140" s="64" t="n"/>
      <c r="C140" s="104" t="n"/>
      <c r="D140" s="104" t="n"/>
      <c r="E140" s="104" t="n"/>
      <c r="F140" s="104" t="n"/>
      <c r="G140" s="104" t="n"/>
      <c r="H140" s="104" t="n"/>
      <c r="I140" s="104" t="n"/>
      <c r="J140" s="104" t="n"/>
      <c r="K140" s="104" t="n"/>
      <c r="L140" s="104" t="n"/>
      <c r="N140" s="104" t="n"/>
      <c r="O140" s="104" t="n"/>
      <c r="P140" s="104" t="n"/>
      <c r="Q140" s="104" t="n"/>
      <c r="R140" s="104" t="n"/>
      <c r="S140" s="104" t="n"/>
      <c r="T140" s="104" t="n"/>
      <c r="U140" s="104" t="n"/>
      <c r="V140" s="104" t="n"/>
      <c r="W140" s="104" t="n"/>
      <c r="X140" s="104" t="n"/>
      <c r="Y140" s="104" t="n"/>
      <c r="Z140" s="104" t="n"/>
      <c r="AA140" s="104" t="n"/>
      <c r="AB140" s="104" t="n"/>
      <c r="AC140" s="104" t="n"/>
      <c r="AD140" s="104" t="n"/>
      <c r="AE140" s="104" t="n"/>
      <c r="AF140" s="104" t="n"/>
      <c r="AG140" s="104" t="n"/>
      <c r="AH140" s="104" t="n"/>
      <c r="AI140" s="104" t="n"/>
      <c r="AJ140" s="104" t="n"/>
      <c r="AK140" s="104" t="n"/>
      <c r="AL140" s="104" t="n"/>
      <c r="AM140" s="104" t="n"/>
      <c r="AN140" s="104" t="n"/>
      <c r="AO140" s="104" t="n"/>
      <c r="AP140" s="104" t="n"/>
      <c r="AQ140" s="104" t="n"/>
      <c r="AR140" s="104" t="n"/>
      <c r="AS140" s="104" t="n"/>
      <c r="AT140" s="104" t="n"/>
      <c r="AU140" s="104" t="n"/>
      <c r="AV140" s="104" t="n"/>
      <c r="AW140" s="104" t="n"/>
      <c r="AX140" s="104" t="n"/>
      <c r="AY140" s="104" t="n"/>
      <c r="AZ140" s="104" t="n"/>
      <c r="BA140" s="104" t="n"/>
      <c r="BB140" s="104" t="n"/>
      <c r="BC140" s="104" t="n"/>
      <c r="BD140" s="104" t="n"/>
      <c r="BE140" s="104" t="n"/>
      <c r="BF140" s="104" t="n"/>
      <c r="BG140" s="104" t="n"/>
      <c r="BH140" s="104" t="n"/>
      <c r="BI140" s="104" t="n"/>
      <c r="BJ140" s="104" t="n"/>
      <c r="BK140" s="104" t="n"/>
      <c r="BL140" s="104" t="n"/>
      <c r="BM140" s="104" t="n"/>
      <c r="BN140" s="104" t="n"/>
      <c r="BO140" s="104" t="n"/>
      <c r="BP140" s="104" t="n"/>
      <c r="BQ140" s="104" t="n"/>
      <c r="BR140" s="104" t="n"/>
      <c r="BS140" s="104" t="n"/>
      <c r="BT140" s="104" t="n"/>
      <c r="BU140" s="104" t="n"/>
      <c r="BV140" s="104" t="n"/>
      <c r="BW140" s="104" t="n"/>
      <c r="BX140" s="104" t="n"/>
    </row>
    <row r="141">
      <c r="B141" s="64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N141" s="104" t="n"/>
      <c r="O141" s="104" t="n"/>
      <c r="P141" s="104" t="n"/>
      <c r="Q141" s="104" t="n"/>
      <c r="R141" s="104" t="n"/>
      <c r="S141" s="104" t="n"/>
      <c r="T141" s="104" t="n"/>
      <c r="U141" s="104" t="n"/>
      <c r="V141" s="104" t="n"/>
      <c r="W141" s="104" t="n"/>
      <c r="X141" s="104" t="n"/>
      <c r="Y141" s="104" t="n"/>
      <c r="Z141" s="104" t="n"/>
      <c r="AA141" s="104" t="n"/>
      <c r="AB141" s="104" t="n"/>
      <c r="AC141" s="104" t="n"/>
      <c r="AD141" s="104" t="n"/>
      <c r="AE141" s="104" t="n"/>
      <c r="AF141" s="104" t="n"/>
      <c r="AG141" s="104" t="n"/>
      <c r="AH141" s="104" t="n"/>
      <c r="AI141" s="104" t="n"/>
      <c r="AJ141" s="104" t="n"/>
      <c r="AK141" s="104" t="n"/>
      <c r="AL141" s="104" t="n"/>
      <c r="AM141" s="104" t="n"/>
      <c r="AN141" s="104" t="n"/>
      <c r="AO141" s="104" t="n"/>
      <c r="AP141" s="104" t="n"/>
      <c r="AQ141" s="104" t="n"/>
      <c r="AR141" s="104" t="n"/>
      <c r="AS141" s="104" t="n"/>
      <c r="AT141" s="104" t="n"/>
      <c r="AU141" s="104" t="n"/>
      <c r="AV141" s="104" t="n"/>
      <c r="AW141" s="104" t="n"/>
      <c r="AX141" s="104" t="n"/>
      <c r="AY141" s="104" t="n"/>
      <c r="AZ141" s="104" t="n"/>
      <c r="BA141" s="104" t="n"/>
      <c r="BB141" s="104" t="n"/>
      <c r="BC141" s="104" t="n"/>
      <c r="BD141" s="104" t="n"/>
      <c r="BE141" s="104" t="n"/>
      <c r="BF141" s="104" t="n"/>
      <c r="BG141" s="104" t="n"/>
      <c r="BH141" s="104" t="n"/>
      <c r="BI141" s="104" t="n"/>
      <c r="BJ141" s="104" t="n"/>
      <c r="BK141" s="104" t="n"/>
      <c r="BL141" s="104" t="n"/>
      <c r="BM141" s="104" t="n"/>
      <c r="BN141" s="104" t="n"/>
      <c r="BO141" s="104" t="n"/>
      <c r="BP141" s="104" t="n"/>
      <c r="BQ141" s="104" t="n"/>
      <c r="BR141" s="104" t="n"/>
      <c r="BS141" s="104" t="n"/>
      <c r="BT141" s="104" t="n"/>
      <c r="BU141" s="104" t="n"/>
      <c r="BV141" s="104" t="n"/>
      <c r="BW141" s="104" t="n"/>
      <c r="BX141" s="104" t="n"/>
    </row>
    <row r="142">
      <c r="B142" s="64" t="n"/>
      <c r="C142" s="104" t="n"/>
      <c r="D142" s="104" t="n"/>
      <c r="E142" s="104" t="n"/>
      <c r="F142" s="104" t="n"/>
      <c r="G142" s="104" t="n"/>
      <c r="H142" s="104" t="n"/>
      <c r="I142" s="104" t="n"/>
      <c r="J142" s="104" t="n"/>
      <c r="K142" s="104" t="n"/>
      <c r="L142" s="104" t="n"/>
      <c r="N142" s="104" t="n"/>
      <c r="O142" s="104" t="n"/>
      <c r="P142" s="104" t="n"/>
      <c r="Q142" s="104" t="n"/>
      <c r="R142" s="104" t="n"/>
      <c r="S142" s="104" t="n"/>
      <c r="T142" s="104" t="n"/>
      <c r="U142" s="104" t="n"/>
      <c r="V142" s="104" t="n"/>
      <c r="W142" s="104" t="n"/>
      <c r="X142" s="104" t="n"/>
      <c r="Y142" s="104" t="n"/>
      <c r="Z142" s="104" t="n"/>
      <c r="AA142" s="104" t="n"/>
      <c r="AB142" s="104" t="n"/>
      <c r="AC142" s="104" t="n"/>
      <c r="AD142" s="104" t="n"/>
      <c r="AE142" s="104" t="n"/>
      <c r="AF142" s="104" t="n"/>
      <c r="AG142" s="104" t="n"/>
      <c r="AH142" s="104" t="n"/>
      <c r="AI142" s="104" t="n"/>
      <c r="AJ142" s="104" t="n"/>
      <c r="AK142" s="104" t="n"/>
      <c r="AL142" s="104" t="n"/>
      <c r="AM142" s="104" t="n"/>
      <c r="AN142" s="104" t="n"/>
      <c r="AO142" s="104" t="n"/>
      <c r="AP142" s="104" t="n"/>
      <c r="AQ142" s="104" t="n"/>
      <c r="AR142" s="104" t="n"/>
      <c r="AS142" s="104" t="n"/>
      <c r="AT142" s="104" t="n"/>
      <c r="AU142" s="104" t="n"/>
      <c r="AV142" s="104" t="n"/>
      <c r="AW142" s="104" t="n"/>
      <c r="AX142" s="104" t="n"/>
      <c r="AY142" s="104" t="n"/>
      <c r="AZ142" s="104" t="n"/>
      <c r="BA142" s="104" t="n"/>
      <c r="BB142" s="104" t="n"/>
      <c r="BC142" s="104" t="n"/>
      <c r="BD142" s="104" t="n"/>
      <c r="BE142" s="104" t="n"/>
      <c r="BF142" s="104" t="n"/>
      <c r="BG142" s="104" t="n"/>
      <c r="BH142" s="104" t="n"/>
      <c r="BI142" s="104" t="n"/>
      <c r="BJ142" s="104" t="n"/>
      <c r="BK142" s="104" t="n"/>
      <c r="BL142" s="104" t="n"/>
      <c r="BM142" s="104" t="n"/>
      <c r="BN142" s="104" t="n"/>
      <c r="BO142" s="104" t="n"/>
      <c r="BP142" s="104" t="n"/>
      <c r="BQ142" s="104" t="n"/>
      <c r="BR142" s="104" t="n"/>
      <c r="BS142" s="104" t="n"/>
      <c r="BT142" s="104" t="n"/>
      <c r="BU142" s="104" t="n"/>
      <c r="BV142" s="104" t="n"/>
      <c r="BW142" s="104" t="n"/>
      <c r="BX142" s="104" t="n"/>
    </row>
    <row r="143">
      <c r="B143" s="64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N143" s="104" t="n"/>
      <c r="O143" s="104" t="n"/>
      <c r="P143" s="104" t="n"/>
      <c r="Q143" s="104" t="n"/>
      <c r="R143" s="104" t="n"/>
      <c r="S143" s="104" t="n"/>
      <c r="T143" s="104" t="n"/>
      <c r="U143" s="104" t="n"/>
      <c r="V143" s="104" t="n"/>
      <c r="W143" s="104" t="n"/>
      <c r="X143" s="104" t="n"/>
      <c r="Y143" s="104" t="n"/>
      <c r="Z143" s="104" t="n"/>
      <c r="AA143" s="104" t="n"/>
      <c r="AB143" s="104" t="n"/>
      <c r="AC143" s="104" t="n"/>
      <c r="AD143" s="104" t="n"/>
      <c r="AE143" s="104" t="n"/>
      <c r="AF143" s="104" t="n"/>
      <c r="AG143" s="104" t="n"/>
      <c r="AH143" s="104" t="n"/>
      <c r="AI143" s="104" t="n"/>
      <c r="AJ143" s="104" t="n"/>
      <c r="AK143" s="104" t="n"/>
      <c r="AL143" s="104" t="n"/>
      <c r="AM143" s="104" t="n"/>
      <c r="AN143" s="104" t="n"/>
      <c r="AO143" s="104" t="n"/>
      <c r="AP143" s="104" t="n"/>
      <c r="AQ143" s="104" t="n"/>
      <c r="AR143" s="104" t="n"/>
      <c r="AS143" s="104" t="n"/>
      <c r="AT143" s="104" t="n"/>
      <c r="AU143" s="104" t="n"/>
      <c r="AV143" s="104" t="n"/>
      <c r="AW143" s="104" t="n"/>
      <c r="AX143" s="104" t="n"/>
      <c r="AY143" s="104" t="n"/>
      <c r="AZ143" s="104" t="n"/>
      <c r="BA143" s="104" t="n"/>
      <c r="BB143" s="104" t="n"/>
      <c r="BC143" s="104" t="n"/>
      <c r="BD143" s="104" t="n"/>
      <c r="BE143" s="104" t="n"/>
      <c r="BF143" s="104" t="n"/>
      <c r="BG143" s="104" t="n"/>
      <c r="BH143" s="104" t="n"/>
      <c r="BI143" s="104" t="n"/>
      <c r="BJ143" s="104" t="n"/>
      <c r="BK143" s="104" t="n"/>
      <c r="BL143" s="104" t="n"/>
      <c r="BM143" s="104" t="n"/>
      <c r="BN143" s="104" t="n"/>
      <c r="BO143" s="104" t="n"/>
      <c r="BP143" s="104" t="n"/>
      <c r="BQ143" s="104" t="n"/>
      <c r="BR143" s="104" t="n"/>
      <c r="BS143" s="104" t="n"/>
      <c r="BT143" s="104" t="n"/>
      <c r="BU143" s="104" t="n"/>
      <c r="BV143" s="104" t="n"/>
      <c r="BW143" s="104" t="n"/>
      <c r="BX143" s="104" t="n"/>
    </row>
    <row r="144">
      <c r="B144" s="64" t="n"/>
      <c r="C144" s="104" t="n"/>
      <c r="D144" s="104" t="n"/>
      <c r="E144" s="104" t="n"/>
      <c r="F144" s="104" t="n"/>
      <c r="G144" s="104" t="n"/>
      <c r="H144" s="104" t="n"/>
      <c r="I144" s="104" t="n"/>
      <c r="J144" s="104" t="n"/>
      <c r="K144" s="104" t="n"/>
      <c r="L144" s="104" t="n"/>
      <c r="N144" s="104" t="n"/>
      <c r="O144" s="104" t="n"/>
      <c r="P144" s="104" t="n"/>
      <c r="Q144" s="104" t="n"/>
      <c r="R144" s="104" t="n"/>
      <c r="S144" s="104" t="n"/>
      <c r="T144" s="104" t="n"/>
      <c r="U144" s="104" t="n"/>
      <c r="V144" s="104" t="n"/>
      <c r="W144" s="104" t="n"/>
      <c r="X144" s="104" t="n"/>
      <c r="Y144" s="104" t="n"/>
      <c r="Z144" s="104" t="n"/>
      <c r="AA144" s="104" t="n"/>
      <c r="AB144" s="104" t="n"/>
      <c r="AC144" s="104" t="n"/>
      <c r="AD144" s="104" t="n"/>
      <c r="AE144" s="104" t="n"/>
      <c r="AF144" s="104" t="n"/>
      <c r="AG144" s="104" t="n"/>
      <c r="AH144" s="104" t="n"/>
      <c r="AI144" s="104" t="n"/>
      <c r="AJ144" s="104" t="n"/>
      <c r="AK144" s="104" t="n"/>
      <c r="AL144" s="104" t="n"/>
      <c r="AM144" s="104" t="n"/>
      <c r="AN144" s="104" t="n"/>
      <c r="AO144" s="104" t="n"/>
      <c r="AP144" s="104" t="n"/>
      <c r="AQ144" s="104" t="n"/>
      <c r="AR144" s="104" t="n"/>
      <c r="AS144" s="104" t="n"/>
      <c r="AT144" s="104" t="n"/>
      <c r="AU144" s="104" t="n"/>
      <c r="AV144" s="104" t="n"/>
      <c r="AW144" s="104" t="n"/>
      <c r="AX144" s="104" t="n"/>
      <c r="AY144" s="104" t="n"/>
      <c r="AZ144" s="104" t="n"/>
      <c r="BA144" s="104" t="n"/>
      <c r="BB144" s="104" t="n"/>
      <c r="BC144" s="104" t="n"/>
      <c r="BD144" s="104" t="n"/>
      <c r="BE144" s="104" t="n"/>
      <c r="BF144" s="104" t="n"/>
      <c r="BG144" s="104" t="n"/>
      <c r="BH144" s="104" t="n"/>
      <c r="BI144" s="104" t="n"/>
      <c r="BJ144" s="104" t="n"/>
      <c r="BK144" s="104" t="n"/>
      <c r="BL144" s="104" t="n"/>
      <c r="BM144" s="104" t="n"/>
      <c r="BN144" s="104" t="n"/>
      <c r="BO144" s="104" t="n"/>
      <c r="BP144" s="104" t="n"/>
      <c r="BQ144" s="104" t="n"/>
      <c r="BR144" s="104" t="n"/>
      <c r="BS144" s="104" t="n"/>
      <c r="BT144" s="104" t="n"/>
      <c r="BU144" s="104" t="n"/>
      <c r="BV144" s="104" t="n"/>
      <c r="BW144" s="104" t="n"/>
      <c r="BX144" s="104" t="n"/>
    </row>
    <row r="145">
      <c r="B145" s="64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N145" s="104" t="n"/>
      <c r="O145" s="104" t="n"/>
      <c r="P145" s="104" t="n"/>
      <c r="Q145" s="104" t="n"/>
      <c r="R145" s="104" t="n"/>
      <c r="S145" s="104" t="n"/>
      <c r="T145" s="104" t="n"/>
      <c r="U145" s="104" t="n"/>
      <c r="V145" s="104" t="n"/>
      <c r="W145" s="104" t="n"/>
      <c r="X145" s="104" t="n"/>
      <c r="Y145" s="104" t="n"/>
      <c r="Z145" s="104" t="n"/>
      <c r="AA145" s="104" t="n"/>
      <c r="AB145" s="104" t="n"/>
      <c r="AC145" s="104" t="n"/>
      <c r="AD145" s="104" t="n"/>
      <c r="AE145" s="104" t="n"/>
      <c r="AF145" s="104" t="n"/>
      <c r="AG145" s="104" t="n"/>
      <c r="AH145" s="104" t="n"/>
      <c r="AI145" s="104" t="n"/>
      <c r="AJ145" s="104" t="n"/>
      <c r="AK145" s="104" t="n"/>
      <c r="AL145" s="104" t="n"/>
      <c r="AM145" s="104" t="n"/>
      <c r="AN145" s="104" t="n"/>
      <c r="AO145" s="104" t="n"/>
      <c r="AP145" s="104" t="n"/>
      <c r="AQ145" s="104" t="n"/>
      <c r="AR145" s="104" t="n"/>
      <c r="AS145" s="104" t="n"/>
      <c r="AT145" s="104" t="n"/>
      <c r="AU145" s="104" t="n"/>
      <c r="AV145" s="104" t="n"/>
      <c r="AW145" s="104" t="n"/>
      <c r="AX145" s="104" t="n"/>
      <c r="AY145" s="104" t="n"/>
      <c r="AZ145" s="104" t="n"/>
      <c r="BA145" s="104" t="n"/>
      <c r="BB145" s="104" t="n"/>
      <c r="BC145" s="104" t="n"/>
      <c r="BD145" s="104" t="n"/>
      <c r="BE145" s="104" t="n"/>
      <c r="BF145" s="104" t="n"/>
      <c r="BG145" s="104" t="n"/>
      <c r="BH145" s="104" t="n"/>
      <c r="BI145" s="104" t="n"/>
      <c r="BJ145" s="104" t="n"/>
      <c r="BK145" s="104" t="n"/>
      <c r="BL145" s="104" t="n"/>
      <c r="BM145" s="104" t="n"/>
      <c r="BN145" s="104" t="n"/>
      <c r="BO145" s="104" t="n"/>
      <c r="BP145" s="104" t="n"/>
      <c r="BQ145" s="104" t="n"/>
      <c r="BR145" s="104" t="n"/>
      <c r="BS145" s="104" t="n"/>
      <c r="BT145" s="104" t="n"/>
      <c r="BU145" s="104" t="n"/>
      <c r="BV145" s="104" t="n"/>
      <c r="BW145" s="104" t="n"/>
      <c r="BX145" s="104" t="n"/>
    </row>
    <row r="146">
      <c r="B146" s="64" t="n"/>
      <c r="C146" s="104" t="n"/>
      <c r="D146" s="104" t="n"/>
      <c r="E146" s="104" t="n"/>
      <c r="F146" s="104" t="n"/>
      <c r="G146" s="104" t="n"/>
      <c r="H146" s="104" t="n"/>
      <c r="I146" s="104" t="n"/>
      <c r="J146" s="104" t="n"/>
      <c r="K146" s="104" t="n"/>
      <c r="L146" s="104" t="n"/>
      <c r="N146" s="104" t="n"/>
      <c r="O146" s="104" t="n"/>
      <c r="P146" s="104" t="n"/>
      <c r="Q146" s="104" t="n"/>
      <c r="R146" s="104" t="n"/>
      <c r="S146" s="104" t="n"/>
      <c r="T146" s="104" t="n"/>
      <c r="U146" s="104" t="n"/>
      <c r="V146" s="104" t="n"/>
      <c r="W146" s="104" t="n"/>
      <c r="X146" s="104" t="n"/>
      <c r="Y146" s="104" t="n"/>
      <c r="Z146" s="104" t="n"/>
      <c r="AA146" s="104" t="n"/>
      <c r="AB146" s="104" t="n"/>
      <c r="AC146" s="104" t="n"/>
      <c r="AD146" s="104" t="n"/>
      <c r="AE146" s="104" t="n"/>
      <c r="AF146" s="104" t="n"/>
      <c r="AG146" s="104" t="n"/>
      <c r="AH146" s="104" t="n"/>
      <c r="AI146" s="104" t="n"/>
      <c r="AJ146" s="104" t="n"/>
      <c r="AK146" s="104" t="n"/>
      <c r="AL146" s="104" t="n"/>
      <c r="AM146" s="104" t="n"/>
      <c r="AN146" s="104" t="n"/>
      <c r="AO146" s="104" t="n"/>
      <c r="AP146" s="104" t="n"/>
      <c r="AQ146" s="104" t="n"/>
      <c r="AR146" s="104" t="n"/>
      <c r="AS146" s="104" t="n"/>
      <c r="AT146" s="104" t="n"/>
      <c r="AU146" s="104" t="n"/>
      <c r="AV146" s="104" t="n"/>
      <c r="AW146" s="104" t="n"/>
      <c r="AX146" s="104" t="n"/>
      <c r="AY146" s="104" t="n"/>
      <c r="AZ146" s="104" t="n"/>
      <c r="BA146" s="104" t="n"/>
      <c r="BB146" s="104" t="n"/>
      <c r="BC146" s="104" t="n"/>
      <c r="BD146" s="104" t="n"/>
      <c r="BE146" s="104" t="n"/>
      <c r="BF146" s="104" t="n"/>
      <c r="BG146" s="104" t="n"/>
      <c r="BH146" s="104" t="n"/>
      <c r="BI146" s="104" t="n"/>
      <c r="BJ146" s="104" t="n"/>
      <c r="BK146" s="104" t="n"/>
      <c r="BL146" s="104" t="n"/>
      <c r="BM146" s="104" t="n"/>
      <c r="BN146" s="104" t="n"/>
      <c r="BO146" s="104" t="n"/>
      <c r="BP146" s="104" t="n"/>
      <c r="BQ146" s="104" t="n"/>
      <c r="BR146" s="104" t="n"/>
      <c r="BS146" s="104" t="n"/>
      <c r="BT146" s="104" t="n"/>
      <c r="BU146" s="104" t="n"/>
      <c r="BV146" s="104" t="n"/>
      <c r="BW146" s="104" t="n"/>
      <c r="BX146" s="104" t="n"/>
    </row>
    <row r="147">
      <c r="B147" s="64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N147" s="104" t="n"/>
      <c r="O147" s="104" t="n"/>
      <c r="P147" s="104" t="n"/>
      <c r="Q147" s="104" t="n"/>
      <c r="R147" s="104" t="n"/>
      <c r="S147" s="104" t="n"/>
      <c r="T147" s="104" t="n"/>
      <c r="U147" s="104" t="n"/>
      <c r="V147" s="104" t="n"/>
      <c r="W147" s="104" t="n"/>
      <c r="X147" s="104" t="n"/>
      <c r="Y147" s="104" t="n"/>
      <c r="Z147" s="104" t="n"/>
      <c r="AA147" s="104" t="n"/>
      <c r="AB147" s="104" t="n"/>
      <c r="AC147" s="104" t="n"/>
      <c r="AD147" s="104" t="n"/>
      <c r="AE147" s="104" t="n"/>
      <c r="AF147" s="104" t="n"/>
      <c r="AG147" s="104" t="n"/>
      <c r="AH147" s="104" t="n"/>
      <c r="AI147" s="104" t="n"/>
      <c r="AJ147" s="104" t="n"/>
      <c r="AK147" s="104" t="n"/>
      <c r="AL147" s="104" t="n"/>
      <c r="AM147" s="104" t="n"/>
      <c r="AN147" s="104" t="n"/>
      <c r="AO147" s="104" t="n"/>
      <c r="AP147" s="104" t="n"/>
      <c r="AQ147" s="104" t="n"/>
      <c r="AR147" s="104" t="n"/>
      <c r="AS147" s="104" t="n"/>
      <c r="AT147" s="104" t="n"/>
      <c r="AU147" s="104" t="n"/>
      <c r="AV147" s="104" t="n"/>
      <c r="AW147" s="104" t="n"/>
      <c r="AX147" s="104" t="n"/>
      <c r="AY147" s="104" t="n"/>
      <c r="AZ147" s="104" t="n"/>
      <c r="BA147" s="104" t="n"/>
      <c r="BB147" s="104" t="n"/>
      <c r="BC147" s="104" t="n"/>
      <c r="BD147" s="104" t="n"/>
      <c r="BE147" s="104" t="n"/>
      <c r="BF147" s="104" t="n"/>
      <c r="BG147" s="104" t="n"/>
      <c r="BH147" s="104" t="n"/>
      <c r="BI147" s="104" t="n"/>
      <c r="BJ147" s="104" t="n"/>
      <c r="BK147" s="104" t="n"/>
      <c r="BL147" s="104" t="n"/>
      <c r="BM147" s="104" t="n"/>
      <c r="BN147" s="104" t="n"/>
      <c r="BO147" s="104" t="n"/>
      <c r="BP147" s="104" t="n"/>
      <c r="BQ147" s="104" t="n"/>
      <c r="BR147" s="104" t="n"/>
      <c r="BS147" s="104" t="n"/>
      <c r="BT147" s="104" t="n"/>
      <c r="BU147" s="104" t="n"/>
      <c r="BV147" s="104" t="n"/>
      <c r="BW147" s="104" t="n"/>
      <c r="BX147" s="104" t="n"/>
    </row>
    <row r="148">
      <c r="B148" s="64" t="n"/>
      <c r="C148" s="104" t="n"/>
      <c r="D148" s="104" t="n"/>
      <c r="E148" s="104" t="n"/>
      <c r="F148" s="104" t="n"/>
      <c r="G148" s="104" t="n"/>
      <c r="H148" s="104" t="n"/>
      <c r="I148" s="104" t="n"/>
      <c r="J148" s="104" t="n"/>
      <c r="K148" s="104" t="n"/>
      <c r="L148" s="104" t="n"/>
      <c r="N148" s="104" t="n"/>
      <c r="O148" s="104" t="n"/>
      <c r="P148" s="104" t="n"/>
      <c r="Q148" s="104" t="n"/>
      <c r="R148" s="104" t="n"/>
      <c r="S148" s="104" t="n"/>
      <c r="T148" s="104" t="n"/>
      <c r="U148" s="104" t="n"/>
      <c r="V148" s="104" t="n"/>
      <c r="W148" s="104" t="n"/>
      <c r="X148" s="104" t="n"/>
      <c r="Y148" s="104" t="n"/>
      <c r="Z148" s="104" t="n"/>
      <c r="AA148" s="104" t="n"/>
      <c r="AB148" s="104" t="n"/>
      <c r="AC148" s="104" t="n"/>
      <c r="AD148" s="104" t="n"/>
      <c r="AE148" s="104" t="n"/>
      <c r="AF148" s="104" t="n"/>
      <c r="AG148" s="104" t="n"/>
      <c r="AH148" s="104" t="n"/>
      <c r="AI148" s="104" t="n"/>
      <c r="AJ148" s="104" t="n"/>
      <c r="AK148" s="104" t="n"/>
      <c r="AL148" s="104" t="n"/>
      <c r="AM148" s="104" t="n"/>
      <c r="AN148" s="104" t="n"/>
      <c r="AO148" s="104" t="n"/>
      <c r="AP148" s="104" t="n"/>
      <c r="AQ148" s="104" t="n"/>
      <c r="AR148" s="104" t="n"/>
      <c r="AS148" s="104" t="n"/>
      <c r="AT148" s="104" t="n"/>
      <c r="AU148" s="104" t="n"/>
      <c r="AV148" s="104" t="n"/>
      <c r="AW148" s="104" t="n"/>
      <c r="AX148" s="104" t="n"/>
      <c r="AY148" s="104" t="n"/>
      <c r="AZ148" s="104" t="n"/>
      <c r="BA148" s="104" t="n"/>
      <c r="BB148" s="104" t="n"/>
      <c r="BC148" s="104" t="n"/>
      <c r="BD148" s="104" t="n"/>
      <c r="BE148" s="104" t="n"/>
      <c r="BF148" s="104" t="n"/>
      <c r="BG148" s="104" t="n"/>
      <c r="BH148" s="104" t="n"/>
      <c r="BI148" s="104" t="n"/>
      <c r="BJ148" s="104" t="n"/>
      <c r="BK148" s="104" t="n"/>
      <c r="BL148" s="104" t="n"/>
      <c r="BM148" s="104" t="n"/>
      <c r="BN148" s="104" t="n"/>
      <c r="BO148" s="104" t="n"/>
      <c r="BP148" s="104" t="n"/>
      <c r="BQ148" s="104" t="n"/>
      <c r="BR148" s="104" t="n"/>
      <c r="BS148" s="104" t="n"/>
      <c r="BT148" s="104" t="n"/>
      <c r="BU148" s="104" t="n"/>
      <c r="BV148" s="104" t="n"/>
      <c r="BW148" s="104" t="n"/>
      <c r="BX148" s="104" t="n"/>
    </row>
    <row r="149">
      <c r="B149" s="64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N149" s="104" t="n"/>
      <c r="O149" s="104" t="n"/>
      <c r="P149" s="104" t="n"/>
      <c r="Q149" s="104" t="n"/>
      <c r="R149" s="104" t="n"/>
      <c r="S149" s="104" t="n"/>
      <c r="T149" s="104" t="n"/>
      <c r="U149" s="104" t="n"/>
      <c r="V149" s="104" t="n"/>
      <c r="W149" s="104" t="n"/>
      <c r="X149" s="104" t="n"/>
      <c r="Y149" s="104" t="n"/>
      <c r="Z149" s="104" t="n"/>
      <c r="AA149" s="104" t="n"/>
      <c r="AB149" s="104" t="n"/>
      <c r="AC149" s="104" t="n"/>
      <c r="AD149" s="104" t="n"/>
      <c r="AE149" s="104" t="n"/>
      <c r="AF149" s="104" t="n"/>
      <c r="AG149" s="104" t="n"/>
      <c r="AH149" s="104" t="n"/>
      <c r="AI149" s="104" t="n"/>
      <c r="AJ149" s="104" t="n"/>
      <c r="AK149" s="104" t="n"/>
      <c r="AL149" s="104" t="n"/>
      <c r="AM149" s="104" t="n"/>
      <c r="AN149" s="104" t="n"/>
      <c r="AO149" s="104" t="n"/>
      <c r="AP149" s="104" t="n"/>
      <c r="AQ149" s="104" t="n"/>
      <c r="AR149" s="104" t="n"/>
      <c r="AS149" s="104" t="n"/>
      <c r="AT149" s="104" t="n"/>
      <c r="AU149" s="104" t="n"/>
      <c r="AV149" s="104" t="n"/>
      <c r="AW149" s="104" t="n"/>
      <c r="AX149" s="104" t="n"/>
      <c r="AY149" s="104" t="n"/>
      <c r="AZ149" s="104" t="n"/>
      <c r="BA149" s="104" t="n"/>
      <c r="BB149" s="104" t="n"/>
      <c r="BC149" s="104" t="n"/>
      <c r="BD149" s="104" t="n"/>
      <c r="BE149" s="104" t="n"/>
      <c r="BF149" s="104" t="n"/>
      <c r="BG149" s="104" t="n"/>
      <c r="BH149" s="104" t="n"/>
      <c r="BI149" s="104" t="n"/>
      <c r="BJ149" s="104" t="n"/>
      <c r="BK149" s="104" t="n"/>
      <c r="BL149" s="104" t="n"/>
      <c r="BM149" s="104" t="n"/>
      <c r="BN149" s="104" t="n"/>
      <c r="BO149" s="104" t="n"/>
      <c r="BP149" s="104" t="n"/>
      <c r="BQ149" s="104" t="n"/>
      <c r="BR149" s="104" t="n"/>
      <c r="BS149" s="104" t="n"/>
      <c r="BT149" s="104" t="n"/>
      <c r="BU149" s="104" t="n"/>
      <c r="BV149" s="104" t="n"/>
      <c r="BW149" s="104" t="n"/>
      <c r="BX149" s="104" t="n"/>
    </row>
    <row r="150">
      <c r="B150" s="64" t="n"/>
      <c r="C150" s="104" t="n"/>
      <c r="D150" s="104" t="n"/>
      <c r="E150" s="104" t="n"/>
      <c r="F150" s="104" t="n"/>
      <c r="G150" s="104" t="n"/>
      <c r="H150" s="104" t="n"/>
      <c r="I150" s="104" t="n"/>
      <c r="J150" s="104" t="n"/>
      <c r="K150" s="104" t="n"/>
      <c r="L150" s="104" t="n"/>
      <c r="N150" s="104" t="n"/>
      <c r="O150" s="104" t="n"/>
      <c r="P150" s="104" t="n"/>
      <c r="Q150" s="104" t="n"/>
      <c r="R150" s="104" t="n"/>
      <c r="S150" s="104" t="n"/>
      <c r="T150" s="104" t="n"/>
      <c r="U150" s="104" t="n"/>
      <c r="V150" s="104" t="n"/>
      <c r="W150" s="104" t="n"/>
      <c r="X150" s="104" t="n"/>
      <c r="Y150" s="104" t="n"/>
      <c r="Z150" s="104" t="n"/>
      <c r="AA150" s="104" t="n"/>
      <c r="AB150" s="104" t="n"/>
      <c r="AC150" s="104" t="n"/>
      <c r="AD150" s="104" t="n"/>
      <c r="AE150" s="104" t="n"/>
      <c r="AF150" s="104" t="n"/>
      <c r="AG150" s="104" t="n"/>
      <c r="AH150" s="104" t="n"/>
      <c r="AI150" s="104" t="n"/>
      <c r="AJ150" s="104" t="n"/>
      <c r="AK150" s="104" t="n"/>
      <c r="AL150" s="104" t="n"/>
      <c r="AM150" s="104" t="n"/>
      <c r="AN150" s="104" t="n"/>
      <c r="AO150" s="104" t="n"/>
      <c r="AP150" s="104" t="n"/>
      <c r="AQ150" s="104" t="n"/>
      <c r="AR150" s="104" t="n"/>
      <c r="AS150" s="104" t="n"/>
      <c r="AT150" s="104" t="n"/>
      <c r="AU150" s="104" t="n"/>
      <c r="AV150" s="104" t="n"/>
      <c r="AW150" s="104" t="n"/>
      <c r="AX150" s="104" t="n"/>
      <c r="AY150" s="104" t="n"/>
      <c r="AZ150" s="104" t="n"/>
      <c r="BA150" s="104" t="n"/>
      <c r="BB150" s="104" t="n"/>
      <c r="BC150" s="104" t="n"/>
      <c r="BD150" s="104" t="n"/>
      <c r="BE150" s="104" t="n"/>
      <c r="BF150" s="104" t="n"/>
      <c r="BG150" s="104" t="n"/>
      <c r="BH150" s="104" t="n"/>
      <c r="BI150" s="104" t="n"/>
      <c r="BJ150" s="104" t="n"/>
      <c r="BK150" s="104" t="n"/>
      <c r="BL150" s="104" t="n"/>
      <c r="BM150" s="104" t="n"/>
      <c r="BN150" s="104" t="n"/>
      <c r="BO150" s="104" t="n"/>
      <c r="BP150" s="104" t="n"/>
      <c r="BQ150" s="104" t="n"/>
      <c r="BR150" s="104" t="n"/>
      <c r="BS150" s="104" t="n"/>
      <c r="BT150" s="104" t="n"/>
      <c r="BU150" s="104" t="n"/>
      <c r="BV150" s="104" t="n"/>
      <c r="BW150" s="104" t="n"/>
      <c r="BX150" s="104" t="n"/>
    </row>
    <row r="151">
      <c r="B151" s="64" t="n"/>
      <c r="C151" s="104" t="n"/>
      <c r="D151" s="104" t="n"/>
      <c r="E151" s="104" t="n"/>
      <c r="F151" s="104" t="n"/>
      <c r="G151" s="104" t="n"/>
      <c r="H151" s="104" t="n"/>
      <c r="I151" s="104" t="n"/>
      <c r="J151" s="104" t="n"/>
      <c r="K151" s="104" t="n"/>
      <c r="L151" s="104" t="n"/>
      <c r="N151" s="104" t="n"/>
      <c r="O151" s="104" t="n"/>
      <c r="P151" s="104" t="n"/>
      <c r="Q151" s="104" t="n"/>
      <c r="R151" s="104" t="n"/>
      <c r="S151" s="104" t="n"/>
      <c r="T151" s="104" t="n"/>
      <c r="U151" s="104" t="n"/>
      <c r="V151" s="104" t="n"/>
      <c r="W151" s="104" t="n"/>
      <c r="X151" s="104" t="n"/>
      <c r="Y151" s="104" t="n"/>
      <c r="Z151" s="104" t="n"/>
      <c r="AA151" s="104" t="n"/>
      <c r="AB151" s="104" t="n"/>
      <c r="AC151" s="104" t="n"/>
      <c r="AD151" s="104" t="n"/>
      <c r="AE151" s="104" t="n"/>
      <c r="AF151" s="104" t="n"/>
      <c r="AG151" s="104" t="n"/>
      <c r="AH151" s="104" t="n"/>
      <c r="AI151" s="104" t="n"/>
      <c r="AJ151" s="104" t="n"/>
      <c r="AK151" s="104" t="n"/>
      <c r="AL151" s="104" t="n"/>
      <c r="AM151" s="104" t="n"/>
      <c r="AN151" s="104" t="n"/>
      <c r="AO151" s="104" t="n"/>
      <c r="AP151" s="104" t="n"/>
      <c r="AQ151" s="104" t="n"/>
      <c r="AR151" s="104" t="n"/>
      <c r="AS151" s="104" t="n"/>
      <c r="AT151" s="104" t="n"/>
      <c r="AU151" s="104" t="n"/>
      <c r="AV151" s="104" t="n"/>
      <c r="AW151" s="104" t="n"/>
      <c r="AX151" s="104" t="n"/>
      <c r="AY151" s="104" t="n"/>
      <c r="AZ151" s="104" t="n"/>
      <c r="BA151" s="104" t="n"/>
      <c r="BB151" s="104" t="n"/>
      <c r="BC151" s="104" t="n"/>
      <c r="BD151" s="104" t="n"/>
      <c r="BE151" s="104" t="n"/>
      <c r="BF151" s="104" t="n"/>
      <c r="BG151" s="104" t="n"/>
      <c r="BH151" s="104" t="n"/>
      <c r="BI151" s="104" t="n"/>
      <c r="BJ151" s="104" t="n"/>
      <c r="BK151" s="104" t="n"/>
      <c r="BL151" s="104" t="n"/>
      <c r="BM151" s="104" t="n"/>
      <c r="BN151" s="104" t="n"/>
      <c r="BO151" s="104" t="n"/>
      <c r="BP151" s="104" t="n"/>
      <c r="BQ151" s="104" t="n"/>
      <c r="BR151" s="104" t="n"/>
      <c r="BS151" s="104" t="n"/>
      <c r="BT151" s="104" t="n"/>
      <c r="BU151" s="104" t="n"/>
      <c r="BV151" s="104" t="n"/>
      <c r="BW151" s="104" t="n"/>
      <c r="BX151" s="104" t="n"/>
    </row>
    <row r="152">
      <c r="B152" s="64" t="n"/>
      <c r="C152" s="104" t="n"/>
      <c r="D152" s="104" t="n"/>
      <c r="E152" s="104" t="n"/>
      <c r="F152" s="104" t="n"/>
      <c r="G152" s="104" t="n"/>
      <c r="H152" s="104" t="n"/>
      <c r="I152" s="104" t="n"/>
      <c r="J152" s="104" t="n"/>
      <c r="K152" s="104" t="n"/>
      <c r="L152" s="104" t="n"/>
      <c r="N152" s="104" t="n"/>
      <c r="O152" s="104" t="n"/>
      <c r="P152" s="104" t="n"/>
      <c r="Q152" s="104" t="n"/>
      <c r="R152" s="104" t="n"/>
      <c r="S152" s="104" t="n"/>
      <c r="T152" s="104" t="n"/>
      <c r="U152" s="104" t="n"/>
      <c r="V152" s="104" t="n"/>
      <c r="W152" s="104" t="n"/>
      <c r="X152" s="104" t="n"/>
      <c r="Y152" s="104" t="n"/>
      <c r="Z152" s="104" t="n"/>
      <c r="AA152" s="104" t="n"/>
      <c r="AB152" s="104" t="n"/>
      <c r="AC152" s="104" t="n"/>
      <c r="AD152" s="104" t="n"/>
      <c r="AE152" s="104" t="n"/>
      <c r="AF152" s="104" t="n"/>
      <c r="AG152" s="104" t="n"/>
      <c r="AH152" s="104" t="n"/>
      <c r="AI152" s="104" t="n"/>
      <c r="AJ152" s="104" t="n"/>
      <c r="AK152" s="104" t="n"/>
      <c r="AL152" s="104" t="n"/>
      <c r="AM152" s="104" t="n"/>
      <c r="AN152" s="104" t="n"/>
      <c r="AO152" s="104" t="n"/>
      <c r="AP152" s="104" t="n"/>
      <c r="AQ152" s="104" t="n"/>
      <c r="AR152" s="104" t="n"/>
      <c r="AS152" s="104" t="n"/>
      <c r="AT152" s="104" t="n"/>
      <c r="AU152" s="104" t="n"/>
      <c r="AV152" s="104" t="n"/>
      <c r="AW152" s="104" t="n"/>
      <c r="AX152" s="104" t="n"/>
      <c r="AY152" s="104" t="n"/>
      <c r="AZ152" s="104" t="n"/>
      <c r="BA152" s="104" t="n"/>
      <c r="BB152" s="104" t="n"/>
      <c r="BC152" s="104" t="n"/>
      <c r="BD152" s="104" t="n"/>
      <c r="BE152" s="104" t="n"/>
      <c r="BF152" s="104" t="n"/>
      <c r="BG152" s="104" t="n"/>
      <c r="BH152" s="104" t="n"/>
      <c r="BI152" s="104" t="n"/>
      <c r="BJ152" s="104" t="n"/>
      <c r="BK152" s="104" t="n"/>
      <c r="BL152" s="104" t="n"/>
      <c r="BM152" s="104" t="n"/>
      <c r="BN152" s="104" t="n"/>
      <c r="BO152" s="104" t="n"/>
      <c r="BP152" s="104" t="n"/>
      <c r="BQ152" s="104" t="n"/>
      <c r="BR152" s="104" t="n"/>
      <c r="BS152" s="104" t="n"/>
      <c r="BT152" s="104" t="n"/>
      <c r="BU152" s="104" t="n"/>
      <c r="BV152" s="104" t="n"/>
      <c r="BW152" s="104" t="n"/>
      <c r="BX152" s="104" t="n"/>
    </row>
    <row r="153">
      <c r="B153" s="64" t="n"/>
      <c r="C153" s="104" t="n"/>
      <c r="D153" s="104" t="n"/>
      <c r="E153" s="104" t="n"/>
      <c r="F153" s="104" t="n"/>
      <c r="G153" s="104" t="n"/>
      <c r="H153" s="104" t="n"/>
      <c r="I153" s="104" t="n"/>
      <c r="J153" s="104" t="n"/>
      <c r="K153" s="104" t="n"/>
      <c r="L153" s="104" t="n"/>
      <c r="N153" s="104" t="n"/>
      <c r="O153" s="104" t="n"/>
      <c r="P153" s="104" t="n"/>
      <c r="Q153" s="104" t="n"/>
      <c r="R153" s="104" t="n"/>
      <c r="S153" s="104" t="n"/>
      <c r="T153" s="104" t="n"/>
      <c r="U153" s="104" t="n"/>
      <c r="V153" s="104" t="n"/>
      <c r="W153" s="104" t="n"/>
      <c r="X153" s="104" t="n"/>
      <c r="Y153" s="104" t="n"/>
      <c r="Z153" s="104" t="n"/>
      <c r="AA153" s="104" t="n"/>
      <c r="AB153" s="104" t="n"/>
      <c r="AC153" s="104" t="n"/>
      <c r="AD153" s="104" t="n"/>
      <c r="AE153" s="104" t="n"/>
      <c r="AF153" s="104" t="n"/>
      <c r="AG153" s="104" t="n"/>
      <c r="AH153" s="104" t="n"/>
      <c r="AI153" s="104" t="n"/>
      <c r="AJ153" s="104" t="n"/>
      <c r="AK153" s="104" t="n"/>
      <c r="AL153" s="104" t="n"/>
      <c r="AM153" s="104" t="n"/>
      <c r="AN153" s="104" t="n"/>
      <c r="AO153" s="104" t="n"/>
      <c r="AP153" s="104" t="n"/>
      <c r="AQ153" s="104" t="n"/>
      <c r="AR153" s="104" t="n"/>
      <c r="AS153" s="104" t="n"/>
      <c r="AT153" s="104" t="n"/>
      <c r="AU153" s="104" t="n"/>
      <c r="AV153" s="104" t="n"/>
      <c r="AW153" s="104" t="n"/>
      <c r="AX153" s="104" t="n"/>
      <c r="AY153" s="104" t="n"/>
      <c r="AZ153" s="104" t="n"/>
      <c r="BA153" s="104" t="n"/>
      <c r="BB153" s="104" t="n"/>
      <c r="BC153" s="104" t="n"/>
      <c r="BD153" s="104" t="n"/>
      <c r="BE153" s="104" t="n"/>
      <c r="BF153" s="104" t="n"/>
      <c r="BG153" s="104" t="n"/>
      <c r="BH153" s="104" t="n"/>
      <c r="BI153" s="104" t="n"/>
      <c r="BJ153" s="104" t="n"/>
      <c r="BK153" s="104" t="n"/>
      <c r="BL153" s="104" t="n"/>
      <c r="BM153" s="104" t="n"/>
      <c r="BN153" s="104" t="n"/>
      <c r="BO153" s="104" t="n"/>
      <c r="BP153" s="104" t="n"/>
      <c r="BQ153" s="104" t="n"/>
      <c r="BR153" s="104" t="n"/>
      <c r="BS153" s="104" t="n"/>
      <c r="BT153" s="104" t="n"/>
      <c r="BU153" s="104" t="n"/>
      <c r="BV153" s="104" t="n"/>
      <c r="BW153" s="104" t="n"/>
      <c r="BX153" s="104" t="n"/>
    </row>
    <row r="154">
      <c r="B154" s="64" t="n"/>
      <c r="C154" s="104" t="n"/>
      <c r="D154" s="104" t="n"/>
      <c r="E154" s="104" t="n"/>
      <c r="F154" s="104" t="n"/>
      <c r="G154" s="104" t="n"/>
      <c r="H154" s="104" t="n"/>
      <c r="I154" s="104" t="n"/>
      <c r="J154" s="104" t="n"/>
      <c r="K154" s="104" t="n"/>
      <c r="L154" s="104" t="n"/>
      <c r="N154" s="104" t="n"/>
      <c r="O154" s="104" t="n"/>
      <c r="P154" s="104" t="n"/>
      <c r="Q154" s="104" t="n"/>
      <c r="R154" s="104" t="n"/>
      <c r="S154" s="104" t="n"/>
      <c r="T154" s="104" t="n"/>
      <c r="U154" s="104" t="n"/>
      <c r="V154" s="104" t="n"/>
      <c r="W154" s="104" t="n"/>
      <c r="X154" s="104" t="n"/>
      <c r="Y154" s="104" t="n"/>
      <c r="Z154" s="104" t="n"/>
      <c r="AA154" s="104" t="n"/>
      <c r="AB154" s="104" t="n"/>
      <c r="AC154" s="104" t="n"/>
      <c r="AD154" s="104" t="n"/>
      <c r="AE154" s="104" t="n"/>
      <c r="AF154" s="104" t="n"/>
      <c r="AG154" s="104" t="n"/>
      <c r="AH154" s="104" t="n"/>
      <c r="AI154" s="104" t="n"/>
      <c r="AJ154" s="104" t="n"/>
      <c r="AK154" s="104" t="n"/>
      <c r="AL154" s="104" t="n"/>
      <c r="AM154" s="104" t="n"/>
      <c r="AN154" s="104" t="n"/>
      <c r="AO154" s="104" t="n"/>
      <c r="AP154" s="104" t="n"/>
      <c r="AQ154" s="104" t="n"/>
      <c r="AR154" s="104" t="n"/>
      <c r="AS154" s="104" t="n"/>
      <c r="AT154" s="104" t="n"/>
      <c r="AU154" s="104" t="n"/>
      <c r="AV154" s="104" t="n"/>
      <c r="AW154" s="104" t="n"/>
      <c r="AX154" s="104" t="n"/>
      <c r="AY154" s="104" t="n"/>
      <c r="AZ154" s="104" t="n"/>
      <c r="BA154" s="104" t="n"/>
      <c r="BB154" s="104" t="n"/>
      <c r="BC154" s="104" t="n"/>
      <c r="BD154" s="104" t="n"/>
      <c r="BE154" s="104" t="n"/>
      <c r="BF154" s="104" t="n"/>
      <c r="BG154" s="104" t="n"/>
      <c r="BH154" s="104" t="n"/>
      <c r="BI154" s="104" t="n"/>
      <c r="BJ154" s="104" t="n"/>
      <c r="BK154" s="104" t="n"/>
      <c r="BL154" s="104" t="n"/>
      <c r="BM154" s="104" t="n"/>
      <c r="BN154" s="104" t="n"/>
      <c r="BO154" s="104" t="n"/>
      <c r="BP154" s="104" t="n"/>
      <c r="BQ154" s="104" t="n"/>
      <c r="BR154" s="104" t="n"/>
      <c r="BS154" s="104" t="n"/>
      <c r="BT154" s="104" t="n"/>
      <c r="BU154" s="104" t="n"/>
      <c r="BV154" s="104" t="n"/>
      <c r="BW154" s="104" t="n"/>
      <c r="BX154" s="104" t="n"/>
    </row>
    <row r="155">
      <c r="B155" s="64" t="n"/>
      <c r="C155" s="104" t="n"/>
      <c r="D155" s="104" t="n"/>
      <c r="E155" s="104" t="n"/>
      <c r="F155" s="104" t="n"/>
      <c r="G155" s="104" t="n"/>
      <c r="H155" s="104" t="n"/>
      <c r="I155" s="104" t="n"/>
      <c r="J155" s="104" t="n"/>
      <c r="K155" s="104" t="n"/>
      <c r="L155" s="104" t="n"/>
      <c r="N155" s="104" t="n"/>
      <c r="O155" s="104" t="n"/>
      <c r="P155" s="104" t="n"/>
      <c r="Q155" s="104" t="n"/>
      <c r="R155" s="104" t="n"/>
      <c r="S155" s="104" t="n"/>
      <c r="T155" s="104" t="n"/>
      <c r="U155" s="104" t="n"/>
      <c r="V155" s="104" t="n"/>
      <c r="W155" s="104" t="n"/>
      <c r="X155" s="104" t="n"/>
      <c r="Y155" s="104" t="n"/>
      <c r="Z155" s="104" t="n"/>
      <c r="AA155" s="104" t="n"/>
      <c r="AB155" s="104" t="n"/>
      <c r="AC155" s="104" t="n"/>
      <c r="AD155" s="104" t="n"/>
      <c r="AE155" s="104" t="n"/>
      <c r="AF155" s="104" t="n"/>
      <c r="AG155" s="104" t="n"/>
      <c r="AH155" s="104" t="n"/>
      <c r="AI155" s="104" t="n"/>
      <c r="AJ155" s="104" t="n"/>
      <c r="AK155" s="104" t="n"/>
      <c r="AL155" s="104" t="n"/>
      <c r="AM155" s="104" t="n"/>
      <c r="AN155" s="104" t="n"/>
      <c r="AO155" s="104" t="n"/>
      <c r="AP155" s="104" t="n"/>
      <c r="AQ155" s="104" t="n"/>
      <c r="AR155" s="104" t="n"/>
      <c r="AS155" s="104" t="n"/>
      <c r="AT155" s="104" t="n"/>
      <c r="AU155" s="104" t="n"/>
      <c r="AV155" s="104" t="n"/>
      <c r="AW155" s="104" t="n"/>
      <c r="AX155" s="104" t="n"/>
      <c r="AY155" s="104" t="n"/>
      <c r="AZ155" s="104" t="n"/>
      <c r="BA155" s="104" t="n"/>
      <c r="BB155" s="104" t="n"/>
      <c r="BC155" s="104" t="n"/>
      <c r="BD155" s="104" t="n"/>
      <c r="BE155" s="104" t="n"/>
      <c r="BF155" s="104" t="n"/>
      <c r="BG155" s="104" t="n"/>
      <c r="BH155" s="104" t="n"/>
      <c r="BI155" s="104" t="n"/>
      <c r="BJ155" s="104" t="n"/>
      <c r="BK155" s="104" t="n"/>
      <c r="BL155" s="104" t="n"/>
      <c r="BM155" s="104" t="n"/>
      <c r="BN155" s="104" t="n"/>
      <c r="BO155" s="104" t="n"/>
      <c r="BP155" s="104" t="n"/>
      <c r="BQ155" s="104" t="n"/>
      <c r="BR155" s="104" t="n"/>
      <c r="BS155" s="104" t="n"/>
      <c r="BT155" s="104" t="n"/>
      <c r="BU155" s="104" t="n"/>
      <c r="BV155" s="104" t="n"/>
      <c r="BW155" s="104" t="n"/>
      <c r="BX155" s="104" t="n"/>
    </row>
    <row r="156">
      <c r="B156" s="64" t="n"/>
      <c r="C156" s="104" t="n"/>
      <c r="D156" s="104" t="n"/>
      <c r="E156" s="104" t="n"/>
      <c r="F156" s="104" t="n"/>
      <c r="G156" s="104" t="n"/>
      <c r="H156" s="104" t="n"/>
      <c r="I156" s="104" t="n"/>
      <c r="J156" s="104" t="n"/>
      <c r="K156" s="104" t="n"/>
      <c r="L156" s="104" t="n"/>
      <c r="N156" s="104" t="n"/>
      <c r="O156" s="104" t="n"/>
      <c r="P156" s="104" t="n"/>
      <c r="Q156" s="104" t="n"/>
      <c r="R156" s="104" t="n"/>
      <c r="S156" s="104" t="n"/>
      <c r="T156" s="104" t="n"/>
      <c r="U156" s="104" t="n"/>
      <c r="V156" s="104" t="n"/>
      <c r="W156" s="104" t="n"/>
      <c r="X156" s="104" t="n"/>
      <c r="Y156" s="104" t="n"/>
      <c r="Z156" s="104" t="n"/>
      <c r="AA156" s="104" t="n"/>
      <c r="AB156" s="104" t="n"/>
      <c r="AC156" s="104" t="n"/>
      <c r="AD156" s="104" t="n"/>
      <c r="AE156" s="104" t="n"/>
      <c r="AF156" s="104" t="n"/>
      <c r="AG156" s="104" t="n"/>
      <c r="AH156" s="104" t="n"/>
      <c r="AI156" s="104" t="n"/>
      <c r="AJ156" s="104" t="n"/>
      <c r="AK156" s="104" t="n"/>
      <c r="AL156" s="104" t="n"/>
      <c r="AM156" s="104" t="n"/>
      <c r="AN156" s="104" t="n"/>
      <c r="AO156" s="104" t="n"/>
      <c r="AP156" s="104" t="n"/>
      <c r="AQ156" s="104" t="n"/>
      <c r="AR156" s="104" t="n"/>
      <c r="AS156" s="104" t="n"/>
      <c r="AT156" s="104" t="n"/>
      <c r="AU156" s="104" t="n"/>
      <c r="AV156" s="104" t="n"/>
      <c r="AW156" s="104" t="n"/>
      <c r="AX156" s="104" t="n"/>
      <c r="AY156" s="104" t="n"/>
      <c r="AZ156" s="104" t="n"/>
      <c r="BA156" s="104" t="n"/>
      <c r="BB156" s="104" t="n"/>
      <c r="BC156" s="104" t="n"/>
      <c r="BD156" s="104" t="n"/>
      <c r="BE156" s="104" t="n"/>
      <c r="BF156" s="104" t="n"/>
      <c r="BG156" s="104" t="n"/>
      <c r="BH156" s="104" t="n"/>
      <c r="BI156" s="104" t="n"/>
      <c r="BJ156" s="104" t="n"/>
      <c r="BK156" s="104" t="n"/>
      <c r="BL156" s="104" t="n"/>
      <c r="BM156" s="104" t="n"/>
      <c r="BN156" s="104" t="n"/>
      <c r="BO156" s="104" t="n"/>
      <c r="BP156" s="104" t="n"/>
      <c r="BQ156" s="104" t="n"/>
      <c r="BR156" s="104" t="n"/>
      <c r="BS156" s="104" t="n"/>
      <c r="BT156" s="104" t="n"/>
      <c r="BU156" s="104" t="n"/>
      <c r="BV156" s="104" t="n"/>
      <c r="BW156" s="104" t="n"/>
      <c r="BX156" s="104" t="n"/>
    </row>
    <row r="157">
      <c r="B157" s="64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N157" s="104" t="n"/>
      <c r="O157" s="104" t="n"/>
      <c r="P157" s="104" t="n"/>
      <c r="Q157" s="104" t="n"/>
      <c r="R157" s="104" t="n"/>
      <c r="S157" s="104" t="n"/>
      <c r="T157" s="104" t="n"/>
      <c r="U157" s="104" t="n"/>
      <c r="V157" s="104" t="n"/>
      <c r="W157" s="104" t="n"/>
      <c r="X157" s="104" t="n"/>
      <c r="Y157" s="104" t="n"/>
      <c r="Z157" s="104" t="n"/>
      <c r="AA157" s="104" t="n"/>
      <c r="AB157" s="104" t="n"/>
      <c r="AC157" s="104" t="n"/>
      <c r="AD157" s="104" t="n"/>
      <c r="AE157" s="104" t="n"/>
      <c r="AF157" s="104" t="n"/>
      <c r="AG157" s="104" t="n"/>
      <c r="AH157" s="104" t="n"/>
      <c r="AI157" s="104" t="n"/>
      <c r="AJ157" s="104" t="n"/>
      <c r="AK157" s="104" t="n"/>
      <c r="AL157" s="104" t="n"/>
      <c r="AM157" s="104" t="n"/>
      <c r="AN157" s="104" t="n"/>
      <c r="AO157" s="104" t="n"/>
      <c r="AP157" s="104" t="n"/>
      <c r="AQ157" s="104" t="n"/>
      <c r="AR157" s="104" t="n"/>
      <c r="AS157" s="104" t="n"/>
      <c r="AT157" s="104" t="n"/>
      <c r="AU157" s="104" t="n"/>
      <c r="AV157" s="104" t="n"/>
      <c r="AW157" s="104" t="n"/>
      <c r="AX157" s="104" t="n"/>
      <c r="AY157" s="104" t="n"/>
      <c r="AZ157" s="104" t="n"/>
      <c r="BA157" s="104" t="n"/>
      <c r="BB157" s="104" t="n"/>
      <c r="BC157" s="104" t="n"/>
      <c r="BD157" s="104" t="n"/>
      <c r="BE157" s="104" t="n"/>
      <c r="BF157" s="104" t="n"/>
      <c r="BG157" s="104" t="n"/>
      <c r="BH157" s="104" t="n"/>
      <c r="BI157" s="104" t="n"/>
      <c r="BJ157" s="104" t="n"/>
      <c r="BK157" s="104" t="n"/>
      <c r="BL157" s="104" t="n"/>
      <c r="BM157" s="104" t="n"/>
      <c r="BN157" s="104" t="n"/>
      <c r="BO157" s="104" t="n"/>
      <c r="BP157" s="104" t="n"/>
      <c r="BQ157" s="104" t="n"/>
      <c r="BR157" s="104" t="n"/>
      <c r="BS157" s="104" t="n"/>
      <c r="BT157" s="104" t="n"/>
      <c r="BU157" s="104" t="n"/>
      <c r="BV157" s="104" t="n"/>
      <c r="BW157" s="104" t="n"/>
      <c r="BX157" s="104" t="n"/>
    </row>
    <row r="158">
      <c r="B158" s="64" t="n"/>
      <c r="C158" s="104" t="n"/>
      <c r="D158" s="104" t="n"/>
      <c r="E158" s="104" t="n"/>
      <c r="F158" s="104" t="n"/>
      <c r="G158" s="104" t="n"/>
      <c r="H158" s="104" t="n"/>
      <c r="I158" s="104" t="n"/>
      <c r="J158" s="104" t="n"/>
      <c r="K158" s="104" t="n"/>
      <c r="L158" s="104" t="n"/>
      <c r="N158" s="104" t="n"/>
      <c r="O158" s="104" t="n"/>
      <c r="P158" s="104" t="n"/>
      <c r="Q158" s="104" t="n"/>
      <c r="R158" s="104" t="n"/>
      <c r="S158" s="104" t="n"/>
      <c r="T158" s="104" t="n"/>
      <c r="U158" s="104" t="n"/>
      <c r="V158" s="104" t="n"/>
      <c r="W158" s="104" t="n"/>
      <c r="X158" s="104" t="n"/>
      <c r="Y158" s="104" t="n"/>
      <c r="Z158" s="104" t="n"/>
      <c r="AA158" s="104" t="n"/>
      <c r="AB158" s="104" t="n"/>
      <c r="AC158" s="104" t="n"/>
      <c r="AD158" s="104" t="n"/>
      <c r="AE158" s="104" t="n"/>
      <c r="AF158" s="104" t="n"/>
      <c r="AG158" s="104" t="n"/>
      <c r="AH158" s="104" t="n"/>
      <c r="AI158" s="104" t="n"/>
      <c r="AJ158" s="104" t="n"/>
      <c r="AK158" s="104" t="n"/>
      <c r="AL158" s="104" t="n"/>
      <c r="AM158" s="104" t="n"/>
      <c r="AN158" s="104" t="n"/>
      <c r="AO158" s="104" t="n"/>
      <c r="AP158" s="104" t="n"/>
      <c r="AQ158" s="104" t="n"/>
      <c r="AR158" s="104" t="n"/>
      <c r="AS158" s="104" t="n"/>
      <c r="AT158" s="104" t="n"/>
      <c r="AU158" s="104" t="n"/>
      <c r="AV158" s="104" t="n"/>
      <c r="AW158" s="104" t="n"/>
      <c r="AX158" s="104" t="n"/>
      <c r="AY158" s="104" t="n"/>
      <c r="AZ158" s="104" t="n"/>
      <c r="BA158" s="104" t="n"/>
      <c r="BB158" s="104" t="n"/>
      <c r="BC158" s="104" t="n"/>
      <c r="BD158" s="104" t="n"/>
      <c r="BE158" s="104" t="n"/>
      <c r="BF158" s="104" t="n"/>
      <c r="BG158" s="104" t="n"/>
      <c r="BH158" s="104" t="n"/>
      <c r="BI158" s="104" t="n"/>
      <c r="BJ158" s="104" t="n"/>
      <c r="BK158" s="104" t="n"/>
      <c r="BL158" s="104" t="n"/>
      <c r="BM158" s="104" t="n"/>
      <c r="BN158" s="104" t="n"/>
      <c r="BO158" s="104" t="n"/>
      <c r="BP158" s="104" t="n"/>
      <c r="BQ158" s="104" t="n"/>
      <c r="BR158" s="104" t="n"/>
      <c r="BS158" s="104" t="n"/>
      <c r="BT158" s="104" t="n"/>
      <c r="BU158" s="104" t="n"/>
      <c r="BV158" s="104" t="n"/>
      <c r="BW158" s="104" t="n"/>
      <c r="BX158" s="104" t="n"/>
    </row>
    <row r="159">
      <c r="B159" s="64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N159" s="104" t="n"/>
      <c r="O159" s="104" t="n"/>
      <c r="P159" s="104" t="n"/>
      <c r="Q159" s="104" t="n"/>
      <c r="R159" s="104" t="n"/>
      <c r="S159" s="104" t="n"/>
      <c r="T159" s="104" t="n"/>
      <c r="U159" s="104" t="n"/>
      <c r="V159" s="104" t="n"/>
      <c r="W159" s="104" t="n"/>
      <c r="X159" s="104" t="n"/>
      <c r="Y159" s="104" t="n"/>
      <c r="Z159" s="104" t="n"/>
      <c r="AA159" s="104" t="n"/>
      <c r="AB159" s="104" t="n"/>
      <c r="AC159" s="104" t="n"/>
      <c r="AD159" s="104" t="n"/>
      <c r="AE159" s="104" t="n"/>
      <c r="AF159" s="104" t="n"/>
      <c r="AG159" s="104" t="n"/>
      <c r="AH159" s="104" t="n"/>
      <c r="AI159" s="104" t="n"/>
      <c r="AJ159" s="104" t="n"/>
      <c r="AK159" s="104" t="n"/>
      <c r="AL159" s="104" t="n"/>
      <c r="AM159" s="104" t="n"/>
      <c r="AN159" s="104" t="n"/>
      <c r="AO159" s="104" t="n"/>
      <c r="AP159" s="104" t="n"/>
      <c r="AQ159" s="104" t="n"/>
      <c r="AR159" s="104" t="n"/>
      <c r="AS159" s="104" t="n"/>
      <c r="AT159" s="104" t="n"/>
      <c r="AU159" s="104" t="n"/>
      <c r="AV159" s="104" t="n"/>
      <c r="AW159" s="104" t="n"/>
      <c r="AX159" s="104" t="n"/>
      <c r="AY159" s="104" t="n"/>
      <c r="AZ159" s="104" t="n"/>
      <c r="BA159" s="104" t="n"/>
      <c r="BB159" s="104" t="n"/>
      <c r="BC159" s="104" t="n"/>
      <c r="BD159" s="104" t="n"/>
      <c r="BE159" s="104" t="n"/>
      <c r="BF159" s="104" t="n"/>
      <c r="BG159" s="104" t="n"/>
      <c r="BH159" s="104" t="n"/>
      <c r="BI159" s="104" t="n"/>
      <c r="BJ159" s="104" t="n"/>
      <c r="BK159" s="104" t="n"/>
      <c r="BL159" s="104" t="n"/>
      <c r="BM159" s="104" t="n"/>
      <c r="BN159" s="104" t="n"/>
      <c r="BO159" s="104" t="n"/>
      <c r="BP159" s="104" t="n"/>
      <c r="BQ159" s="104" t="n"/>
      <c r="BR159" s="104" t="n"/>
      <c r="BS159" s="104" t="n"/>
      <c r="BT159" s="104" t="n"/>
      <c r="BU159" s="104" t="n"/>
      <c r="BV159" s="104" t="n"/>
      <c r="BW159" s="104" t="n"/>
      <c r="BX159" s="104" t="n"/>
    </row>
    <row r="160">
      <c r="B160" s="64" t="n"/>
      <c r="C160" s="104" t="n"/>
      <c r="D160" s="104" t="n"/>
      <c r="E160" s="104" t="n"/>
      <c r="F160" s="104" t="n"/>
      <c r="G160" s="104" t="n"/>
      <c r="H160" s="104" t="n"/>
      <c r="I160" s="104" t="n"/>
      <c r="J160" s="104" t="n"/>
      <c r="K160" s="104" t="n"/>
      <c r="L160" s="104" t="n"/>
      <c r="N160" s="104" t="n"/>
      <c r="O160" s="104" t="n"/>
      <c r="P160" s="104" t="n"/>
      <c r="Q160" s="104" t="n"/>
      <c r="R160" s="104" t="n"/>
      <c r="S160" s="104" t="n"/>
      <c r="T160" s="104" t="n"/>
      <c r="U160" s="104" t="n"/>
      <c r="V160" s="104" t="n"/>
      <c r="W160" s="104" t="n"/>
      <c r="X160" s="104" t="n"/>
      <c r="Y160" s="104" t="n"/>
      <c r="Z160" s="104" t="n"/>
      <c r="AA160" s="104" t="n"/>
      <c r="AB160" s="104" t="n"/>
      <c r="AC160" s="104" t="n"/>
      <c r="AD160" s="104" t="n"/>
      <c r="AE160" s="104" t="n"/>
      <c r="AF160" s="104" t="n"/>
      <c r="AG160" s="104" t="n"/>
      <c r="AH160" s="104" t="n"/>
      <c r="AI160" s="104" t="n"/>
      <c r="AJ160" s="104" t="n"/>
      <c r="AK160" s="104" t="n"/>
      <c r="AL160" s="104" t="n"/>
      <c r="AM160" s="104" t="n"/>
      <c r="AN160" s="104" t="n"/>
      <c r="AO160" s="104" t="n"/>
      <c r="AP160" s="104" t="n"/>
      <c r="AQ160" s="104" t="n"/>
      <c r="AR160" s="104" t="n"/>
      <c r="AS160" s="104" t="n"/>
      <c r="AT160" s="104" t="n"/>
      <c r="AU160" s="104" t="n"/>
      <c r="AV160" s="104" t="n"/>
      <c r="AW160" s="104" t="n"/>
      <c r="AX160" s="104" t="n"/>
      <c r="AY160" s="104" t="n"/>
      <c r="AZ160" s="104" t="n"/>
      <c r="BA160" s="104" t="n"/>
      <c r="BB160" s="104" t="n"/>
      <c r="BC160" s="104" t="n"/>
      <c r="BD160" s="104" t="n"/>
      <c r="BE160" s="104" t="n"/>
      <c r="BF160" s="104" t="n"/>
      <c r="BG160" s="104" t="n"/>
      <c r="BH160" s="104" t="n"/>
      <c r="BI160" s="104" t="n"/>
      <c r="BJ160" s="104" t="n"/>
      <c r="BK160" s="104" t="n"/>
      <c r="BL160" s="104" t="n"/>
      <c r="BM160" s="104" t="n"/>
      <c r="BN160" s="104" t="n"/>
      <c r="BO160" s="104" t="n"/>
      <c r="BP160" s="104" t="n"/>
      <c r="BQ160" s="104" t="n"/>
      <c r="BR160" s="104" t="n"/>
      <c r="BS160" s="104" t="n"/>
      <c r="BT160" s="104" t="n"/>
      <c r="BU160" s="104" t="n"/>
      <c r="BV160" s="104" t="n"/>
      <c r="BW160" s="104" t="n"/>
      <c r="BX160" s="104" t="n"/>
    </row>
    <row r="161">
      <c r="B161" s="64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N161" s="104" t="n"/>
      <c r="O161" s="104" t="n"/>
      <c r="P161" s="104" t="n"/>
      <c r="Q161" s="104" t="n"/>
      <c r="R161" s="104" t="n"/>
      <c r="S161" s="104" t="n"/>
      <c r="T161" s="104" t="n"/>
      <c r="U161" s="104" t="n"/>
      <c r="V161" s="104" t="n"/>
      <c r="W161" s="104" t="n"/>
      <c r="X161" s="104" t="n"/>
      <c r="Y161" s="104" t="n"/>
      <c r="Z161" s="104" t="n"/>
      <c r="AA161" s="104" t="n"/>
      <c r="AB161" s="104" t="n"/>
      <c r="AC161" s="104" t="n"/>
      <c r="AD161" s="104" t="n"/>
      <c r="AE161" s="104" t="n"/>
      <c r="AF161" s="104" t="n"/>
      <c r="AG161" s="104" t="n"/>
      <c r="AH161" s="104" t="n"/>
      <c r="AI161" s="104" t="n"/>
      <c r="AJ161" s="104" t="n"/>
      <c r="AK161" s="104" t="n"/>
      <c r="AL161" s="104" t="n"/>
      <c r="AM161" s="104" t="n"/>
      <c r="AN161" s="104" t="n"/>
      <c r="AO161" s="104" t="n"/>
      <c r="AP161" s="104" t="n"/>
      <c r="AQ161" s="104" t="n"/>
      <c r="AR161" s="104" t="n"/>
      <c r="AS161" s="104" t="n"/>
      <c r="AT161" s="104" t="n"/>
      <c r="AU161" s="104" t="n"/>
      <c r="AV161" s="104" t="n"/>
      <c r="AW161" s="104" t="n"/>
      <c r="AX161" s="104" t="n"/>
      <c r="AY161" s="104" t="n"/>
      <c r="AZ161" s="104" t="n"/>
      <c r="BA161" s="104" t="n"/>
      <c r="BB161" s="104" t="n"/>
      <c r="BC161" s="104" t="n"/>
      <c r="BD161" s="104" t="n"/>
      <c r="BE161" s="104" t="n"/>
      <c r="BF161" s="104" t="n"/>
      <c r="BG161" s="104" t="n"/>
      <c r="BH161" s="104" t="n"/>
      <c r="BI161" s="104" t="n"/>
      <c r="BJ161" s="104" t="n"/>
      <c r="BK161" s="104" t="n"/>
      <c r="BL161" s="104" t="n"/>
      <c r="BM161" s="104" t="n"/>
      <c r="BN161" s="104" t="n"/>
      <c r="BO161" s="104" t="n"/>
      <c r="BP161" s="104" t="n"/>
      <c r="BQ161" s="104" t="n"/>
      <c r="BR161" s="104" t="n"/>
      <c r="BS161" s="104" t="n"/>
      <c r="BT161" s="104" t="n"/>
      <c r="BU161" s="104" t="n"/>
      <c r="BV161" s="104" t="n"/>
      <c r="BW161" s="104" t="n"/>
      <c r="BX161" s="104" t="n"/>
    </row>
    <row r="162">
      <c r="B162" s="64" t="n"/>
      <c r="C162" s="104" t="n"/>
      <c r="D162" s="104" t="n"/>
      <c r="E162" s="104" t="n"/>
      <c r="F162" s="104" t="n"/>
      <c r="G162" s="104" t="n"/>
      <c r="H162" s="104" t="n"/>
      <c r="I162" s="104" t="n"/>
      <c r="J162" s="104" t="n"/>
      <c r="K162" s="104" t="n"/>
      <c r="L162" s="104" t="n"/>
      <c r="N162" s="104" t="n"/>
      <c r="O162" s="104" t="n"/>
      <c r="P162" s="104" t="n"/>
      <c r="Q162" s="104" t="n"/>
      <c r="R162" s="104" t="n"/>
      <c r="S162" s="104" t="n"/>
      <c r="T162" s="104" t="n"/>
      <c r="U162" s="104" t="n"/>
      <c r="V162" s="104" t="n"/>
      <c r="W162" s="104" t="n"/>
      <c r="X162" s="104" t="n"/>
      <c r="Y162" s="104" t="n"/>
      <c r="Z162" s="104" t="n"/>
      <c r="AA162" s="104" t="n"/>
      <c r="AB162" s="104" t="n"/>
      <c r="AC162" s="104" t="n"/>
      <c r="AD162" s="104" t="n"/>
      <c r="AE162" s="104" t="n"/>
      <c r="AF162" s="104" t="n"/>
      <c r="AG162" s="104" t="n"/>
      <c r="AH162" s="104" t="n"/>
      <c r="AI162" s="104" t="n"/>
      <c r="AJ162" s="104" t="n"/>
      <c r="AK162" s="104" t="n"/>
      <c r="AL162" s="104" t="n"/>
      <c r="AM162" s="104" t="n"/>
      <c r="AN162" s="104" t="n"/>
      <c r="AO162" s="104" t="n"/>
      <c r="AP162" s="104" t="n"/>
      <c r="AQ162" s="104" t="n"/>
      <c r="AR162" s="104" t="n"/>
      <c r="AS162" s="104" t="n"/>
      <c r="AT162" s="104" t="n"/>
      <c r="AU162" s="104" t="n"/>
      <c r="AV162" s="104" t="n"/>
      <c r="AW162" s="104" t="n"/>
      <c r="AX162" s="104" t="n"/>
      <c r="AY162" s="104" t="n"/>
      <c r="AZ162" s="104" t="n"/>
      <c r="BA162" s="104" t="n"/>
      <c r="BB162" s="104" t="n"/>
      <c r="BC162" s="104" t="n"/>
      <c r="BD162" s="104" t="n"/>
      <c r="BE162" s="104" t="n"/>
      <c r="BF162" s="104" t="n"/>
      <c r="BG162" s="104" t="n"/>
      <c r="BH162" s="104" t="n"/>
      <c r="BI162" s="104" t="n"/>
      <c r="BJ162" s="104" t="n"/>
      <c r="BK162" s="104" t="n"/>
      <c r="BL162" s="104" t="n"/>
      <c r="BM162" s="104" t="n"/>
      <c r="BN162" s="104" t="n"/>
      <c r="BO162" s="104" t="n"/>
      <c r="BP162" s="104" t="n"/>
      <c r="BQ162" s="104" t="n"/>
      <c r="BR162" s="104" t="n"/>
      <c r="BS162" s="104" t="n"/>
      <c r="BT162" s="104" t="n"/>
      <c r="BU162" s="104" t="n"/>
      <c r="BV162" s="104" t="n"/>
      <c r="BW162" s="104" t="n"/>
      <c r="BX162" s="104" t="n"/>
    </row>
    <row r="163">
      <c r="B163" s="64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N163" s="104" t="n"/>
      <c r="O163" s="104" t="n"/>
      <c r="P163" s="104" t="n"/>
      <c r="Q163" s="104" t="n"/>
      <c r="R163" s="104" t="n"/>
      <c r="S163" s="104" t="n"/>
      <c r="T163" s="104" t="n"/>
      <c r="U163" s="104" t="n"/>
      <c r="V163" s="104" t="n"/>
      <c r="W163" s="104" t="n"/>
      <c r="X163" s="104" t="n"/>
      <c r="Y163" s="104" t="n"/>
      <c r="Z163" s="104" t="n"/>
      <c r="AA163" s="104" t="n"/>
      <c r="AB163" s="104" t="n"/>
      <c r="AC163" s="104" t="n"/>
      <c r="AD163" s="104" t="n"/>
      <c r="AE163" s="104" t="n"/>
      <c r="AF163" s="104" t="n"/>
      <c r="AG163" s="104" t="n"/>
      <c r="AH163" s="104" t="n"/>
      <c r="AI163" s="104" t="n"/>
      <c r="AJ163" s="104" t="n"/>
      <c r="AK163" s="104" t="n"/>
      <c r="AL163" s="104" t="n"/>
      <c r="AM163" s="104" t="n"/>
      <c r="AN163" s="104" t="n"/>
      <c r="AO163" s="104" t="n"/>
      <c r="AP163" s="104" t="n"/>
      <c r="AQ163" s="104" t="n"/>
      <c r="AR163" s="104" t="n"/>
      <c r="AS163" s="104" t="n"/>
      <c r="AT163" s="104" t="n"/>
      <c r="AU163" s="104" t="n"/>
      <c r="AV163" s="104" t="n"/>
      <c r="AW163" s="104" t="n"/>
      <c r="AX163" s="104" t="n"/>
      <c r="AY163" s="104" t="n"/>
      <c r="AZ163" s="104" t="n"/>
      <c r="BA163" s="104" t="n"/>
      <c r="BB163" s="104" t="n"/>
      <c r="BC163" s="104" t="n"/>
      <c r="BD163" s="104" t="n"/>
      <c r="BE163" s="104" t="n"/>
      <c r="BF163" s="104" t="n"/>
      <c r="BG163" s="104" t="n"/>
      <c r="BH163" s="104" t="n"/>
      <c r="BI163" s="104" t="n"/>
      <c r="BJ163" s="104" t="n"/>
      <c r="BK163" s="104" t="n"/>
      <c r="BL163" s="104" t="n"/>
      <c r="BM163" s="104" t="n"/>
      <c r="BN163" s="104" t="n"/>
      <c r="BO163" s="104" t="n"/>
      <c r="BP163" s="104" t="n"/>
      <c r="BQ163" s="104" t="n"/>
      <c r="BR163" s="104" t="n"/>
      <c r="BS163" s="104" t="n"/>
      <c r="BT163" s="104" t="n"/>
      <c r="BU163" s="104" t="n"/>
      <c r="BV163" s="104" t="n"/>
      <c r="BW163" s="104" t="n"/>
      <c r="BX163" s="104" t="n"/>
    </row>
    <row r="164">
      <c r="B164" s="64" t="n"/>
      <c r="C164" s="104" t="n"/>
      <c r="D164" s="104" t="n"/>
      <c r="E164" s="104" t="n"/>
      <c r="F164" s="104" t="n"/>
      <c r="G164" s="104" t="n"/>
      <c r="H164" s="104" t="n"/>
      <c r="I164" s="104" t="n"/>
      <c r="J164" s="104" t="n"/>
      <c r="K164" s="104" t="n"/>
      <c r="L164" s="104" t="n"/>
      <c r="N164" s="104" t="n"/>
      <c r="O164" s="104" t="n"/>
      <c r="P164" s="104" t="n"/>
      <c r="Q164" s="104" t="n"/>
      <c r="R164" s="104" t="n"/>
      <c r="S164" s="104" t="n"/>
      <c r="T164" s="104" t="n"/>
      <c r="U164" s="104" t="n"/>
      <c r="V164" s="104" t="n"/>
      <c r="W164" s="104" t="n"/>
      <c r="X164" s="104" t="n"/>
      <c r="Y164" s="104" t="n"/>
      <c r="Z164" s="104" t="n"/>
      <c r="AA164" s="104" t="n"/>
      <c r="AB164" s="104" t="n"/>
      <c r="AC164" s="104" t="n"/>
      <c r="AD164" s="104" t="n"/>
      <c r="AE164" s="104" t="n"/>
      <c r="AF164" s="104" t="n"/>
      <c r="AG164" s="104" t="n"/>
      <c r="AH164" s="104" t="n"/>
      <c r="AI164" s="104" t="n"/>
      <c r="AJ164" s="104" t="n"/>
      <c r="AK164" s="104" t="n"/>
      <c r="AL164" s="104" t="n"/>
      <c r="AM164" s="104" t="n"/>
      <c r="AN164" s="104" t="n"/>
      <c r="AO164" s="104" t="n"/>
      <c r="AP164" s="104" t="n"/>
      <c r="AQ164" s="104" t="n"/>
      <c r="AR164" s="104" t="n"/>
      <c r="AS164" s="104" t="n"/>
      <c r="AT164" s="104" t="n"/>
      <c r="AU164" s="104" t="n"/>
      <c r="AV164" s="104" t="n"/>
      <c r="AW164" s="104" t="n"/>
      <c r="AX164" s="104" t="n"/>
      <c r="AY164" s="104" t="n"/>
      <c r="AZ164" s="104" t="n"/>
      <c r="BA164" s="104" t="n"/>
      <c r="BB164" s="104" t="n"/>
      <c r="BC164" s="104" t="n"/>
      <c r="BD164" s="104" t="n"/>
      <c r="BE164" s="104" t="n"/>
      <c r="BF164" s="104" t="n"/>
      <c r="BG164" s="104" t="n"/>
      <c r="BH164" s="104" t="n"/>
      <c r="BI164" s="104" t="n"/>
      <c r="BJ164" s="104" t="n"/>
      <c r="BK164" s="104" t="n"/>
      <c r="BL164" s="104" t="n"/>
      <c r="BM164" s="104" t="n"/>
      <c r="BN164" s="104" t="n"/>
      <c r="BO164" s="104" t="n"/>
      <c r="BP164" s="104" t="n"/>
      <c r="BQ164" s="104" t="n"/>
      <c r="BR164" s="104" t="n"/>
      <c r="BS164" s="104" t="n"/>
      <c r="BT164" s="104" t="n"/>
      <c r="BU164" s="104" t="n"/>
      <c r="BV164" s="104" t="n"/>
      <c r="BW164" s="104" t="n"/>
      <c r="BX164" s="104" t="n"/>
    </row>
    <row r="165">
      <c r="B165" s="64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N165" s="104" t="n"/>
      <c r="O165" s="104" t="n"/>
      <c r="P165" s="104" t="n"/>
      <c r="Q165" s="104" t="n"/>
      <c r="R165" s="104" t="n"/>
      <c r="S165" s="104" t="n"/>
      <c r="T165" s="104" t="n"/>
      <c r="U165" s="104" t="n"/>
      <c r="V165" s="104" t="n"/>
      <c r="W165" s="104" t="n"/>
      <c r="X165" s="104" t="n"/>
      <c r="Y165" s="104" t="n"/>
      <c r="Z165" s="104" t="n"/>
      <c r="AA165" s="104" t="n"/>
      <c r="AB165" s="104" t="n"/>
      <c r="AC165" s="104" t="n"/>
      <c r="AD165" s="104" t="n"/>
      <c r="AE165" s="104" t="n"/>
      <c r="AF165" s="104" t="n"/>
      <c r="AG165" s="104" t="n"/>
      <c r="AH165" s="104" t="n"/>
      <c r="AI165" s="104" t="n"/>
      <c r="AJ165" s="104" t="n"/>
      <c r="AK165" s="104" t="n"/>
      <c r="AL165" s="104" t="n"/>
      <c r="AM165" s="104" t="n"/>
      <c r="AN165" s="104" t="n"/>
      <c r="AO165" s="104" t="n"/>
      <c r="AP165" s="104" t="n"/>
      <c r="AQ165" s="104" t="n"/>
      <c r="AR165" s="104" t="n"/>
      <c r="AS165" s="104" t="n"/>
      <c r="AT165" s="104" t="n"/>
      <c r="AU165" s="104" t="n"/>
      <c r="AV165" s="104" t="n"/>
      <c r="AW165" s="104" t="n"/>
      <c r="AX165" s="104" t="n"/>
      <c r="AY165" s="104" t="n"/>
      <c r="AZ165" s="104" t="n"/>
      <c r="BA165" s="104" t="n"/>
      <c r="BB165" s="104" t="n"/>
      <c r="BC165" s="104" t="n"/>
      <c r="BD165" s="104" t="n"/>
      <c r="BE165" s="104" t="n"/>
      <c r="BF165" s="104" t="n"/>
      <c r="BG165" s="104" t="n"/>
      <c r="BH165" s="104" t="n"/>
      <c r="BI165" s="104" t="n"/>
      <c r="BJ165" s="104" t="n"/>
      <c r="BK165" s="104" t="n"/>
      <c r="BL165" s="104" t="n"/>
      <c r="BM165" s="104" t="n"/>
      <c r="BN165" s="104" t="n"/>
      <c r="BO165" s="104" t="n"/>
      <c r="BP165" s="104" t="n"/>
      <c r="BQ165" s="104" t="n"/>
      <c r="BR165" s="104" t="n"/>
      <c r="BS165" s="104" t="n"/>
      <c r="BT165" s="104" t="n"/>
      <c r="BU165" s="104" t="n"/>
      <c r="BV165" s="104" t="n"/>
      <c r="BW165" s="104" t="n"/>
      <c r="BX165" s="104" t="n"/>
    </row>
    <row r="166">
      <c r="B166" s="64" t="n"/>
      <c r="C166" s="104" t="n"/>
      <c r="D166" s="104" t="n"/>
      <c r="E166" s="104" t="n"/>
      <c r="F166" s="104" t="n"/>
      <c r="G166" s="104" t="n"/>
      <c r="H166" s="104" t="n"/>
      <c r="I166" s="104" t="n"/>
      <c r="J166" s="104" t="n"/>
      <c r="K166" s="104" t="n"/>
      <c r="L166" s="104" t="n"/>
      <c r="N166" s="104" t="n"/>
      <c r="O166" s="104" t="n"/>
      <c r="P166" s="104" t="n"/>
      <c r="Q166" s="104" t="n"/>
      <c r="R166" s="104" t="n"/>
      <c r="S166" s="104" t="n"/>
      <c r="T166" s="104" t="n"/>
      <c r="U166" s="104" t="n"/>
      <c r="V166" s="104" t="n"/>
      <c r="W166" s="104" t="n"/>
      <c r="X166" s="104" t="n"/>
      <c r="Y166" s="104" t="n"/>
      <c r="Z166" s="104" t="n"/>
      <c r="AA166" s="104" t="n"/>
      <c r="AB166" s="104" t="n"/>
      <c r="AC166" s="104" t="n"/>
      <c r="AD166" s="104" t="n"/>
      <c r="AE166" s="104" t="n"/>
      <c r="AF166" s="104" t="n"/>
      <c r="AG166" s="104" t="n"/>
      <c r="AH166" s="104" t="n"/>
      <c r="AI166" s="104" t="n"/>
      <c r="AJ166" s="104" t="n"/>
      <c r="AK166" s="104" t="n"/>
      <c r="AL166" s="104" t="n"/>
      <c r="AM166" s="104" t="n"/>
      <c r="AN166" s="104" t="n"/>
      <c r="AO166" s="104" t="n"/>
      <c r="AP166" s="104" t="n"/>
      <c r="AQ166" s="104" t="n"/>
      <c r="AR166" s="104" t="n"/>
      <c r="AS166" s="104" t="n"/>
      <c r="AT166" s="104" t="n"/>
      <c r="AU166" s="104" t="n"/>
      <c r="AV166" s="104" t="n"/>
      <c r="AW166" s="104" t="n"/>
      <c r="AX166" s="104" t="n"/>
      <c r="AY166" s="104" t="n"/>
      <c r="AZ166" s="104" t="n"/>
      <c r="BA166" s="104" t="n"/>
      <c r="BB166" s="104" t="n"/>
      <c r="BC166" s="104" t="n"/>
      <c r="BD166" s="104" t="n"/>
      <c r="BE166" s="104" t="n"/>
      <c r="BF166" s="104" t="n"/>
      <c r="BG166" s="104" t="n"/>
      <c r="BH166" s="104" t="n"/>
      <c r="BI166" s="104" t="n"/>
      <c r="BJ166" s="104" t="n"/>
      <c r="BK166" s="104" t="n"/>
      <c r="BL166" s="104" t="n"/>
      <c r="BM166" s="104" t="n"/>
      <c r="BN166" s="104" t="n"/>
      <c r="BO166" s="104" t="n"/>
      <c r="BP166" s="104" t="n"/>
      <c r="BQ166" s="104" t="n"/>
      <c r="BR166" s="104" t="n"/>
      <c r="BS166" s="104" t="n"/>
      <c r="BT166" s="104" t="n"/>
      <c r="BU166" s="104" t="n"/>
      <c r="BV166" s="104" t="n"/>
      <c r="BW166" s="104" t="n"/>
      <c r="BX166" s="104" t="n"/>
    </row>
    <row r="167">
      <c r="B167" s="64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N167" s="104" t="n"/>
      <c r="O167" s="104" t="n"/>
      <c r="P167" s="104" t="n"/>
      <c r="Q167" s="104" t="n"/>
      <c r="R167" s="104" t="n"/>
      <c r="S167" s="104" t="n"/>
      <c r="T167" s="104" t="n"/>
      <c r="U167" s="104" t="n"/>
      <c r="V167" s="104" t="n"/>
      <c r="W167" s="104" t="n"/>
      <c r="X167" s="104" t="n"/>
      <c r="Y167" s="104" t="n"/>
      <c r="Z167" s="104" t="n"/>
      <c r="AA167" s="104" t="n"/>
      <c r="AB167" s="104" t="n"/>
      <c r="AC167" s="104" t="n"/>
      <c r="AD167" s="104" t="n"/>
      <c r="AE167" s="104" t="n"/>
      <c r="AF167" s="104" t="n"/>
      <c r="AG167" s="104" t="n"/>
      <c r="AH167" s="104" t="n"/>
      <c r="AI167" s="104" t="n"/>
      <c r="AJ167" s="104" t="n"/>
      <c r="AK167" s="104" t="n"/>
      <c r="AL167" s="104" t="n"/>
      <c r="AM167" s="104" t="n"/>
      <c r="AN167" s="104" t="n"/>
      <c r="AO167" s="104" t="n"/>
      <c r="AP167" s="104" t="n"/>
      <c r="AQ167" s="104" t="n"/>
      <c r="AR167" s="104" t="n"/>
      <c r="AS167" s="104" t="n"/>
      <c r="AT167" s="104" t="n"/>
      <c r="AU167" s="104" t="n"/>
      <c r="AV167" s="104" t="n"/>
      <c r="AW167" s="104" t="n"/>
      <c r="AX167" s="104" t="n"/>
      <c r="AY167" s="104" t="n"/>
      <c r="AZ167" s="104" t="n"/>
      <c r="BA167" s="104" t="n"/>
      <c r="BB167" s="104" t="n"/>
      <c r="BC167" s="104" t="n"/>
      <c r="BD167" s="104" t="n"/>
      <c r="BE167" s="104" t="n"/>
      <c r="BF167" s="104" t="n"/>
      <c r="BG167" s="104" t="n"/>
      <c r="BH167" s="104" t="n"/>
      <c r="BI167" s="104" t="n"/>
      <c r="BJ167" s="104" t="n"/>
      <c r="BK167" s="104" t="n"/>
      <c r="BL167" s="104" t="n"/>
      <c r="BM167" s="104" t="n"/>
      <c r="BN167" s="104" t="n"/>
      <c r="BO167" s="104" t="n"/>
      <c r="BP167" s="104" t="n"/>
      <c r="BQ167" s="104" t="n"/>
      <c r="BR167" s="104" t="n"/>
      <c r="BS167" s="104" t="n"/>
      <c r="BT167" s="104" t="n"/>
      <c r="BU167" s="104" t="n"/>
      <c r="BV167" s="104" t="n"/>
      <c r="BW167" s="104" t="n"/>
      <c r="BX167" s="104" t="n"/>
    </row>
    <row r="168">
      <c r="B168" s="64" t="n"/>
      <c r="C168" s="104" t="n"/>
      <c r="D168" s="104" t="n"/>
      <c r="E168" s="104" t="n"/>
      <c r="F168" s="104" t="n"/>
      <c r="G168" s="104" t="n"/>
      <c r="H168" s="104" t="n"/>
      <c r="I168" s="104" t="n"/>
      <c r="J168" s="104" t="n"/>
      <c r="K168" s="104" t="n"/>
      <c r="L168" s="104" t="n"/>
      <c r="N168" s="104" t="n"/>
      <c r="O168" s="104" t="n"/>
      <c r="P168" s="104" t="n"/>
      <c r="Q168" s="104" t="n"/>
      <c r="R168" s="104" t="n"/>
      <c r="S168" s="104" t="n"/>
      <c r="T168" s="104" t="n"/>
      <c r="U168" s="104" t="n"/>
      <c r="V168" s="104" t="n"/>
      <c r="W168" s="104" t="n"/>
      <c r="X168" s="104" t="n"/>
      <c r="Y168" s="104" t="n"/>
      <c r="Z168" s="104" t="n"/>
      <c r="AA168" s="104" t="n"/>
      <c r="AB168" s="104" t="n"/>
      <c r="AC168" s="104" t="n"/>
      <c r="AD168" s="104" t="n"/>
      <c r="AE168" s="104" t="n"/>
      <c r="AF168" s="104" t="n"/>
      <c r="AG168" s="104" t="n"/>
      <c r="AH168" s="104" t="n"/>
      <c r="AI168" s="104" t="n"/>
      <c r="AJ168" s="104" t="n"/>
      <c r="AK168" s="104" t="n"/>
      <c r="AL168" s="104" t="n"/>
      <c r="AM168" s="104" t="n"/>
      <c r="AN168" s="104" t="n"/>
      <c r="AO168" s="104" t="n"/>
      <c r="AP168" s="104" t="n"/>
      <c r="AQ168" s="104" t="n"/>
      <c r="AR168" s="104" t="n"/>
      <c r="AS168" s="104" t="n"/>
      <c r="AT168" s="104" t="n"/>
      <c r="AU168" s="104" t="n"/>
      <c r="AV168" s="104" t="n"/>
      <c r="AW168" s="104" t="n"/>
      <c r="AX168" s="104" t="n"/>
      <c r="AY168" s="104" t="n"/>
      <c r="AZ168" s="104" t="n"/>
      <c r="BA168" s="104" t="n"/>
      <c r="BB168" s="104" t="n"/>
      <c r="BC168" s="104" t="n"/>
      <c r="BD168" s="104" t="n"/>
      <c r="BE168" s="104" t="n"/>
      <c r="BF168" s="104" t="n"/>
      <c r="BG168" s="104" t="n"/>
      <c r="BH168" s="104" t="n"/>
      <c r="BI168" s="104" t="n"/>
      <c r="BJ168" s="104" t="n"/>
      <c r="BK168" s="104" t="n"/>
      <c r="BL168" s="104" t="n"/>
      <c r="BM168" s="104" t="n"/>
      <c r="BN168" s="104" t="n"/>
      <c r="BO168" s="104" t="n"/>
      <c r="BP168" s="104" t="n"/>
      <c r="BQ168" s="104" t="n"/>
      <c r="BR168" s="104" t="n"/>
      <c r="BS168" s="104" t="n"/>
      <c r="BT168" s="104" t="n"/>
      <c r="BU168" s="104" t="n"/>
      <c r="BV168" s="104" t="n"/>
      <c r="BW168" s="104" t="n"/>
      <c r="BX168" s="104" t="n"/>
    </row>
    <row r="169">
      <c r="B169" s="64" t="n"/>
      <c r="C169" s="104" t="n"/>
      <c r="D169" s="104" t="n"/>
      <c r="E169" s="104" t="n"/>
      <c r="F169" s="104" t="n"/>
      <c r="G169" s="104" t="n"/>
      <c r="H169" s="104" t="n"/>
      <c r="I169" s="104" t="n"/>
      <c r="J169" s="104" t="n"/>
      <c r="K169" s="104" t="n"/>
      <c r="L169" s="104" t="n"/>
      <c r="N169" s="104" t="n"/>
      <c r="O169" s="104" t="n"/>
      <c r="P169" s="104" t="n"/>
      <c r="Q169" s="104" t="n"/>
      <c r="R169" s="104" t="n"/>
      <c r="S169" s="104" t="n"/>
      <c r="T169" s="104" t="n"/>
      <c r="U169" s="104" t="n"/>
      <c r="V169" s="104" t="n"/>
      <c r="W169" s="104" t="n"/>
      <c r="X169" s="104" t="n"/>
      <c r="Y169" s="104" t="n"/>
      <c r="Z169" s="104" t="n"/>
      <c r="AA169" s="104" t="n"/>
      <c r="AB169" s="104" t="n"/>
      <c r="AC169" s="104" t="n"/>
      <c r="AD169" s="104" t="n"/>
      <c r="AE169" s="104" t="n"/>
      <c r="AF169" s="104" t="n"/>
      <c r="AG169" s="104" t="n"/>
      <c r="AH169" s="104" t="n"/>
      <c r="AI169" s="104" t="n"/>
      <c r="AJ169" s="104" t="n"/>
      <c r="AK169" s="104" t="n"/>
      <c r="AL169" s="104" t="n"/>
      <c r="AM169" s="104" t="n"/>
      <c r="AN169" s="104" t="n"/>
      <c r="AO169" s="104" t="n"/>
      <c r="AP169" s="104" t="n"/>
      <c r="AQ169" s="104" t="n"/>
      <c r="AR169" s="104" t="n"/>
      <c r="AS169" s="104" t="n"/>
      <c r="AT169" s="104" t="n"/>
      <c r="AU169" s="104" t="n"/>
      <c r="AV169" s="104" t="n"/>
      <c r="AW169" s="104" t="n"/>
      <c r="AX169" s="104" t="n"/>
      <c r="AY169" s="104" t="n"/>
      <c r="AZ169" s="104" t="n"/>
      <c r="BA169" s="104" t="n"/>
      <c r="BB169" s="104" t="n"/>
      <c r="BC169" s="104" t="n"/>
      <c r="BD169" s="104" t="n"/>
      <c r="BE169" s="104" t="n"/>
      <c r="BF169" s="104" t="n"/>
      <c r="BG169" s="104" t="n"/>
      <c r="BH169" s="104" t="n"/>
      <c r="BI169" s="104" t="n"/>
      <c r="BJ169" s="104" t="n"/>
      <c r="BK169" s="104" t="n"/>
      <c r="BL169" s="104" t="n"/>
      <c r="BM169" s="104" t="n"/>
      <c r="BN169" s="104" t="n"/>
      <c r="BO169" s="104" t="n"/>
      <c r="BP169" s="104" t="n"/>
      <c r="BQ169" s="104" t="n"/>
      <c r="BR169" s="104" t="n"/>
      <c r="BS169" s="104" t="n"/>
      <c r="BT169" s="104" t="n"/>
      <c r="BU169" s="104" t="n"/>
      <c r="BV169" s="104" t="n"/>
      <c r="BW169" s="104" t="n"/>
      <c r="BX169" s="104" t="n"/>
    </row>
    <row r="170">
      <c r="B170" s="64" t="n"/>
      <c r="C170" s="104" t="n"/>
      <c r="D170" s="104" t="n"/>
      <c r="E170" s="104" t="n"/>
      <c r="F170" s="104" t="n"/>
      <c r="G170" s="104" t="n"/>
      <c r="H170" s="104" t="n"/>
      <c r="I170" s="104" t="n"/>
      <c r="J170" s="104" t="n"/>
      <c r="K170" s="104" t="n"/>
      <c r="L170" s="104" t="n"/>
      <c r="N170" s="104" t="n"/>
      <c r="O170" s="104" t="n"/>
      <c r="P170" s="104" t="n"/>
      <c r="Q170" s="104" t="n"/>
      <c r="R170" s="104" t="n"/>
      <c r="S170" s="104" t="n"/>
      <c r="T170" s="104" t="n"/>
      <c r="U170" s="104" t="n"/>
      <c r="V170" s="104" t="n"/>
      <c r="W170" s="104" t="n"/>
      <c r="X170" s="104" t="n"/>
      <c r="Y170" s="104" t="n"/>
      <c r="Z170" s="104" t="n"/>
      <c r="AA170" s="104" t="n"/>
      <c r="AB170" s="104" t="n"/>
      <c r="AC170" s="104" t="n"/>
      <c r="AD170" s="104" t="n"/>
      <c r="AE170" s="104" t="n"/>
      <c r="AF170" s="104" t="n"/>
      <c r="AG170" s="104" t="n"/>
      <c r="AH170" s="104" t="n"/>
      <c r="AI170" s="104" t="n"/>
      <c r="AJ170" s="104" t="n"/>
      <c r="AK170" s="104" t="n"/>
      <c r="AL170" s="104" t="n"/>
      <c r="AM170" s="104" t="n"/>
      <c r="AN170" s="104" t="n"/>
      <c r="AO170" s="104" t="n"/>
      <c r="AP170" s="104" t="n"/>
      <c r="AQ170" s="104" t="n"/>
      <c r="AR170" s="104" t="n"/>
      <c r="AS170" s="104" t="n"/>
      <c r="AT170" s="104" t="n"/>
      <c r="AU170" s="104" t="n"/>
      <c r="AV170" s="104" t="n"/>
      <c r="AW170" s="104" t="n"/>
      <c r="AX170" s="104" t="n"/>
      <c r="AY170" s="104" t="n"/>
      <c r="AZ170" s="104" t="n"/>
      <c r="BA170" s="104" t="n"/>
      <c r="BB170" s="104" t="n"/>
      <c r="BC170" s="104" t="n"/>
      <c r="BD170" s="104" t="n"/>
      <c r="BE170" s="104" t="n"/>
      <c r="BF170" s="104" t="n"/>
      <c r="BG170" s="104" t="n"/>
      <c r="BH170" s="104" t="n"/>
      <c r="BI170" s="104" t="n"/>
      <c r="BJ170" s="104" t="n"/>
      <c r="BK170" s="104" t="n"/>
      <c r="BL170" s="104" t="n"/>
      <c r="BM170" s="104" t="n"/>
      <c r="BN170" s="104" t="n"/>
      <c r="BO170" s="104" t="n"/>
      <c r="BP170" s="104" t="n"/>
      <c r="BQ170" s="104" t="n"/>
      <c r="BR170" s="104" t="n"/>
      <c r="BS170" s="104" t="n"/>
      <c r="BT170" s="104" t="n"/>
      <c r="BU170" s="104" t="n"/>
      <c r="BV170" s="104" t="n"/>
      <c r="BW170" s="104" t="n"/>
      <c r="BX170" s="104" t="n"/>
    </row>
    <row r="171">
      <c r="B171" s="64" t="n"/>
      <c r="C171" s="104" t="n"/>
      <c r="D171" s="104" t="n"/>
      <c r="E171" s="104" t="n"/>
      <c r="F171" s="104" t="n"/>
      <c r="G171" s="104" t="n"/>
      <c r="H171" s="104" t="n"/>
      <c r="I171" s="104" t="n"/>
      <c r="J171" s="104" t="n"/>
      <c r="K171" s="104" t="n"/>
      <c r="L171" s="104" t="n"/>
      <c r="N171" s="104" t="n"/>
      <c r="O171" s="104" t="n"/>
      <c r="P171" s="104" t="n"/>
      <c r="Q171" s="104" t="n"/>
      <c r="R171" s="104" t="n"/>
      <c r="S171" s="104" t="n"/>
      <c r="T171" s="104" t="n"/>
      <c r="U171" s="104" t="n"/>
      <c r="V171" s="104" t="n"/>
      <c r="W171" s="104" t="n"/>
      <c r="X171" s="104" t="n"/>
      <c r="Y171" s="104" t="n"/>
      <c r="Z171" s="104" t="n"/>
      <c r="AA171" s="104" t="n"/>
      <c r="AB171" s="104" t="n"/>
      <c r="AC171" s="104" t="n"/>
      <c r="AD171" s="104" t="n"/>
      <c r="AE171" s="104" t="n"/>
      <c r="AF171" s="104" t="n"/>
      <c r="AG171" s="104" t="n"/>
      <c r="AH171" s="104" t="n"/>
      <c r="AI171" s="104" t="n"/>
      <c r="AJ171" s="104" t="n"/>
      <c r="AK171" s="104" t="n"/>
      <c r="AL171" s="104" t="n"/>
      <c r="AM171" s="104" t="n"/>
      <c r="AN171" s="104" t="n"/>
      <c r="AO171" s="104" t="n"/>
      <c r="AP171" s="104" t="n"/>
      <c r="AQ171" s="104" t="n"/>
      <c r="AR171" s="104" t="n"/>
      <c r="AS171" s="104" t="n"/>
      <c r="AT171" s="104" t="n"/>
      <c r="AU171" s="104" t="n"/>
      <c r="AV171" s="104" t="n"/>
      <c r="AW171" s="104" t="n"/>
      <c r="AX171" s="104" t="n"/>
      <c r="AY171" s="104" t="n"/>
      <c r="AZ171" s="104" t="n"/>
      <c r="BA171" s="104" t="n"/>
      <c r="BB171" s="104" t="n"/>
      <c r="BC171" s="104" t="n"/>
      <c r="BD171" s="104" t="n"/>
      <c r="BE171" s="104" t="n"/>
      <c r="BF171" s="104" t="n"/>
      <c r="BG171" s="104" t="n"/>
      <c r="BH171" s="104" t="n"/>
      <c r="BI171" s="104" t="n"/>
      <c r="BJ171" s="104" t="n"/>
      <c r="BK171" s="104" t="n"/>
      <c r="BL171" s="104" t="n"/>
      <c r="BM171" s="104" t="n"/>
      <c r="BN171" s="104" t="n"/>
      <c r="BO171" s="104" t="n"/>
      <c r="BP171" s="104" t="n"/>
      <c r="BQ171" s="104" t="n"/>
      <c r="BR171" s="104" t="n"/>
      <c r="BS171" s="104" t="n"/>
      <c r="BT171" s="104" t="n"/>
      <c r="BU171" s="104" t="n"/>
      <c r="BV171" s="104" t="n"/>
      <c r="BW171" s="104" t="n"/>
      <c r="BX171" s="104" t="n"/>
    </row>
    <row r="172">
      <c r="B172" s="64" t="n"/>
      <c r="C172" s="104" t="n"/>
      <c r="D172" s="104" t="n"/>
      <c r="E172" s="104" t="n"/>
      <c r="F172" s="104" t="n"/>
      <c r="G172" s="104" t="n"/>
      <c r="H172" s="104" t="n"/>
      <c r="I172" s="104" t="n"/>
      <c r="J172" s="104" t="n"/>
      <c r="K172" s="104" t="n"/>
      <c r="L172" s="104" t="n"/>
      <c r="N172" s="104" t="n"/>
      <c r="O172" s="104" t="n"/>
      <c r="P172" s="104" t="n"/>
      <c r="Q172" s="104" t="n"/>
      <c r="R172" s="104" t="n"/>
      <c r="S172" s="104" t="n"/>
      <c r="T172" s="104" t="n"/>
      <c r="U172" s="104" t="n"/>
      <c r="V172" s="104" t="n"/>
      <c r="W172" s="104" t="n"/>
      <c r="X172" s="104" t="n"/>
      <c r="Y172" s="104" t="n"/>
      <c r="Z172" s="104" t="n"/>
      <c r="AA172" s="104" t="n"/>
      <c r="AB172" s="104" t="n"/>
      <c r="AC172" s="104" t="n"/>
      <c r="AD172" s="104" t="n"/>
      <c r="AE172" s="104" t="n"/>
      <c r="AF172" s="104" t="n"/>
      <c r="AG172" s="104" t="n"/>
      <c r="AH172" s="104" t="n"/>
      <c r="AI172" s="104" t="n"/>
      <c r="AJ172" s="104" t="n"/>
      <c r="AK172" s="104" t="n"/>
      <c r="AL172" s="104" t="n"/>
      <c r="AM172" s="104" t="n"/>
      <c r="AN172" s="104" t="n"/>
      <c r="AO172" s="104" t="n"/>
      <c r="AP172" s="104" t="n"/>
      <c r="AQ172" s="104" t="n"/>
      <c r="AR172" s="104" t="n"/>
      <c r="AS172" s="104" t="n"/>
      <c r="AT172" s="104" t="n"/>
      <c r="AU172" s="104" t="n"/>
      <c r="AV172" s="104" t="n"/>
      <c r="AW172" s="104" t="n"/>
      <c r="AX172" s="104" t="n"/>
      <c r="AY172" s="104" t="n"/>
      <c r="AZ172" s="104" t="n"/>
      <c r="BA172" s="104" t="n"/>
      <c r="BB172" s="104" t="n"/>
      <c r="BC172" s="104" t="n"/>
      <c r="BD172" s="104" t="n"/>
      <c r="BE172" s="104" t="n"/>
      <c r="BF172" s="104" t="n"/>
      <c r="BG172" s="104" t="n"/>
      <c r="BH172" s="104" t="n"/>
      <c r="BI172" s="104" t="n"/>
      <c r="BJ172" s="104" t="n"/>
      <c r="BK172" s="104" t="n"/>
      <c r="BL172" s="104" t="n"/>
      <c r="BM172" s="104" t="n"/>
      <c r="BN172" s="104" t="n"/>
      <c r="BO172" s="104" t="n"/>
      <c r="BP172" s="104" t="n"/>
      <c r="BQ172" s="104" t="n"/>
      <c r="BR172" s="104" t="n"/>
      <c r="BS172" s="104" t="n"/>
      <c r="BT172" s="104" t="n"/>
      <c r="BU172" s="104" t="n"/>
      <c r="BV172" s="104" t="n"/>
      <c r="BW172" s="104" t="n"/>
      <c r="BX172" s="104" t="n"/>
    </row>
    <row r="173">
      <c r="B173" s="64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N173" s="104" t="n"/>
      <c r="O173" s="104" t="n"/>
      <c r="P173" s="104" t="n"/>
      <c r="Q173" s="104" t="n"/>
      <c r="R173" s="104" t="n"/>
      <c r="S173" s="104" t="n"/>
      <c r="T173" s="104" t="n"/>
      <c r="U173" s="104" t="n"/>
      <c r="V173" s="104" t="n"/>
      <c r="W173" s="104" t="n"/>
      <c r="X173" s="104" t="n"/>
      <c r="Y173" s="104" t="n"/>
      <c r="Z173" s="104" t="n"/>
      <c r="AA173" s="104" t="n"/>
      <c r="AB173" s="104" t="n"/>
      <c r="AC173" s="104" t="n"/>
      <c r="AD173" s="104" t="n"/>
      <c r="AE173" s="104" t="n"/>
      <c r="AF173" s="104" t="n"/>
      <c r="AG173" s="104" t="n"/>
      <c r="AH173" s="104" t="n"/>
      <c r="AI173" s="104" t="n"/>
      <c r="AJ173" s="104" t="n"/>
      <c r="AK173" s="104" t="n"/>
      <c r="AL173" s="104" t="n"/>
      <c r="AM173" s="104" t="n"/>
      <c r="AN173" s="104" t="n"/>
      <c r="AO173" s="104" t="n"/>
      <c r="AP173" s="104" t="n"/>
      <c r="AQ173" s="104" t="n"/>
      <c r="AR173" s="104" t="n"/>
      <c r="AS173" s="104" t="n"/>
      <c r="AT173" s="104" t="n"/>
      <c r="AU173" s="104" t="n"/>
      <c r="AV173" s="104" t="n"/>
      <c r="AW173" s="104" t="n"/>
      <c r="AX173" s="104" t="n"/>
      <c r="AY173" s="104" t="n"/>
      <c r="AZ173" s="104" t="n"/>
      <c r="BA173" s="104" t="n"/>
      <c r="BB173" s="104" t="n"/>
      <c r="BC173" s="104" t="n"/>
      <c r="BD173" s="104" t="n"/>
      <c r="BE173" s="104" t="n"/>
      <c r="BF173" s="104" t="n"/>
      <c r="BG173" s="104" t="n"/>
      <c r="BH173" s="104" t="n"/>
      <c r="BI173" s="104" t="n"/>
      <c r="BJ173" s="104" t="n"/>
      <c r="BK173" s="104" t="n"/>
      <c r="BL173" s="104" t="n"/>
      <c r="BM173" s="104" t="n"/>
      <c r="BN173" s="104" t="n"/>
      <c r="BO173" s="104" t="n"/>
      <c r="BP173" s="104" t="n"/>
      <c r="BQ173" s="104" t="n"/>
      <c r="BR173" s="104" t="n"/>
      <c r="BS173" s="104" t="n"/>
      <c r="BT173" s="104" t="n"/>
      <c r="BU173" s="104" t="n"/>
      <c r="BV173" s="104" t="n"/>
      <c r="BW173" s="104" t="n"/>
      <c r="BX173" s="104" t="n"/>
    </row>
    <row r="174">
      <c r="B174" s="64" t="n"/>
      <c r="C174" s="104" t="n"/>
      <c r="D174" s="104" t="n"/>
      <c r="E174" s="104" t="n"/>
      <c r="F174" s="104" t="n"/>
      <c r="G174" s="104" t="n"/>
      <c r="H174" s="104" t="n"/>
      <c r="I174" s="104" t="n"/>
      <c r="J174" s="104" t="n"/>
      <c r="K174" s="104" t="n"/>
      <c r="L174" s="104" t="n"/>
      <c r="N174" s="104" t="n"/>
      <c r="O174" s="104" t="n"/>
      <c r="P174" s="104" t="n"/>
      <c r="Q174" s="104" t="n"/>
      <c r="R174" s="104" t="n"/>
      <c r="S174" s="104" t="n"/>
      <c r="T174" s="104" t="n"/>
      <c r="U174" s="104" t="n"/>
      <c r="V174" s="104" t="n"/>
      <c r="W174" s="104" t="n"/>
      <c r="X174" s="104" t="n"/>
      <c r="Y174" s="104" t="n"/>
      <c r="Z174" s="104" t="n"/>
      <c r="AA174" s="104" t="n"/>
      <c r="AB174" s="104" t="n"/>
      <c r="AC174" s="104" t="n"/>
      <c r="AD174" s="104" t="n"/>
      <c r="AE174" s="104" t="n"/>
      <c r="AF174" s="104" t="n"/>
      <c r="AG174" s="104" t="n"/>
      <c r="AH174" s="104" t="n"/>
      <c r="AI174" s="104" t="n"/>
      <c r="AJ174" s="104" t="n"/>
      <c r="AK174" s="104" t="n"/>
      <c r="AL174" s="104" t="n"/>
      <c r="AM174" s="104" t="n"/>
      <c r="AN174" s="104" t="n"/>
      <c r="AO174" s="104" t="n"/>
      <c r="AP174" s="104" t="n"/>
      <c r="AQ174" s="104" t="n"/>
      <c r="AR174" s="104" t="n"/>
      <c r="AS174" s="104" t="n"/>
      <c r="AT174" s="104" t="n"/>
      <c r="AU174" s="104" t="n"/>
      <c r="AV174" s="104" t="n"/>
      <c r="AW174" s="104" t="n"/>
      <c r="AX174" s="104" t="n"/>
      <c r="AY174" s="104" t="n"/>
      <c r="AZ174" s="104" t="n"/>
      <c r="BA174" s="104" t="n"/>
      <c r="BB174" s="104" t="n"/>
      <c r="BC174" s="104" t="n"/>
      <c r="BD174" s="104" t="n"/>
      <c r="BE174" s="104" t="n"/>
      <c r="BF174" s="104" t="n"/>
      <c r="BG174" s="104" t="n"/>
      <c r="BH174" s="104" t="n"/>
      <c r="BI174" s="104" t="n"/>
      <c r="BJ174" s="104" t="n"/>
      <c r="BK174" s="104" t="n"/>
      <c r="BL174" s="104" t="n"/>
      <c r="BM174" s="104" t="n"/>
      <c r="BN174" s="104" t="n"/>
      <c r="BO174" s="104" t="n"/>
      <c r="BP174" s="104" t="n"/>
      <c r="BQ174" s="104" t="n"/>
      <c r="BR174" s="104" t="n"/>
      <c r="BS174" s="104" t="n"/>
      <c r="BT174" s="104" t="n"/>
      <c r="BU174" s="104" t="n"/>
      <c r="BV174" s="104" t="n"/>
      <c r="BW174" s="104" t="n"/>
      <c r="BX174" s="104" t="n"/>
    </row>
    <row r="175">
      <c r="B175" s="64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N175" s="104" t="n"/>
      <c r="O175" s="104" t="n"/>
      <c r="P175" s="104" t="n"/>
      <c r="Q175" s="104" t="n"/>
      <c r="R175" s="104" t="n"/>
      <c r="S175" s="104" t="n"/>
      <c r="T175" s="104" t="n"/>
      <c r="U175" s="104" t="n"/>
      <c r="V175" s="104" t="n"/>
      <c r="W175" s="104" t="n"/>
      <c r="X175" s="104" t="n"/>
      <c r="Y175" s="104" t="n"/>
      <c r="Z175" s="104" t="n"/>
      <c r="AA175" s="104" t="n"/>
      <c r="AB175" s="104" t="n"/>
      <c r="AC175" s="104" t="n"/>
      <c r="AD175" s="104" t="n"/>
      <c r="AE175" s="104" t="n"/>
      <c r="AF175" s="104" t="n"/>
      <c r="AG175" s="104" t="n"/>
      <c r="AH175" s="104" t="n"/>
      <c r="AI175" s="104" t="n"/>
      <c r="AJ175" s="104" t="n"/>
      <c r="AK175" s="104" t="n"/>
      <c r="AL175" s="104" t="n"/>
      <c r="AM175" s="104" t="n"/>
      <c r="AN175" s="104" t="n"/>
      <c r="AO175" s="104" t="n"/>
      <c r="AP175" s="104" t="n"/>
      <c r="AQ175" s="104" t="n"/>
      <c r="AR175" s="104" t="n"/>
      <c r="AS175" s="104" t="n"/>
      <c r="AT175" s="104" t="n"/>
      <c r="AU175" s="104" t="n"/>
      <c r="AV175" s="104" t="n"/>
      <c r="AW175" s="104" t="n"/>
      <c r="AX175" s="104" t="n"/>
      <c r="AY175" s="104" t="n"/>
      <c r="AZ175" s="104" t="n"/>
      <c r="BA175" s="104" t="n"/>
      <c r="BB175" s="104" t="n"/>
      <c r="BC175" s="104" t="n"/>
      <c r="BD175" s="104" t="n"/>
      <c r="BE175" s="104" t="n"/>
      <c r="BF175" s="104" t="n"/>
      <c r="BG175" s="104" t="n"/>
      <c r="BH175" s="104" t="n"/>
      <c r="BI175" s="104" t="n"/>
      <c r="BJ175" s="104" t="n"/>
      <c r="BK175" s="104" t="n"/>
      <c r="BL175" s="104" t="n"/>
      <c r="BM175" s="104" t="n"/>
      <c r="BN175" s="104" t="n"/>
      <c r="BO175" s="104" t="n"/>
      <c r="BP175" s="104" t="n"/>
      <c r="BQ175" s="104" t="n"/>
      <c r="BR175" s="104" t="n"/>
      <c r="BS175" s="104" t="n"/>
      <c r="BT175" s="104" t="n"/>
      <c r="BU175" s="104" t="n"/>
      <c r="BV175" s="104" t="n"/>
      <c r="BW175" s="104" t="n"/>
      <c r="BX175" s="104" t="n"/>
    </row>
    <row r="176">
      <c r="B176" s="64" t="n"/>
      <c r="C176" s="104" t="n"/>
      <c r="D176" s="104" t="n"/>
      <c r="E176" s="104" t="n"/>
      <c r="F176" s="104" t="n"/>
      <c r="G176" s="104" t="n"/>
      <c r="H176" s="104" t="n"/>
      <c r="I176" s="104" t="n"/>
      <c r="J176" s="104" t="n"/>
      <c r="K176" s="104" t="n"/>
      <c r="L176" s="104" t="n"/>
      <c r="N176" s="104" t="n"/>
      <c r="O176" s="104" t="n"/>
      <c r="P176" s="104" t="n"/>
      <c r="Q176" s="104" t="n"/>
      <c r="R176" s="104" t="n"/>
      <c r="S176" s="104" t="n"/>
      <c r="T176" s="104" t="n"/>
      <c r="U176" s="104" t="n"/>
      <c r="V176" s="104" t="n"/>
      <c r="W176" s="104" t="n"/>
      <c r="X176" s="104" t="n"/>
      <c r="Y176" s="104" t="n"/>
      <c r="Z176" s="104" t="n"/>
      <c r="AA176" s="104" t="n"/>
      <c r="AB176" s="104" t="n"/>
      <c r="AC176" s="104" t="n"/>
      <c r="AD176" s="104" t="n"/>
      <c r="AE176" s="104" t="n"/>
      <c r="AF176" s="104" t="n"/>
      <c r="AG176" s="104" t="n"/>
      <c r="AH176" s="104" t="n"/>
      <c r="AI176" s="104" t="n"/>
      <c r="AJ176" s="104" t="n"/>
      <c r="AK176" s="104" t="n"/>
      <c r="AL176" s="104" t="n"/>
      <c r="AM176" s="104" t="n"/>
      <c r="AN176" s="104" t="n"/>
      <c r="AO176" s="104" t="n"/>
      <c r="AP176" s="104" t="n"/>
      <c r="AQ176" s="104" t="n"/>
      <c r="AR176" s="104" t="n"/>
      <c r="AS176" s="104" t="n"/>
      <c r="AT176" s="104" t="n"/>
      <c r="AU176" s="104" t="n"/>
      <c r="AV176" s="104" t="n"/>
      <c r="AW176" s="104" t="n"/>
      <c r="AX176" s="104" t="n"/>
      <c r="AY176" s="104" t="n"/>
      <c r="AZ176" s="104" t="n"/>
      <c r="BA176" s="104" t="n"/>
      <c r="BB176" s="104" t="n"/>
      <c r="BC176" s="104" t="n"/>
      <c r="BD176" s="104" t="n"/>
      <c r="BE176" s="104" t="n"/>
      <c r="BF176" s="104" t="n"/>
      <c r="BG176" s="104" t="n"/>
      <c r="BH176" s="104" t="n"/>
      <c r="BI176" s="104" t="n"/>
      <c r="BJ176" s="104" t="n"/>
      <c r="BK176" s="104" t="n"/>
      <c r="BL176" s="104" t="n"/>
      <c r="BM176" s="104" t="n"/>
      <c r="BN176" s="104" t="n"/>
      <c r="BO176" s="104" t="n"/>
      <c r="BP176" s="104" t="n"/>
      <c r="BQ176" s="104" t="n"/>
      <c r="BR176" s="104" t="n"/>
      <c r="BS176" s="104" t="n"/>
      <c r="BT176" s="104" t="n"/>
      <c r="BU176" s="104" t="n"/>
      <c r="BV176" s="104" t="n"/>
      <c r="BW176" s="104" t="n"/>
      <c r="BX176" s="104" t="n"/>
    </row>
    <row r="177">
      <c r="B177" s="64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N177" s="104" t="n"/>
      <c r="O177" s="104" t="n"/>
      <c r="P177" s="104" t="n"/>
      <c r="Q177" s="104" t="n"/>
      <c r="R177" s="104" t="n"/>
      <c r="S177" s="104" t="n"/>
      <c r="T177" s="104" t="n"/>
      <c r="U177" s="104" t="n"/>
      <c r="V177" s="104" t="n"/>
      <c r="W177" s="104" t="n"/>
      <c r="X177" s="104" t="n"/>
      <c r="Y177" s="104" t="n"/>
      <c r="Z177" s="104" t="n"/>
      <c r="AA177" s="104" t="n"/>
      <c r="AB177" s="104" t="n"/>
      <c r="AC177" s="104" t="n"/>
      <c r="AD177" s="104" t="n"/>
      <c r="AE177" s="104" t="n"/>
      <c r="AF177" s="104" t="n"/>
      <c r="AG177" s="104" t="n"/>
      <c r="AH177" s="104" t="n"/>
      <c r="AI177" s="104" t="n"/>
      <c r="AJ177" s="104" t="n"/>
      <c r="AK177" s="104" t="n"/>
      <c r="AL177" s="104" t="n"/>
      <c r="AM177" s="104" t="n"/>
      <c r="AN177" s="104" t="n"/>
      <c r="AO177" s="104" t="n"/>
      <c r="AP177" s="104" t="n"/>
      <c r="AQ177" s="104" t="n"/>
      <c r="AR177" s="104" t="n"/>
      <c r="AS177" s="104" t="n"/>
      <c r="AT177" s="104" t="n"/>
      <c r="AU177" s="104" t="n"/>
      <c r="AV177" s="104" t="n"/>
      <c r="AW177" s="104" t="n"/>
      <c r="AX177" s="104" t="n"/>
      <c r="AY177" s="104" t="n"/>
      <c r="AZ177" s="104" t="n"/>
      <c r="BA177" s="104" t="n"/>
      <c r="BB177" s="104" t="n"/>
      <c r="BC177" s="104" t="n"/>
      <c r="BD177" s="104" t="n"/>
      <c r="BE177" s="104" t="n"/>
      <c r="BF177" s="104" t="n"/>
      <c r="BG177" s="104" t="n"/>
      <c r="BH177" s="104" t="n"/>
      <c r="BI177" s="104" t="n"/>
      <c r="BJ177" s="104" t="n"/>
      <c r="BK177" s="104" t="n"/>
      <c r="BL177" s="104" t="n"/>
      <c r="BM177" s="104" t="n"/>
      <c r="BN177" s="104" t="n"/>
      <c r="BO177" s="104" t="n"/>
      <c r="BP177" s="104" t="n"/>
      <c r="BQ177" s="104" t="n"/>
      <c r="BR177" s="104" t="n"/>
      <c r="BS177" s="104" t="n"/>
      <c r="BT177" s="104" t="n"/>
      <c r="BU177" s="104" t="n"/>
      <c r="BV177" s="104" t="n"/>
      <c r="BW177" s="104" t="n"/>
      <c r="BX177" s="104" t="n"/>
    </row>
    <row r="178">
      <c r="B178" s="64" t="n"/>
      <c r="C178" s="104" t="n"/>
      <c r="D178" s="104" t="n"/>
      <c r="E178" s="104" t="n"/>
      <c r="F178" s="104" t="n"/>
      <c r="G178" s="104" t="n"/>
      <c r="H178" s="104" t="n"/>
      <c r="I178" s="104" t="n"/>
      <c r="J178" s="104" t="n"/>
      <c r="K178" s="104" t="n"/>
      <c r="L178" s="104" t="n"/>
      <c r="N178" s="104" t="n"/>
      <c r="O178" s="104" t="n"/>
      <c r="P178" s="104" t="n"/>
      <c r="Q178" s="104" t="n"/>
      <c r="R178" s="104" t="n"/>
      <c r="S178" s="104" t="n"/>
      <c r="T178" s="104" t="n"/>
      <c r="U178" s="104" t="n"/>
      <c r="V178" s="104" t="n"/>
      <c r="W178" s="104" t="n"/>
      <c r="X178" s="104" t="n"/>
      <c r="Y178" s="104" t="n"/>
      <c r="Z178" s="104" t="n"/>
      <c r="AA178" s="104" t="n"/>
      <c r="AB178" s="104" t="n"/>
      <c r="AC178" s="104" t="n"/>
      <c r="AD178" s="104" t="n"/>
      <c r="AE178" s="104" t="n"/>
      <c r="AF178" s="104" t="n"/>
      <c r="AG178" s="104" t="n"/>
      <c r="AH178" s="104" t="n"/>
      <c r="AI178" s="104" t="n"/>
      <c r="AJ178" s="104" t="n"/>
      <c r="AK178" s="104" t="n"/>
      <c r="AL178" s="104" t="n"/>
      <c r="AM178" s="104" t="n"/>
      <c r="AN178" s="104" t="n"/>
      <c r="AO178" s="104" t="n"/>
      <c r="AP178" s="104" t="n"/>
      <c r="AQ178" s="104" t="n"/>
      <c r="AR178" s="104" t="n"/>
      <c r="AS178" s="104" t="n"/>
      <c r="AT178" s="104" t="n"/>
      <c r="AU178" s="104" t="n"/>
      <c r="AV178" s="104" t="n"/>
      <c r="AW178" s="104" t="n"/>
      <c r="AX178" s="104" t="n"/>
      <c r="AY178" s="104" t="n"/>
      <c r="AZ178" s="104" t="n"/>
      <c r="BA178" s="104" t="n"/>
      <c r="BB178" s="104" t="n"/>
      <c r="BC178" s="104" t="n"/>
      <c r="BD178" s="104" t="n"/>
      <c r="BE178" s="104" t="n"/>
      <c r="BF178" s="104" t="n"/>
      <c r="BG178" s="104" t="n"/>
      <c r="BH178" s="104" t="n"/>
      <c r="BI178" s="104" t="n"/>
      <c r="BJ178" s="104" t="n"/>
      <c r="BK178" s="104" t="n"/>
      <c r="BL178" s="104" t="n"/>
      <c r="BM178" s="104" t="n"/>
      <c r="BN178" s="104" t="n"/>
      <c r="BO178" s="104" t="n"/>
      <c r="BP178" s="104" t="n"/>
      <c r="BQ178" s="104" t="n"/>
      <c r="BR178" s="104" t="n"/>
      <c r="BS178" s="104" t="n"/>
      <c r="BT178" s="104" t="n"/>
      <c r="BU178" s="104" t="n"/>
      <c r="BV178" s="104" t="n"/>
      <c r="BW178" s="104" t="n"/>
      <c r="BX178" s="104" t="n"/>
    </row>
    <row r="179">
      <c r="B179" s="64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N179" s="104" t="n"/>
      <c r="O179" s="104" t="n"/>
      <c r="P179" s="104" t="n"/>
      <c r="Q179" s="104" t="n"/>
      <c r="R179" s="104" t="n"/>
      <c r="S179" s="104" t="n"/>
      <c r="T179" s="104" t="n"/>
      <c r="U179" s="104" t="n"/>
      <c r="V179" s="104" t="n"/>
      <c r="W179" s="104" t="n"/>
      <c r="X179" s="104" t="n"/>
      <c r="Y179" s="104" t="n"/>
      <c r="Z179" s="104" t="n"/>
      <c r="AA179" s="104" t="n"/>
      <c r="AB179" s="104" t="n"/>
      <c r="AC179" s="104" t="n"/>
      <c r="AD179" s="104" t="n"/>
      <c r="AE179" s="104" t="n"/>
      <c r="AF179" s="104" t="n"/>
      <c r="AG179" s="104" t="n"/>
      <c r="AH179" s="104" t="n"/>
      <c r="AI179" s="104" t="n"/>
      <c r="AJ179" s="104" t="n"/>
      <c r="AK179" s="104" t="n"/>
      <c r="AL179" s="104" t="n"/>
      <c r="AM179" s="104" t="n"/>
      <c r="AN179" s="104" t="n"/>
      <c r="AO179" s="104" t="n"/>
      <c r="AP179" s="104" t="n"/>
      <c r="AQ179" s="104" t="n"/>
      <c r="AR179" s="104" t="n"/>
      <c r="AS179" s="104" t="n"/>
      <c r="AT179" s="104" t="n"/>
      <c r="AU179" s="104" t="n"/>
      <c r="AV179" s="104" t="n"/>
      <c r="AW179" s="104" t="n"/>
      <c r="AX179" s="104" t="n"/>
      <c r="AY179" s="104" t="n"/>
      <c r="AZ179" s="104" t="n"/>
      <c r="BA179" s="104" t="n"/>
      <c r="BB179" s="104" t="n"/>
      <c r="BC179" s="104" t="n"/>
      <c r="BD179" s="104" t="n"/>
      <c r="BE179" s="104" t="n"/>
      <c r="BF179" s="104" t="n"/>
      <c r="BG179" s="104" t="n"/>
      <c r="BH179" s="104" t="n"/>
      <c r="BI179" s="104" t="n"/>
      <c r="BJ179" s="104" t="n"/>
      <c r="BK179" s="104" t="n"/>
      <c r="BL179" s="104" t="n"/>
      <c r="BM179" s="104" t="n"/>
      <c r="BN179" s="104" t="n"/>
      <c r="BO179" s="104" t="n"/>
      <c r="BP179" s="104" t="n"/>
      <c r="BQ179" s="104" t="n"/>
      <c r="BR179" s="104" t="n"/>
      <c r="BS179" s="104" t="n"/>
      <c r="BT179" s="104" t="n"/>
      <c r="BU179" s="104" t="n"/>
      <c r="BV179" s="104" t="n"/>
      <c r="BW179" s="104" t="n"/>
      <c r="BX179" s="104" t="n"/>
    </row>
    <row r="180">
      <c r="B180" s="64" t="n"/>
      <c r="C180" s="104" t="n"/>
      <c r="D180" s="104" t="n"/>
      <c r="E180" s="104" t="n"/>
      <c r="F180" s="104" t="n"/>
      <c r="G180" s="104" t="n"/>
      <c r="H180" s="104" t="n"/>
      <c r="I180" s="104" t="n"/>
      <c r="J180" s="104" t="n"/>
      <c r="K180" s="104" t="n"/>
      <c r="L180" s="104" t="n"/>
      <c r="N180" s="104" t="n"/>
      <c r="O180" s="104" t="n"/>
      <c r="P180" s="104" t="n"/>
      <c r="Q180" s="104" t="n"/>
      <c r="R180" s="104" t="n"/>
      <c r="S180" s="104" t="n"/>
      <c r="T180" s="104" t="n"/>
      <c r="U180" s="104" t="n"/>
      <c r="V180" s="104" t="n"/>
      <c r="W180" s="104" t="n"/>
      <c r="X180" s="104" t="n"/>
      <c r="Y180" s="104" t="n"/>
      <c r="Z180" s="104" t="n"/>
      <c r="AA180" s="104" t="n"/>
      <c r="AB180" s="104" t="n"/>
      <c r="AC180" s="104" t="n"/>
      <c r="AD180" s="104" t="n"/>
      <c r="AE180" s="104" t="n"/>
      <c r="AF180" s="104" t="n"/>
      <c r="AG180" s="104" t="n"/>
      <c r="AH180" s="104" t="n"/>
      <c r="AI180" s="104" t="n"/>
      <c r="AJ180" s="104" t="n"/>
      <c r="AK180" s="104" t="n"/>
      <c r="AL180" s="104" t="n"/>
      <c r="AM180" s="104" t="n"/>
      <c r="AN180" s="104" t="n"/>
      <c r="AO180" s="104" t="n"/>
      <c r="AP180" s="104" t="n"/>
      <c r="AQ180" s="104" t="n"/>
      <c r="AR180" s="104" t="n"/>
      <c r="AS180" s="104" t="n"/>
      <c r="AT180" s="104" t="n"/>
      <c r="AU180" s="104" t="n"/>
      <c r="AV180" s="104" t="n"/>
      <c r="AW180" s="104" t="n"/>
      <c r="AX180" s="104" t="n"/>
      <c r="AY180" s="104" t="n"/>
      <c r="AZ180" s="104" t="n"/>
      <c r="BA180" s="104" t="n"/>
      <c r="BB180" s="104" t="n"/>
      <c r="BC180" s="104" t="n"/>
      <c r="BD180" s="104" t="n"/>
      <c r="BE180" s="104" t="n"/>
      <c r="BF180" s="104" t="n"/>
      <c r="BG180" s="104" t="n"/>
      <c r="BH180" s="104" t="n"/>
      <c r="BI180" s="104" t="n"/>
      <c r="BJ180" s="104" t="n"/>
      <c r="BK180" s="104" t="n"/>
      <c r="BL180" s="104" t="n"/>
      <c r="BM180" s="104" t="n"/>
      <c r="BN180" s="104" t="n"/>
      <c r="BO180" s="104" t="n"/>
      <c r="BP180" s="104" t="n"/>
      <c r="BQ180" s="104" t="n"/>
      <c r="BR180" s="104" t="n"/>
      <c r="BS180" s="104" t="n"/>
      <c r="BT180" s="104" t="n"/>
      <c r="BU180" s="104" t="n"/>
      <c r="BV180" s="104" t="n"/>
      <c r="BW180" s="104" t="n"/>
      <c r="BX180" s="104" t="n"/>
    </row>
    <row r="181">
      <c r="B181" s="64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N181" s="104" t="n"/>
      <c r="O181" s="104" t="n"/>
      <c r="P181" s="104" t="n"/>
      <c r="Q181" s="104" t="n"/>
      <c r="R181" s="104" t="n"/>
      <c r="S181" s="104" t="n"/>
      <c r="T181" s="104" t="n"/>
      <c r="U181" s="104" t="n"/>
      <c r="V181" s="104" t="n"/>
      <c r="W181" s="104" t="n"/>
      <c r="X181" s="104" t="n"/>
      <c r="Y181" s="104" t="n"/>
      <c r="Z181" s="104" t="n"/>
      <c r="AA181" s="104" t="n"/>
      <c r="AB181" s="104" t="n"/>
      <c r="AC181" s="104" t="n"/>
      <c r="AD181" s="104" t="n"/>
      <c r="AE181" s="104" t="n"/>
      <c r="AF181" s="104" t="n"/>
      <c r="AG181" s="104" t="n"/>
      <c r="AH181" s="104" t="n"/>
      <c r="AI181" s="104" t="n"/>
      <c r="AJ181" s="104" t="n"/>
      <c r="AK181" s="104" t="n"/>
      <c r="AL181" s="104" t="n"/>
      <c r="AM181" s="104" t="n"/>
      <c r="AN181" s="104" t="n"/>
      <c r="AO181" s="104" t="n"/>
      <c r="AP181" s="104" t="n"/>
      <c r="AQ181" s="104" t="n"/>
      <c r="AR181" s="104" t="n"/>
      <c r="AS181" s="104" t="n"/>
      <c r="AT181" s="104" t="n"/>
      <c r="AU181" s="104" t="n"/>
      <c r="AV181" s="104" t="n"/>
      <c r="AW181" s="104" t="n"/>
      <c r="AX181" s="104" t="n"/>
      <c r="AY181" s="104" t="n"/>
      <c r="AZ181" s="104" t="n"/>
      <c r="BA181" s="104" t="n"/>
      <c r="BB181" s="104" t="n"/>
      <c r="BC181" s="104" t="n"/>
      <c r="BD181" s="104" t="n"/>
      <c r="BE181" s="104" t="n"/>
      <c r="BF181" s="104" t="n"/>
      <c r="BG181" s="104" t="n"/>
      <c r="BH181" s="104" t="n"/>
      <c r="BI181" s="104" t="n"/>
      <c r="BJ181" s="104" t="n"/>
      <c r="BK181" s="104" t="n"/>
      <c r="BL181" s="104" t="n"/>
      <c r="BM181" s="104" t="n"/>
      <c r="BN181" s="104" t="n"/>
      <c r="BO181" s="104" t="n"/>
      <c r="BP181" s="104" t="n"/>
      <c r="BQ181" s="104" t="n"/>
      <c r="BR181" s="104" t="n"/>
      <c r="BS181" s="104" t="n"/>
      <c r="BT181" s="104" t="n"/>
      <c r="BU181" s="104" t="n"/>
      <c r="BV181" s="104" t="n"/>
      <c r="BW181" s="104" t="n"/>
      <c r="BX181" s="104" t="n"/>
    </row>
    <row r="182">
      <c r="B182" s="64" t="n"/>
      <c r="C182" s="104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N182" s="104" t="n"/>
      <c r="O182" s="104" t="n"/>
      <c r="P182" s="104" t="n"/>
      <c r="Q182" s="104" t="n"/>
      <c r="R182" s="104" t="n"/>
      <c r="S182" s="104" t="n"/>
      <c r="T182" s="104" t="n"/>
      <c r="U182" s="104" t="n"/>
      <c r="V182" s="104" t="n"/>
      <c r="W182" s="104" t="n"/>
      <c r="X182" s="104" t="n"/>
      <c r="Y182" s="104" t="n"/>
      <c r="Z182" s="104" t="n"/>
      <c r="AA182" s="104" t="n"/>
      <c r="AB182" s="104" t="n"/>
      <c r="AC182" s="104" t="n"/>
      <c r="AD182" s="104" t="n"/>
      <c r="AE182" s="104" t="n"/>
      <c r="AF182" s="104" t="n"/>
      <c r="AG182" s="104" t="n"/>
      <c r="AH182" s="104" t="n"/>
      <c r="AI182" s="104" t="n"/>
      <c r="AJ182" s="104" t="n"/>
      <c r="AK182" s="104" t="n"/>
      <c r="AL182" s="104" t="n"/>
      <c r="AM182" s="104" t="n"/>
      <c r="AN182" s="104" t="n"/>
      <c r="AO182" s="104" t="n"/>
      <c r="AP182" s="104" t="n"/>
      <c r="AQ182" s="104" t="n"/>
      <c r="AR182" s="104" t="n"/>
      <c r="AS182" s="104" t="n"/>
      <c r="AT182" s="104" t="n"/>
      <c r="AU182" s="104" t="n"/>
      <c r="AV182" s="104" t="n"/>
      <c r="AW182" s="104" t="n"/>
      <c r="AX182" s="104" t="n"/>
      <c r="AY182" s="104" t="n"/>
      <c r="AZ182" s="104" t="n"/>
      <c r="BA182" s="104" t="n"/>
      <c r="BB182" s="104" t="n"/>
      <c r="BC182" s="104" t="n"/>
      <c r="BD182" s="104" t="n"/>
      <c r="BE182" s="104" t="n"/>
      <c r="BF182" s="104" t="n"/>
      <c r="BG182" s="104" t="n"/>
      <c r="BH182" s="104" t="n"/>
      <c r="BI182" s="104" t="n"/>
      <c r="BJ182" s="104" t="n"/>
      <c r="BK182" s="104" t="n"/>
      <c r="BL182" s="104" t="n"/>
      <c r="BM182" s="104" t="n"/>
      <c r="BN182" s="104" t="n"/>
      <c r="BO182" s="104" t="n"/>
      <c r="BP182" s="104" t="n"/>
      <c r="BQ182" s="104" t="n"/>
      <c r="BR182" s="104" t="n"/>
      <c r="BS182" s="104" t="n"/>
      <c r="BT182" s="104" t="n"/>
      <c r="BU182" s="104" t="n"/>
      <c r="BV182" s="104" t="n"/>
      <c r="BW182" s="104" t="n"/>
      <c r="BX182" s="104" t="n"/>
    </row>
    <row r="183">
      <c r="B183" s="64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N183" s="104" t="n"/>
      <c r="O183" s="104" t="n"/>
      <c r="P183" s="104" t="n"/>
      <c r="Q183" s="104" t="n"/>
      <c r="R183" s="104" t="n"/>
      <c r="S183" s="104" t="n"/>
      <c r="T183" s="104" t="n"/>
      <c r="U183" s="104" t="n"/>
      <c r="V183" s="104" t="n"/>
      <c r="W183" s="104" t="n"/>
      <c r="X183" s="104" t="n"/>
      <c r="Y183" s="104" t="n"/>
      <c r="Z183" s="104" t="n"/>
      <c r="AA183" s="104" t="n"/>
      <c r="AB183" s="104" t="n"/>
      <c r="AC183" s="104" t="n"/>
      <c r="AD183" s="104" t="n"/>
      <c r="AE183" s="104" t="n"/>
      <c r="AF183" s="104" t="n"/>
      <c r="AG183" s="104" t="n"/>
      <c r="AH183" s="104" t="n"/>
      <c r="AI183" s="104" t="n"/>
      <c r="AJ183" s="104" t="n"/>
      <c r="AK183" s="104" t="n"/>
      <c r="AL183" s="104" t="n"/>
      <c r="AM183" s="104" t="n"/>
      <c r="AN183" s="104" t="n"/>
      <c r="AO183" s="104" t="n"/>
      <c r="AP183" s="104" t="n"/>
      <c r="AQ183" s="104" t="n"/>
      <c r="AR183" s="104" t="n"/>
      <c r="AS183" s="104" t="n"/>
      <c r="AT183" s="104" t="n"/>
      <c r="AU183" s="104" t="n"/>
      <c r="AV183" s="104" t="n"/>
      <c r="AW183" s="104" t="n"/>
      <c r="AX183" s="104" t="n"/>
      <c r="AY183" s="104" t="n"/>
      <c r="AZ183" s="104" t="n"/>
      <c r="BA183" s="104" t="n"/>
      <c r="BB183" s="104" t="n"/>
      <c r="BC183" s="104" t="n"/>
      <c r="BD183" s="104" t="n"/>
      <c r="BE183" s="104" t="n"/>
      <c r="BF183" s="104" t="n"/>
      <c r="BG183" s="104" t="n"/>
      <c r="BH183" s="104" t="n"/>
      <c r="BI183" s="104" t="n"/>
      <c r="BJ183" s="104" t="n"/>
      <c r="BK183" s="104" t="n"/>
      <c r="BL183" s="104" t="n"/>
      <c r="BM183" s="104" t="n"/>
      <c r="BN183" s="104" t="n"/>
      <c r="BO183" s="104" t="n"/>
      <c r="BP183" s="104" t="n"/>
      <c r="BQ183" s="104" t="n"/>
      <c r="BR183" s="104" t="n"/>
      <c r="BS183" s="104" t="n"/>
      <c r="BT183" s="104" t="n"/>
      <c r="BU183" s="104" t="n"/>
      <c r="BV183" s="104" t="n"/>
      <c r="BW183" s="104" t="n"/>
      <c r="BX183" s="104" t="n"/>
    </row>
    <row r="184">
      <c r="B184" s="64" t="n"/>
      <c r="C184" s="104" t="n"/>
      <c r="D184" s="104" t="n"/>
      <c r="E184" s="104" t="n"/>
      <c r="F184" s="104" t="n"/>
      <c r="G184" s="104" t="n"/>
      <c r="H184" s="104" t="n"/>
      <c r="I184" s="104" t="n"/>
      <c r="J184" s="104" t="n"/>
      <c r="K184" s="104" t="n"/>
      <c r="L184" s="104" t="n"/>
      <c r="N184" s="104" t="n"/>
      <c r="O184" s="104" t="n"/>
      <c r="P184" s="104" t="n"/>
      <c r="Q184" s="104" t="n"/>
      <c r="R184" s="104" t="n"/>
      <c r="S184" s="104" t="n"/>
      <c r="T184" s="104" t="n"/>
      <c r="U184" s="104" t="n"/>
      <c r="V184" s="104" t="n"/>
      <c r="W184" s="104" t="n"/>
      <c r="X184" s="104" t="n"/>
      <c r="Y184" s="104" t="n"/>
      <c r="Z184" s="104" t="n"/>
      <c r="AA184" s="104" t="n"/>
      <c r="AB184" s="104" t="n"/>
      <c r="AC184" s="104" t="n"/>
      <c r="AD184" s="104" t="n"/>
      <c r="AE184" s="104" t="n"/>
      <c r="AF184" s="104" t="n"/>
      <c r="AG184" s="104" t="n"/>
      <c r="AH184" s="104" t="n"/>
      <c r="AI184" s="104" t="n"/>
      <c r="AJ184" s="104" t="n"/>
      <c r="AK184" s="104" t="n"/>
      <c r="AL184" s="104" t="n"/>
      <c r="AM184" s="104" t="n"/>
      <c r="AN184" s="104" t="n"/>
      <c r="AO184" s="104" t="n"/>
      <c r="AP184" s="104" t="n"/>
      <c r="AQ184" s="104" t="n"/>
      <c r="AR184" s="104" t="n"/>
      <c r="AS184" s="104" t="n"/>
      <c r="AT184" s="104" t="n"/>
      <c r="AU184" s="104" t="n"/>
      <c r="AV184" s="104" t="n"/>
      <c r="AW184" s="104" t="n"/>
      <c r="AX184" s="104" t="n"/>
      <c r="AY184" s="104" t="n"/>
      <c r="AZ184" s="104" t="n"/>
      <c r="BA184" s="104" t="n"/>
      <c r="BB184" s="104" t="n"/>
      <c r="BC184" s="104" t="n"/>
      <c r="BD184" s="104" t="n"/>
      <c r="BE184" s="104" t="n"/>
      <c r="BF184" s="104" t="n"/>
      <c r="BG184" s="104" t="n"/>
      <c r="BH184" s="104" t="n"/>
      <c r="BI184" s="104" t="n"/>
      <c r="BJ184" s="104" t="n"/>
      <c r="BK184" s="104" t="n"/>
      <c r="BL184" s="104" t="n"/>
      <c r="BM184" s="104" t="n"/>
      <c r="BN184" s="104" t="n"/>
      <c r="BO184" s="104" t="n"/>
      <c r="BP184" s="104" t="n"/>
      <c r="BQ184" s="104" t="n"/>
      <c r="BR184" s="104" t="n"/>
      <c r="BS184" s="104" t="n"/>
      <c r="BT184" s="104" t="n"/>
      <c r="BU184" s="104" t="n"/>
      <c r="BV184" s="104" t="n"/>
      <c r="BW184" s="104" t="n"/>
      <c r="BX184" s="104" t="n"/>
    </row>
    <row r="185">
      <c r="B185" s="64" t="n"/>
      <c r="C185" s="104" t="n"/>
      <c r="D185" s="104" t="n"/>
      <c r="E185" s="104" t="n"/>
      <c r="F185" s="104" t="n"/>
      <c r="G185" s="104" t="n"/>
      <c r="H185" s="104" t="n"/>
      <c r="I185" s="104" t="n"/>
      <c r="J185" s="104" t="n"/>
      <c r="K185" s="104" t="n"/>
      <c r="L185" s="104" t="n"/>
      <c r="N185" s="104" t="n"/>
      <c r="O185" s="104" t="n"/>
      <c r="P185" s="104" t="n"/>
      <c r="Q185" s="104" t="n"/>
      <c r="R185" s="104" t="n"/>
      <c r="S185" s="104" t="n"/>
      <c r="T185" s="104" t="n"/>
      <c r="U185" s="104" t="n"/>
      <c r="V185" s="104" t="n"/>
      <c r="W185" s="104" t="n"/>
      <c r="X185" s="104" t="n"/>
      <c r="Y185" s="104" t="n"/>
      <c r="Z185" s="104" t="n"/>
      <c r="AA185" s="104" t="n"/>
      <c r="AB185" s="104" t="n"/>
      <c r="AC185" s="104" t="n"/>
      <c r="AD185" s="104" t="n"/>
      <c r="AE185" s="104" t="n"/>
      <c r="AF185" s="104" t="n"/>
      <c r="AG185" s="104" t="n"/>
      <c r="AH185" s="104" t="n"/>
      <c r="AI185" s="104" t="n"/>
      <c r="AJ185" s="104" t="n"/>
      <c r="AK185" s="104" t="n"/>
      <c r="AL185" s="104" t="n"/>
      <c r="AM185" s="104" t="n"/>
      <c r="AN185" s="104" t="n"/>
      <c r="AO185" s="104" t="n"/>
      <c r="AP185" s="104" t="n"/>
      <c r="AQ185" s="104" t="n"/>
      <c r="AR185" s="104" t="n"/>
      <c r="AS185" s="104" t="n"/>
      <c r="AT185" s="104" t="n"/>
      <c r="AU185" s="104" t="n"/>
      <c r="AV185" s="104" t="n"/>
      <c r="AW185" s="104" t="n"/>
      <c r="AX185" s="104" t="n"/>
      <c r="AY185" s="104" t="n"/>
      <c r="AZ185" s="104" t="n"/>
      <c r="BA185" s="104" t="n"/>
      <c r="BB185" s="104" t="n"/>
      <c r="BC185" s="104" t="n"/>
      <c r="BD185" s="104" t="n"/>
      <c r="BE185" s="104" t="n"/>
      <c r="BF185" s="104" t="n"/>
      <c r="BG185" s="104" t="n"/>
      <c r="BH185" s="104" t="n"/>
      <c r="BI185" s="104" t="n"/>
      <c r="BJ185" s="104" t="n"/>
      <c r="BK185" s="104" t="n"/>
      <c r="BL185" s="104" t="n"/>
      <c r="BM185" s="104" t="n"/>
      <c r="BN185" s="104" t="n"/>
      <c r="BO185" s="104" t="n"/>
      <c r="BP185" s="104" t="n"/>
      <c r="BQ185" s="104" t="n"/>
      <c r="BR185" s="104" t="n"/>
      <c r="BS185" s="104" t="n"/>
      <c r="BT185" s="104" t="n"/>
      <c r="BU185" s="104" t="n"/>
      <c r="BV185" s="104" t="n"/>
      <c r="BW185" s="104" t="n"/>
      <c r="BX185" s="104" t="n"/>
    </row>
    <row r="186">
      <c r="B186" s="64" t="n"/>
      <c r="C186" s="104" t="n"/>
      <c r="D186" s="104" t="n"/>
      <c r="E186" s="104" t="n"/>
      <c r="F186" s="104" t="n"/>
      <c r="G186" s="104" t="n"/>
      <c r="H186" s="104" t="n"/>
      <c r="I186" s="104" t="n"/>
      <c r="J186" s="104" t="n"/>
      <c r="K186" s="104" t="n"/>
      <c r="L186" s="104" t="n"/>
      <c r="N186" s="104" t="n"/>
      <c r="O186" s="104" t="n"/>
      <c r="P186" s="104" t="n"/>
      <c r="Q186" s="104" t="n"/>
      <c r="R186" s="104" t="n"/>
      <c r="S186" s="104" t="n"/>
      <c r="T186" s="104" t="n"/>
      <c r="U186" s="104" t="n"/>
      <c r="V186" s="104" t="n"/>
      <c r="W186" s="104" t="n"/>
      <c r="X186" s="104" t="n"/>
      <c r="Y186" s="104" t="n"/>
      <c r="Z186" s="104" t="n"/>
      <c r="AA186" s="104" t="n"/>
      <c r="AB186" s="104" t="n"/>
      <c r="AC186" s="104" t="n"/>
      <c r="AD186" s="104" t="n"/>
      <c r="AE186" s="104" t="n"/>
      <c r="AF186" s="104" t="n"/>
      <c r="AG186" s="104" t="n"/>
      <c r="AH186" s="104" t="n"/>
      <c r="AI186" s="104" t="n"/>
      <c r="AJ186" s="104" t="n"/>
      <c r="AK186" s="104" t="n"/>
      <c r="AL186" s="104" t="n"/>
      <c r="AM186" s="104" t="n"/>
      <c r="AN186" s="104" t="n"/>
      <c r="AO186" s="104" t="n"/>
      <c r="AP186" s="104" t="n"/>
      <c r="AQ186" s="104" t="n"/>
      <c r="AR186" s="104" t="n"/>
      <c r="AS186" s="104" t="n"/>
      <c r="AT186" s="104" t="n"/>
      <c r="AU186" s="104" t="n"/>
      <c r="AV186" s="104" t="n"/>
      <c r="AW186" s="104" t="n"/>
      <c r="AX186" s="104" t="n"/>
      <c r="AY186" s="104" t="n"/>
      <c r="AZ186" s="104" t="n"/>
      <c r="BA186" s="104" t="n"/>
      <c r="BB186" s="104" t="n"/>
      <c r="BC186" s="104" t="n"/>
      <c r="BD186" s="104" t="n"/>
      <c r="BE186" s="104" t="n"/>
      <c r="BF186" s="104" t="n"/>
      <c r="BG186" s="104" t="n"/>
      <c r="BH186" s="104" t="n"/>
      <c r="BI186" s="104" t="n"/>
      <c r="BJ186" s="104" t="n"/>
      <c r="BK186" s="104" t="n"/>
      <c r="BL186" s="104" t="n"/>
      <c r="BM186" s="104" t="n"/>
      <c r="BN186" s="104" t="n"/>
      <c r="BO186" s="104" t="n"/>
      <c r="BP186" s="104" t="n"/>
      <c r="BQ186" s="104" t="n"/>
      <c r="BR186" s="104" t="n"/>
      <c r="BS186" s="104" t="n"/>
      <c r="BT186" s="104" t="n"/>
      <c r="BU186" s="104" t="n"/>
      <c r="BV186" s="104" t="n"/>
      <c r="BW186" s="104" t="n"/>
      <c r="BX186" s="104" t="n"/>
    </row>
    <row r="187">
      <c r="B187" s="64" t="n"/>
      <c r="C187" s="104" t="n"/>
      <c r="D187" s="104" t="n"/>
      <c r="E187" s="104" t="n"/>
      <c r="F187" s="104" t="n"/>
      <c r="G187" s="104" t="n"/>
      <c r="H187" s="104" t="n"/>
      <c r="I187" s="104" t="n"/>
      <c r="J187" s="104" t="n"/>
      <c r="K187" s="104" t="n"/>
      <c r="L187" s="104" t="n"/>
      <c r="N187" s="104" t="n"/>
      <c r="O187" s="104" t="n"/>
      <c r="P187" s="104" t="n"/>
      <c r="Q187" s="104" t="n"/>
      <c r="R187" s="104" t="n"/>
      <c r="S187" s="104" t="n"/>
      <c r="T187" s="104" t="n"/>
      <c r="U187" s="104" t="n"/>
      <c r="V187" s="104" t="n"/>
      <c r="W187" s="104" t="n"/>
      <c r="X187" s="104" t="n"/>
      <c r="Y187" s="104" t="n"/>
      <c r="Z187" s="104" t="n"/>
      <c r="AA187" s="104" t="n"/>
      <c r="AB187" s="104" t="n"/>
      <c r="AC187" s="104" t="n"/>
      <c r="AD187" s="104" t="n"/>
      <c r="AE187" s="104" t="n"/>
      <c r="AF187" s="104" t="n"/>
      <c r="AG187" s="104" t="n"/>
      <c r="AH187" s="104" t="n"/>
      <c r="AI187" s="104" t="n"/>
      <c r="AJ187" s="104" t="n"/>
      <c r="AK187" s="104" t="n"/>
      <c r="AL187" s="104" t="n"/>
      <c r="AM187" s="104" t="n"/>
      <c r="AN187" s="104" t="n"/>
      <c r="AO187" s="104" t="n"/>
      <c r="AP187" s="104" t="n"/>
      <c r="AQ187" s="104" t="n"/>
      <c r="AR187" s="104" t="n"/>
      <c r="AS187" s="104" t="n"/>
      <c r="AT187" s="104" t="n"/>
      <c r="AU187" s="104" t="n"/>
      <c r="AV187" s="104" t="n"/>
      <c r="AW187" s="104" t="n"/>
      <c r="AX187" s="104" t="n"/>
      <c r="AY187" s="104" t="n"/>
      <c r="AZ187" s="104" t="n"/>
      <c r="BA187" s="104" t="n"/>
      <c r="BB187" s="104" t="n"/>
      <c r="BC187" s="104" t="n"/>
      <c r="BD187" s="104" t="n"/>
      <c r="BE187" s="104" t="n"/>
      <c r="BF187" s="104" t="n"/>
      <c r="BG187" s="104" t="n"/>
      <c r="BH187" s="104" t="n"/>
      <c r="BI187" s="104" t="n"/>
      <c r="BJ187" s="104" t="n"/>
      <c r="BK187" s="104" t="n"/>
      <c r="BL187" s="104" t="n"/>
      <c r="BM187" s="104" t="n"/>
      <c r="BN187" s="104" t="n"/>
      <c r="BO187" s="104" t="n"/>
      <c r="BP187" s="104" t="n"/>
      <c r="BQ187" s="104" t="n"/>
      <c r="BR187" s="104" t="n"/>
      <c r="BS187" s="104" t="n"/>
      <c r="BT187" s="104" t="n"/>
      <c r="BU187" s="104" t="n"/>
      <c r="BV187" s="104" t="n"/>
      <c r="BW187" s="104" t="n"/>
      <c r="BX187" s="104" t="n"/>
    </row>
    <row r="188">
      <c r="B188" s="64" t="n"/>
      <c r="C188" s="104" t="n"/>
      <c r="D188" s="104" t="n"/>
      <c r="E188" s="104" t="n"/>
      <c r="F188" s="104" t="n"/>
      <c r="G188" s="104" t="n"/>
      <c r="H188" s="104" t="n"/>
      <c r="I188" s="104" t="n"/>
      <c r="J188" s="104" t="n"/>
      <c r="K188" s="104" t="n"/>
      <c r="L188" s="104" t="n"/>
      <c r="N188" s="104" t="n"/>
      <c r="O188" s="104" t="n"/>
      <c r="P188" s="104" t="n"/>
      <c r="Q188" s="104" t="n"/>
      <c r="R188" s="104" t="n"/>
      <c r="S188" s="104" t="n"/>
      <c r="T188" s="104" t="n"/>
      <c r="U188" s="104" t="n"/>
      <c r="V188" s="104" t="n"/>
      <c r="W188" s="104" t="n"/>
      <c r="X188" s="104" t="n"/>
      <c r="Y188" s="104" t="n"/>
      <c r="Z188" s="104" t="n"/>
      <c r="AA188" s="104" t="n"/>
      <c r="AB188" s="104" t="n"/>
      <c r="AC188" s="104" t="n"/>
      <c r="AD188" s="104" t="n"/>
      <c r="AE188" s="104" t="n"/>
      <c r="AF188" s="104" t="n"/>
      <c r="AG188" s="104" t="n"/>
      <c r="AH188" s="104" t="n"/>
      <c r="AI188" s="104" t="n"/>
      <c r="AJ188" s="104" t="n"/>
      <c r="AK188" s="104" t="n"/>
      <c r="AL188" s="104" t="n"/>
      <c r="AM188" s="104" t="n"/>
      <c r="AN188" s="104" t="n"/>
      <c r="AO188" s="104" t="n"/>
      <c r="AP188" s="104" t="n"/>
      <c r="AQ188" s="104" t="n"/>
      <c r="AR188" s="104" t="n"/>
      <c r="AS188" s="104" t="n"/>
      <c r="AT188" s="104" t="n"/>
      <c r="AU188" s="104" t="n"/>
      <c r="AV188" s="104" t="n"/>
      <c r="AW188" s="104" t="n"/>
      <c r="AX188" s="104" t="n"/>
      <c r="AY188" s="104" t="n"/>
      <c r="AZ188" s="104" t="n"/>
      <c r="BA188" s="104" t="n"/>
      <c r="BB188" s="104" t="n"/>
      <c r="BC188" s="104" t="n"/>
      <c r="BD188" s="104" t="n"/>
      <c r="BE188" s="104" t="n"/>
      <c r="BF188" s="104" t="n"/>
      <c r="BG188" s="104" t="n"/>
      <c r="BH188" s="104" t="n"/>
      <c r="BI188" s="104" t="n"/>
      <c r="BJ188" s="104" t="n"/>
      <c r="BK188" s="104" t="n"/>
      <c r="BL188" s="104" t="n"/>
      <c r="BM188" s="104" t="n"/>
      <c r="BN188" s="104" t="n"/>
      <c r="BO188" s="104" t="n"/>
      <c r="BP188" s="104" t="n"/>
      <c r="BQ188" s="104" t="n"/>
      <c r="BR188" s="104" t="n"/>
      <c r="BS188" s="104" t="n"/>
      <c r="BT188" s="104" t="n"/>
      <c r="BU188" s="104" t="n"/>
      <c r="BV188" s="104" t="n"/>
      <c r="BW188" s="104" t="n"/>
      <c r="BX188" s="104" t="n"/>
    </row>
    <row r="189">
      <c r="B189" s="64" t="n"/>
      <c r="C189" s="104" t="n"/>
      <c r="D189" s="104" t="n"/>
      <c r="E189" s="104" t="n"/>
      <c r="F189" s="104" t="n"/>
      <c r="G189" s="104" t="n"/>
      <c r="H189" s="104" t="n"/>
      <c r="I189" s="104" t="n"/>
      <c r="J189" s="104" t="n"/>
      <c r="K189" s="104" t="n"/>
      <c r="L189" s="104" t="n"/>
      <c r="N189" s="104" t="n"/>
      <c r="O189" s="104" t="n"/>
      <c r="P189" s="104" t="n"/>
      <c r="Q189" s="104" t="n"/>
      <c r="R189" s="104" t="n"/>
      <c r="S189" s="104" t="n"/>
      <c r="T189" s="104" t="n"/>
      <c r="U189" s="104" t="n"/>
      <c r="V189" s="104" t="n"/>
      <c r="W189" s="104" t="n"/>
      <c r="X189" s="104" t="n"/>
      <c r="Y189" s="104" t="n"/>
      <c r="Z189" s="104" t="n"/>
      <c r="AA189" s="104" t="n"/>
      <c r="AB189" s="104" t="n"/>
      <c r="AC189" s="104" t="n"/>
      <c r="AD189" s="104" t="n"/>
      <c r="AE189" s="104" t="n"/>
      <c r="AF189" s="104" t="n"/>
      <c r="AG189" s="104" t="n"/>
      <c r="AH189" s="104" t="n"/>
      <c r="AI189" s="104" t="n"/>
      <c r="AJ189" s="104" t="n"/>
      <c r="AK189" s="104" t="n"/>
      <c r="AL189" s="104" t="n"/>
      <c r="AM189" s="104" t="n"/>
      <c r="AN189" s="104" t="n"/>
      <c r="AO189" s="104" t="n"/>
      <c r="AP189" s="104" t="n"/>
      <c r="AQ189" s="104" t="n"/>
      <c r="AR189" s="104" t="n"/>
      <c r="AS189" s="104" t="n"/>
      <c r="AT189" s="104" t="n"/>
      <c r="AU189" s="104" t="n"/>
      <c r="AV189" s="104" t="n"/>
      <c r="AW189" s="104" t="n"/>
      <c r="AX189" s="104" t="n"/>
      <c r="AY189" s="104" t="n"/>
      <c r="AZ189" s="104" t="n"/>
      <c r="BA189" s="104" t="n"/>
      <c r="BB189" s="104" t="n"/>
      <c r="BC189" s="104" t="n"/>
      <c r="BD189" s="104" t="n"/>
      <c r="BE189" s="104" t="n"/>
      <c r="BF189" s="104" t="n"/>
      <c r="BG189" s="104" t="n"/>
      <c r="BH189" s="104" t="n"/>
      <c r="BI189" s="104" t="n"/>
      <c r="BJ189" s="104" t="n"/>
      <c r="BK189" s="104" t="n"/>
      <c r="BL189" s="104" t="n"/>
      <c r="BM189" s="104" t="n"/>
      <c r="BN189" s="104" t="n"/>
      <c r="BO189" s="104" t="n"/>
      <c r="BP189" s="104" t="n"/>
      <c r="BQ189" s="104" t="n"/>
      <c r="BR189" s="104" t="n"/>
      <c r="BS189" s="104" t="n"/>
      <c r="BT189" s="104" t="n"/>
      <c r="BU189" s="104" t="n"/>
      <c r="BV189" s="104" t="n"/>
      <c r="BW189" s="104" t="n"/>
      <c r="BX189" s="104" t="n"/>
    </row>
    <row r="190">
      <c r="B190" s="64" t="n"/>
      <c r="C190" s="104" t="n"/>
      <c r="D190" s="104" t="n"/>
      <c r="E190" s="104" t="n"/>
      <c r="F190" s="104" t="n"/>
      <c r="G190" s="104" t="n"/>
      <c r="H190" s="104" t="n"/>
      <c r="I190" s="104" t="n"/>
      <c r="J190" s="104" t="n"/>
      <c r="K190" s="104" t="n"/>
      <c r="L190" s="104" t="n"/>
      <c r="N190" s="104" t="n"/>
      <c r="O190" s="104" t="n"/>
      <c r="P190" s="104" t="n"/>
      <c r="Q190" s="104" t="n"/>
      <c r="R190" s="104" t="n"/>
      <c r="S190" s="104" t="n"/>
      <c r="T190" s="104" t="n"/>
      <c r="U190" s="104" t="n"/>
      <c r="V190" s="104" t="n"/>
      <c r="W190" s="104" t="n"/>
      <c r="X190" s="104" t="n"/>
      <c r="Y190" s="104" t="n"/>
      <c r="Z190" s="104" t="n"/>
      <c r="AA190" s="104" t="n"/>
      <c r="AB190" s="104" t="n"/>
      <c r="AC190" s="104" t="n"/>
      <c r="AD190" s="104" t="n"/>
      <c r="AE190" s="104" t="n"/>
      <c r="AF190" s="104" t="n"/>
      <c r="AG190" s="104" t="n"/>
      <c r="AH190" s="104" t="n"/>
      <c r="AI190" s="104" t="n"/>
      <c r="AJ190" s="104" t="n"/>
      <c r="AK190" s="104" t="n"/>
      <c r="AL190" s="104" t="n"/>
      <c r="AM190" s="104" t="n"/>
      <c r="AN190" s="104" t="n"/>
      <c r="AO190" s="104" t="n"/>
      <c r="AP190" s="104" t="n"/>
      <c r="AQ190" s="104" t="n"/>
      <c r="AR190" s="104" t="n"/>
      <c r="AS190" s="104" t="n"/>
      <c r="AT190" s="104" t="n"/>
      <c r="AU190" s="104" t="n"/>
      <c r="AV190" s="104" t="n"/>
      <c r="AW190" s="104" t="n"/>
      <c r="AX190" s="104" t="n"/>
      <c r="AY190" s="104" t="n"/>
      <c r="AZ190" s="104" t="n"/>
      <c r="BA190" s="104" t="n"/>
      <c r="BB190" s="104" t="n"/>
      <c r="BC190" s="104" t="n"/>
      <c r="BD190" s="104" t="n"/>
      <c r="BE190" s="104" t="n"/>
      <c r="BF190" s="104" t="n"/>
      <c r="BG190" s="104" t="n"/>
      <c r="BH190" s="104" t="n"/>
      <c r="BI190" s="104" t="n"/>
      <c r="BJ190" s="104" t="n"/>
      <c r="BK190" s="104" t="n"/>
      <c r="BL190" s="104" t="n"/>
      <c r="BM190" s="104" t="n"/>
      <c r="BN190" s="104" t="n"/>
      <c r="BO190" s="104" t="n"/>
      <c r="BP190" s="104" t="n"/>
      <c r="BQ190" s="104" t="n"/>
      <c r="BR190" s="104" t="n"/>
      <c r="BS190" s="104" t="n"/>
      <c r="BT190" s="104" t="n"/>
      <c r="BU190" s="104" t="n"/>
      <c r="BV190" s="104" t="n"/>
      <c r="BW190" s="104" t="n"/>
      <c r="BX190" s="104" t="n"/>
    </row>
    <row r="191">
      <c r="B191" s="64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N191" s="104" t="n"/>
      <c r="O191" s="104" t="n"/>
      <c r="P191" s="104" t="n"/>
      <c r="Q191" s="104" t="n"/>
      <c r="R191" s="104" t="n"/>
      <c r="S191" s="104" t="n"/>
      <c r="T191" s="104" t="n"/>
      <c r="U191" s="104" t="n"/>
      <c r="V191" s="104" t="n"/>
      <c r="W191" s="104" t="n"/>
      <c r="X191" s="104" t="n"/>
      <c r="Y191" s="104" t="n"/>
      <c r="Z191" s="104" t="n"/>
      <c r="AA191" s="104" t="n"/>
      <c r="AB191" s="104" t="n"/>
      <c r="AC191" s="104" t="n"/>
      <c r="AD191" s="104" t="n"/>
      <c r="AE191" s="104" t="n"/>
      <c r="AF191" s="104" t="n"/>
      <c r="AG191" s="104" t="n"/>
      <c r="AH191" s="104" t="n"/>
      <c r="AI191" s="104" t="n"/>
      <c r="AJ191" s="104" t="n"/>
      <c r="AK191" s="104" t="n"/>
      <c r="AL191" s="104" t="n"/>
      <c r="AM191" s="104" t="n"/>
      <c r="AN191" s="104" t="n"/>
      <c r="AO191" s="104" t="n"/>
      <c r="AP191" s="104" t="n"/>
      <c r="AQ191" s="104" t="n"/>
      <c r="AR191" s="104" t="n"/>
      <c r="AS191" s="104" t="n"/>
      <c r="AT191" s="104" t="n"/>
      <c r="AU191" s="104" t="n"/>
      <c r="AV191" s="104" t="n"/>
      <c r="AW191" s="104" t="n"/>
      <c r="AX191" s="104" t="n"/>
      <c r="AY191" s="104" t="n"/>
      <c r="AZ191" s="104" t="n"/>
      <c r="BA191" s="104" t="n"/>
      <c r="BB191" s="104" t="n"/>
      <c r="BC191" s="104" t="n"/>
      <c r="BD191" s="104" t="n"/>
      <c r="BE191" s="104" t="n"/>
      <c r="BF191" s="104" t="n"/>
      <c r="BG191" s="104" t="n"/>
      <c r="BH191" s="104" t="n"/>
      <c r="BI191" s="104" t="n"/>
      <c r="BJ191" s="104" t="n"/>
      <c r="BK191" s="104" t="n"/>
      <c r="BL191" s="104" t="n"/>
      <c r="BM191" s="104" t="n"/>
      <c r="BN191" s="104" t="n"/>
      <c r="BO191" s="104" t="n"/>
      <c r="BP191" s="104" t="n"/>
      <c r="BQ191" s="104" t="n"/>
      <c r="BR191" s="104" t="n"/>
      <c r="BS191" s="104" t="n"/>
      <c r="BT191" s="104" t="n"/>
      <c r="BU191" s="104" t="n"/>
      <c r="BV191" s="104" t="n"/>
      <c r="BW191" s="104" t="n"/>
      <c r="BX191" s="104" t="n"/>
    </row>
    <row r="192">
      <c r="B192" s="64" t="n"/>
      <c r="C192" s="104" t="n"/>
      <c r="D192" s="104" t="n"/>
      <c r="E192" s="104" t="n"/>
      <c r="F192" s="104" t="n"/>
      <c r="G192" s="104" t="n"/>
      <c r="H192" s="104" t="n"/>
      <c r="I192" s="104" t="n"/>
      <c r="J192" s="104" t="n"/>
      <c r="K192" s="104" t="n"/>
      <c r="L192" s="104" t="n"/>
      <c r="N192" s="104" t="n"/>
      <c r="O192" s="104" t="n"/>
      <c r="P192" s="104" t="n"/>
      <c r="Q192" s="104" t="n"/>
      <c r="R192" s="104" t="n"/>
      <c r="S192" s="104" t="n"/>
      <c r="T192" s="104" t="n"/>
      <c r="U192" s="104" t="n"/>
      <c r="V192" s="104" t="n"/>
      <c r="W192" s="104" t="n"/>
      <c r="X192" s="104" t="n"/>
      <c r="Y192" s="104" t="n"/>
      <c r="Z192" s="104" t="n"/>
      <c r="AA192" s="104" t="n"/>
      <c r="AB192" s="104" t="n"/>
      <c r="AC192" s="104" t="n"/>
      <c r="AD192" s="104" t="n"/>
      <c r="AE192" s="104" t="n"/>
      <c r="AF192" s="104" t="n"/>
      <c r="AG192" s="104" t="n"/>
      <c r="AH192" s="104" t="n"/>
      <c r="AI192" s="104" t="n"/>
      <c r="AJ192" s="104" t="n"/>
      <c r="AK192" s="104" t="n"/>
      <c r="AL192" s="104" t="n"/>
      <c r="AM192" s="104" t="n"/>
      <c r="AN192" s="104" t="n"/>
      <c r="AO192" s="104" t="n"/>
      <c r="AP192" s="104" t="n"/>
      <c r="AQ192" s="104" t="n"/>
      <c r="AR192" s="104" t="n"/>
      <c r="AS192" s="104" t="n"/>
      <c r="AT192" s="104" t="n"/>
      <c r="AU192" s="104" t="n"/>
      <c r="AV192" s="104" t="n"/>
      <c r="AW192" s="104" t="n"/>
      <c r="AX192" s="104" t="n"/>
      <c r="AY192" s="104" t="n"/>
      <c r="AZ192" s="104" t="n"/>
      <c r="BA192" s="104" t="n"/>
      <c r="BB192" s="104" t="n"/>
      <c r="BC192" s="104" t="n"/>
      <c r="BD192" s="104" t="n"/>
      <c r="BE192" s="104" t="n"/>
      <c r="BF192" s="104" t="n"/>
      <c r="BG192" s="104" t="n"/>
      <c r="BH192" s="104" t="n"/>
      <c r="BI192" s="104" t="n"/>
      <c r="BJ192" s="104" t="n"/>
      <c r="BK192" s="104" t="n"/>
      <c r="BL192" s="104" t="n"/>
      <c r="BM192" s="104" t="n"/>
      <c r="BN192" s="104" t="n"/>
      <c r="BO192" s="104" t="n"/>
      <c r="BP192" s="104" t="n"/>
      <c r="BQ192" s="104" t="n"/>
      <c r="BR192" s="104" t="n"/>
      <c r="BS192" s="104" t="n"/>
      <c r="BT192" s="104" t="n"/>
      <c r="BU192" s="104" t="n"/>
      <c r="BV192" s="104" t="n"/>
      <c r="BW192" s="104" t="n"/>
      <c r="BX192" s="104" t="n"/>
    </row>
    <row r="193">
      <c r="B193" s="64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N193" s="104" t="n"/>
      <c r="O193" s="104" t="n"/>
      <c r="P193" s="104" t="n"/>
      <c r="Q193" s="104" t="n"/>
      <c r="R193" s="104" t="n"/>
      <c r="S193" s="104" t="n"/>
      <c r="T193" s="104" t="n"/>
      <c r="U193" s="104" t="n"/>
      <c r="V193" s="104" t="n"/>
      <c r="W193" s="104" t="n"/>
      <c r="X193" s="104" t="n"/>
      <c r="Y193" s="104" t="n"/>
      <c r="Z193" s="104" t="n"/>
      <c r="AA193" s="104" t="n"/>
      <c r="AB193" s="104" t="n"/>
      <c r="AC193" s="104" t="n"/>
      <c r="AD193" s="104" t="n"/>
      <c r="AE193" s="104" t="n"/>
      <c r="AF193" s="104" t="n"/>
      <c r="AG193" s="104" t="n"/>
      <c r="AH193" s="104" t="n"/>
      <c r="AI193" s="104" t="n"/>
      <c r="AJ193" s="104" t="n"/>
      <c r="AK193" s="104" t="n"/>
      <c r="AL193" s="104" t="n"/>
      <c r="AM193" s="104" t="n"/>
      <c r="AN193" s="104" t="n"/>
      <c r="AO193" s="104" t="n"/>
      <c r="AP193" s="104" t="n"/>
      <c r="AQ193" s="104" t="n"/>
      <c r="AR193" s="104" t="n"/>
      <c r="AS193" s="104" t="n"/>
      <c r="AT193" s="104" t="n"/>
      <c r="AU193" s="104" t="n"/>
      <c r="AV193" s="104" t="n"/>
      <c r="AW193" s="104" t="n"/>
      <c r="AX193" s="104" t="n"/>
      <c r="AY193" s="104" t="n"/>
      <c r="AZ193" s="104" t="n"/>
      <c r="BA193" s="104" t="n"/>
      <c r="BB193" s="104" t="n"/>
      <c r="BC193" s="104" t="n"/>
      <c r="BD193" s="104" t="n"/>
      <c r="BE193" s="104" t="n"/>
      <c r="BF193" s="104" t="n"/>
      <c r="BG193" s="104" t="n"/>
      <c r="BH193" s="104" t="n"/>
      <c r="BI193" s="104" t="n"/>
      <c r="BJ193" s="104" t="n"/>
      <c r="BK193" s="104" t="n"/>
      <c r="BL193" s="104" t="n"/>
      <c r="BM193" s="104" t="n"/>
      <c r="BN193" s="104" t="n"/>
      <c r="BO193" s="104" t="n"/>
      <c r="BP193" s="104" t="n"/>
      <c r="BQ193" s="104" t="n"/>
      <c r="BR193" s="104" t="n"/>
      <c r="BS193" s="104" t="n"/>
      <c r="BT193" s="104" t="n"/>
      <c r="BU193" s="104" t="n"/>
      <c r="BV193" s="104" t="n"/>
      <c r="BW193" s="104" t="n"/>
      <c r="BX193" s="104" t="n"/>
    </row>
    <row r="194">
      <c r="B194" s="64" t="n"/>
      <c r="C194" s="104" t="n"/>
      <c r="D194" s="104" t="n"/>
      <c r="E194" s="104" t="n"/>
      <c r="F194" s="104" t="n"/>
      <c r="G194" s="104" t="n"/>
      <c r="H194" s="104" t="n"/>
      <c r="I194" s="104" t="n"/>
      <c r="J194" s="104" t="n"/>
      <c r="K194" s="104" t="n"/>
      <c r="L194" s="104" t="n"/>
      <c r="N194" s="104" t="n"/>
      <c r="O194" s="104" t="n"/>
      <c r="P194" s="104" t="n"/>
      <c r="Q194" s="104" t="n"/>
      <c r="R194" s="104" t="n"/>
      <c r="S194" s="104" t="n"/>
      <c r="T194" s="104" t="n"/>
      <c r="U194" s="104" t="n"/>
      <c r="V194" s="104" t="n"/>
      <c r="W194" s="104" t="n"/>
      <c r="X194" s="104" t="n"/>
      <c r="Y194" s="104" t="n"/>
      <c r="Z194" s="104" t="n"/>
      <c r="AA194" s="104" t="n"/>
      <c r="AB194" s="104" t="n"/>
      <c r="AC194" s="104" t="n"/>
      <c r="AD194" s="104" t="n"/>
      <c r="AE194" s="104" t="n"/>
      <c r="AF194" s="104" t="n"/>
      <c r="AG194" s="104" t="n"/>
      <c r="AH194" s="104" t="n"/>
      <c r="AI194" s="104" t="n"/>
      <c r="AJ194" s="104" t="n"/>
      <c r="AK194" s="104" t="n"/>
      <c r="AL194" s="104" t="n"/>
      <c r="AM194" s="104" t="n"/>
      <c r="AN194" s="104" t="n"/>
      <c r="AO194" s="104" t="n"/>
      <c r="AP194" s="104" t="n"/>
      <c r="AQ194" s="104" t="n"/>
      <c r="AR194" s="104" t="n"/>
      <c r="AS194" s="104" t="n"/>
      <c r="AT194" s="104" t="n"/>
      <c r="AU194" s="104" t="n"/>
      <c r="AV194" s="104" t="n"/>
      <c r="AW194" s="104" t="n"/>
      <c r="AX194" s="104" t="n"/>
      <c r="AY194" s="104" t="n"/>
      <c r="AZ194" s="104" t="n"/>
      <c r="BA194" s="104" t="n"/>
      <c r="BB194" s="104" t="n"/>
      <c r="BC194" s="104" t="n"/>
      <c r="BD194" s="104" t="n"/>
      <c r="BE194" s="104" t="n"/>
      <c r="BF194" s="104" t="n"/>
      <c r="BG194" s="104" t="n"/>
      <c r="BH194" s="104" t="n"/>
      <c r="BI194" s="104" t="n"/>
      <c r="BJ194" s="104" t="n"/>
      <c r="BK194" s="104" t="n"/>
      <c r="BL194" s="104" t="n"/>
      <c r="BM194" s="104" t="n"/>
      <c r="BN194" s="104" t="n"/>
      <c r="BO194" s="104" t="n"/>
      <c r="BP194" s="104" t="n"/>
      <c r="BQ194" s="104" t="n"/>
      <c r="BR194" s="104" t="n"/>
      <c r="BS194" s="104" t="n"/>
      <c r="BT194" s="104" t="n"/>
      <c r="BU194" s="104" t="n"/>
      <c r="BV194" s="104" t="n"/>
      <c r="BW194" s="104" t="n"/>
      <c r="BX194" s="104" t="n"/>
    </row>
    <row r="195">
      <c r="B195" s="64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N195" s="104" t="n"/>
      <c r="O195" s="104" t="n"/>
      <c r="P195" s="104" t="n"/>
      <c r="Q195" s="104" t="n"/>
      <c r="R195" s="104" t="n"/>
      <c r="S195" s="104" t="n"/>
      <c r="T195" s="104" t="n"/>
      <c r="U195" s="104" t="n"/>
      <c r="V195" s="104" t="n"/>
      <c r="W195" s="104" t="n"/>
      <c r="X195" s="104" t="n"/>
      <c r="Y195" s="104" t="n"/>
      <c r="Z195" s="104" t="n"/>
      <c r="AA195" s="104" t="n"/>
      <c r="AB195" s="104" t="n"/>
      <c r="AC195" s="104" t="n"/>
      <c r="AD195" s="104" t="n"/>
      <c r="AE195" s="104" t="n"/>
      <c r="AF195" s="104" t="n"/>
      <c r="AG195" s="104" t="n"/>
      <c r="AH195" s="104" t="n"/>
      <c r="AI195" s="104" t="n"/>
      <c r="AJ195" s="104" t="n"/>
      <c r="AK195" s="104" t="n"/>
      <c r="AL195" s="104" t="n"/>
      <c r="AM195" s="104" t="n"/>
      <c r="AN195" s="104" t="n"/>
      <c r="AO195" s="104" t="n"/>
      <c r="AP195" s="104" t="n"/>
      <c r="AQ195" s="104" t="n"/>
      <c r="AR195" s="104" t="n"/>
      <c r="AS195" s="104" t="n"/>
      <c r="AT195" s="104" t="n"/>
      <c r="AU195" s="104" t="n"/>
      <c r="AV195" s="104" t="n"/>
      <c r="AW195" s="104" t="n"/>
      <c r="AX195" s="104" t="n"/>
      <c r="AY195" s="104" t="n"/>
      <c r="AZ195" s="104" t="n"/>
      <c r="BA195" s="104" t="n"/>
      <c r="BB195" s="104" t="n"/>
      <c r="BC195" s="104" t="n"/>
      <c r="BD195" s="104" t="n"/>
      <c r="BE195" s="104" t="n"/>
      <c r="BF195" s="104" t="n"/>
      <c r="BG195" s="104" t="n"/>
      <c r="BH195" s="104" t="n"/>
      <c r="BI195" s="104" t="n"/>
      <c r="BJ195" s="104" t="n"/>
      <c r="BK195" s="104" t="n"/>
      <c r="BL195" s="104" t="n"/>
      <c r="BM195" s="104" t="n"/>
      <c r="BN195" s="104" t="n"/>
      <c r="BO195" s="104" t="n"/>
      <c r="BP195" s="104" t="n"/>
      <c r="BQ195" s="104" t="n"/>
      <c r="BR195" s="104" t="n"/>
      <c r="BS195" s="104" t="n"/>
      <c r="BT195" s="104" t="n"/>
      <c r="BU195" s="104" t="n"/>
      <c r="BV195" s="104" t="n"/>
      <c r="BW195" s="104" t="n"/>
      <c r="BX195" s="104" t="n"/>
    </row>
    <row r="196">
      <c r="B196" s="64" t="n"/>
      <c r="C196" s="104" t="n"/>
      <c r="D196" s="104" t="n"/>
      <c r="E196" s="104" t="n"/>
      <c r="F196" s="104" t="n"/>
      <c r="G196" s="104" t="n"/>
      <c r="H196" s="104" t="n"/>
      <c r="I196" s="104" t="n"/>
      <c r="J196" s="104" t="n"/>
      <c r="K196" s="104" t="n"/>
      <c r="L196" s="104" t="n"/>
      <c r="N196" s="104" t="n"/>
      <c r="O196" s="104" t="n"/>
      <c r="P196" s="104" t="n"/>
      <c r="Q196" s="104" t="n"/>
      <c r="R196" s="104" t="n"/>
      <c r="S196" s="104" t="n"/>
      <c r="T196" s="104" t="n"/>
      <c r="U196" s="104" t="n"/>
      <c r="V196" s="104" t="n"/>
      <c r="W196" s="104" t="n"/>
      <c r="X196" s="104" t="n"/>
      <c r="Y196" s="104" t="n"/>
      <c r="Z196" s="104" t="n"/>
      <c r="AA196" s="104" t="n"/>
      <c r="AB196" s="104" t="n"/>
      <c r="AC196" s="104" t="n"/>
      <c r="AD196" s="104" t="n"/>
      <c r="AE196" s="104" t="n"/>
      <c r="AF196" s="104" t="n"/>
      <c r="AG196" s="104" t="n"/>
      <c r="AH196" s="104" t="n"/>
      <c r="AI196" s="104" t="n"/>
      <c r="AJ196" s="104" t="n"/>
      <c r="AK196" s="104" t="n"/>
      <c r="AL196" s="104" t="n"/>
      <c r="AM196" s="104" t="n"/>
      <c r="AN196" s="104" t="n"/>
      <c r="AO196" s="104" t="n"/>
      <c r="AP196" s="104" t="n"/>
      <c r="AQ196" s="104" t="n"/>
      <c r="AR196" s="104" t="n"/>
      <c r="AS196" s="104" t="n"/>
      <c r="AT196" s="104" t="n"/>
      <c r="AU196" s="104" t="n"/>
      <c r="AV196" s="104" t="n"/>
      <c r="AW196" s="104" t="n"/>
      <c r="AX196" s="104" t="n"/>
      <c r="AY196" s="104" t="n"/>
      <c r="AZ196" s="104" t="n"/>
      <c r="BA196" s="104" t="n"/>
      <c r="BB196" s="104" t="n"/>
      <c r="BC196" s="104" t="n"/>
      <c r="BD196" s="104" t="n"/>
      <c r="BE196" s="104" t="n"/>
      <c r="BF196" s="104" t="n"/>
      <c r="BG196" s="104" t="n"/>
      <c r="BH196" s="104" t="n"/>
      <c r="BI196" s="104" t="n"/>
      <c r="BJ196" s="104" t="n"/>
      <c r="BK196" s="104" t="n"/>
      <c r="BL196" s="104" t="n"/>
      <c r="BM196" s="104" t="n"/>
      <c r="BN196" s="104" t="n"/>
      <c r="BO196" s="104" t="n"/>
      <c r="BP196" s="104" t="n"/>
      <c r="BQ196" s="104" t="n"/>
      <c r="BR196" s="104" t="n"/>
      <c r="BS196" s="104" t="n"/>
      <c r="BT196" s="104" t="n"/>
      <c r="BU196" s="104" t="n"/>
      <c r="BV196" s="104" t="n"/>
      <c r="BW196" s="104" t="n"/>
      <c r="BX196" s="104" t="n"/>
    </row>
    <row r="197">
      <c r="B197" s="64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N197" s="104" t="n"/>
      <c r="O197" s="104" t="n"/>
      <c r="P197" s="104" t="n"/>
      <c r="Q197" s="104" t="n"/>
      <c r="R197" s="104" t="n"/>
      <c r="S197" s="104" t="n"/>
      <c r="T197" s="104" t="n"/>
      <c r="U197" s="104" t="n"/>
      <c r="V197" s="104" t="n"/>
      <c r="W197" s="104" t="n"/>
      <c r="X197" s="104" t="n"/>
      <c r="Y197" s="104" t="n"/>
      <c r="Z197" s="104" t="n"/>
      <c r="AA197" s="104" t="n"/>
      <c r="AB197" s="104" t="n"/>
      <c r="AC197" s="104" t="n"/>
      <c r="AD197" s="104" t="n"/>
      <c r="AE197" s="104" t="n"/>
      <c r="AF197" s="104" t="n"/>
      <c r="AG197" s="104" t="n"/>
      <c r="AH197" s="104" t="n"/>
      <c r="AI197" s="104" t="n"/>
      <c r="AJ197" s="104" t="n"/>
      <c r="AK197" s="104" t="n"/>
      <c r="AL197" s="104" t="n"/>
      <c r="AM197" s="104" t="n"/>
      <c r="AN197" s="104" t="n"/>
      <c r="AO197" s="104" t="n"/>
      <c r="AP197" s="104" t="n"/>
      <c r="AQ197" s="104" t="n"/>
      <c r="AR197" s="104" t="n"/>
      <c r="AS197" s="104" t="n"/>
      <c r="AT197" s="104" t="n"/>
      <c r="AU197" s="104" t="n"/>
      <c r="AV197" s="104" t="n"/>
      <c r="AW197" s="104" t="n"/>
      <c r="AX197" s="104" t="n"/>
      <c r="AY197" s="104" t="n"/>
      <c r="AZ197" s="104" t="n"/>
      <c r="BA197" s="104" t="n"/>
      <c r="BB197" s="104" t="n"/>
      <c r="BC197" s="104" t="n"/>
      <c r="BD197" s="104" t="n"/>
      <c r="BE197" s="104" t="n"/>
      <c r="BF197" s="104" t="n"/>
      <c r="BG197" s="104" t="n"/>
      <c r="BH197" s="104" t="n"/>
      <c r="BI197" s="104" t="n"/>
      <c r="BJ197" s="104" t="n"/>
      <c r="BK197" s="104" t="n"/>
      <c r="BL197" s="104" t="n"/>
      <c r="BM197" s="104" t="n"/>
      <c r="BN197" s="104" t="n"/>
      <c r="BO197" s="104" t="n"/>
      <c r="BP197" s="104" t="n"/>
      <c r="BQ197" s="104" t="n"/>
      <c r="BR197" s="104" t="n"/>
      <c r="BS197" s="104" t="n"/>
      <c r="BT197" s="104" t="n"/>
      <c r="BU197" s="104" t="n"/>
      <c r="BV197" s="104" t="n"/>
      <c r="BW197" s="104" t="n"/>
      <c r="BX197" s="104" t="n"/>
    </row>
    <row r="198">
      <c r="B198" s="64" t="n"/>
      <c r="C198" s="104" t="n"/>
      <c r="D198" s="104" t="n"/>
      <c r="E198" s="104" t="n"/>
      <c r="F198" s="104" t="n"/>
      <c r="G198" s="104" t="n"/>
      <c r="H198" s="104" t="n"/>
      <c r="I198" s="104" t="n"/>
      <c r="J198" s="104" t="n"/>
      <c r="K198" s="104" t="n"/>
      <c r="L198" s="104" t="n"/>
      <c r="N198" s="104" t="n"/>
      <c r="O198" s="104" t="n"/>
      <c r="P198" s="104" t="n"/>
      <c r="Q198" s="104" t="n"/>
      <c r="R198" s="104" t="n"/>
      <c r="S198" s="104" t="n"/>
      <c r="T198" s="104" t="n"/>
      <c r="U198" s="104" t="n"/>
      <c r="V198" s="104" t="n"/>
      <c r="W198" s="104" t="n"/>
      <c r="X198" s="104" t="n"/>
      <c r="Y198" s="104" t="n"/>
      <c r="Z198" s="104" t="n"/>
      <c r="AA198" s="104" t="n"/>
      <c r="AB198" s="104" t="n"/>
      <c r="AC198" s="104" t="n"/>
      <c r="AD198" s="104" t="n"/>
      <c r="AE198" s="104" t="n"/>
      <c r="AF198" s="104" t="n"/>
      <c r="AG198" s="104" t="n"/>
      <c r="AH198" s="104" t="n"/>
      <c r="AI198" s="104" t="n"/>
      <c r="AJ198" s="104" t="n"/>
      <c r="AK198" s="104" t="n"/>
      <c r="AL198" s="104" t="n"/>
      <c r="AM198" s="104" t="n"/>
      <c r="AN198" s="104" t="n"/>
      <c r="AO198" s="104" t="n"/>
      <c r="AP198" s="104" t="n"/>
      <c r="AQ198" s="104" t="n"/>
      <c r="AR198" s="104" t="n"/>
      <c r="AS198" s="104" t="n"/>
      <c r="AT198" s="104" t="n"/>
      <c r="AU198" s="104" t="n"/>
      <c r="AV198" s="104" t="n"/>
      <c r="AW198" s="104" t="n"/>
      <c r="AX198" s="104" t="n"/>
      <c r="AY198" s="104" t="n"/>
      <c r="AZ198" s="104" t="n"/>
      <c r="BA198" s="104" t="n"/>
      <c r="BB198" s="104" t="n"/>
      <c r="BC198" s="104" t="n"/>
      <c r="BD198" s="104" t="n"/>
      <c r="BE198" s="104" t="n"/>
      <c r="BF198" s="104" t="n"/>
      <c r="BG198" s="104" t="n"/>
      <c r="BH198" s="104" t="n"/>
      <c r="BI198" s="104" t="n"/>
      <c r="BJ198" s="104" t="n"/>
      <c r="BK198" s="104" t="n"/>
      <c r="BL198" s="104" t="n"/>
      <c r="BM198" s="104" t="n"/>
      <c r="BN198" s="104" t="n"/>
      <c r="BO198" s="104" t="n"/>
      <c r="BP198" s="104" t="n"/>
      <c r="BQ198" s="104" t="n"/>
      <c r="BR198" s="104" t="n"/>
      <c r="BS198" s="104" t="n"/>
      <c r="BT198" s="104" t="n"/>
      <c r="BU198" s="104" t="n"/>
      <c r="BV198" s="104" t="n"/>
      <c r="BW198" s="104" t="n"/>
      <c r="BX198" s="104" t="n"/>
    </row>
    <row r="199">
      <c r="B199" s="64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N199" s="104" t="n"/>
      <c r="O199" s="104" t="n"/>
      <c r="P199" s="104" t="n"/>
      <c r="Q199" s="104" t="n"/>
      <c r="R199" s="104" t="n"/>
      <c r="S199" s="104" t="n"/>
      <c r="T199" s="104" t="n"/>
      <c r="U199" s="104" t="n"/>
      <c r="V199" s="104" t="n"/>
      <c r="W199" s="104" t="n"/>
      <c r="X199" s="104" t="n"/>
      <c r="Y199" s="104" t="n"/>
      <c r="Z199" s="104" t="n"/>
      <c r="AA199" s="104" t="n"/>
      <c r="AB199" s="104" t="n"/>
      <c r="AC199" s="104" t="n"/>
      <c r="AD199" s="104" t="n"/>
      <c r="AE199" s="104" t="n"/>
      <c r="AF199" s="104" t="n"/>
      <c r="AG199" s="104" t="n"/>
      <c r="AH199" s="104" t="n"/>
      <c r="AI199" s="104" t="n"/>
      <c r="AJ199" s="104" t="n"/>
      <c r="AK199" s="104" t="n"/>
      <c r="AL199" s="104" t="n"/>
      <c r="AM199" s="104" t="n"/>
      <c r="AN199" s="104" t="n"/>
      <c r="AO199" s="104" t="n"/>
      <c r="AP199" s="104" t="n"/>
      <c r="AQ199" s="104" t="n"/>
      <c r="AR199" s="104" t="n"/>
      <c r="AS199" s="104" t="n"/>
      <c r="AT199" s="104" t="n"/>
      <c r="AU199" s="104" t="n"/>
      <c r="AV199" s="104" t="n"/>
      <c r="AW199" s="104" t="n"/>
      <c r="AX199" s="104" t="n"/>
      <c r="AY199" s="104" t="n"/>
      <c r="AZ199" s="104" t="n"/>
      <c r="BA199" s="104" t="n"/>
      <c r="BB199" s="104" t="n"/>
      <c r="BC199" s="104" t="n"/>
      <c r="BD199" s="104" t="n"/>
      <c r="BE199" s="104" t="n"/>
      <c r="BF199" s="104" t="n"/>
      <c r="BG199" s="104" t="n"/>
      <c r="BH199" s="104" t="n"/>
      <c r="BI199" s="104" t="n"/>
      <c r="BJ199" s="104" t="n"/>
      <c r="BK199" s="104" t="n"/>
      <c r="BL199" s="104" t="n"/>
      <c r="BM199" s="104" t="n"/>
      <c r="BN199" s="104" t="n"/>
      <c r="BO199" s="104" t="n"/>
      <c r="BP199" s="104" t="n"/>
      <c r="BQ199" s="104" t="n"/>
      <c r="BR199" s="104" t="n"/>
      <c r="BS199" s="104" t="n"/>
      <c r="BT199" s="104" t="n"/>
      <c r="BU199" s="104" t="n"/>
      <c r="BV199" s="104" t="n"/>
      <c r="BW199" s="104" t="n"/>
      <c r="BX199" s="104" t="n"/>
    </row>
    <row r="200">
      <c r="B200" s="64" t="n"/>
      <c r="C200" s="104" t="n"/>
      <c r="D200" s="104" t="n"/>
      <c r="E200" s="104" t="n"/>
      <c r="F200" s="104" t="n"/>
      <c r="G200" s="104" t="n"/>
      <c r="H200" s="104" t="n"/>
      <c r="I200" s="104" t="n"/>
      <c r="J200" s="104" t="n"/>
      <c r="K200" s="104" t="n"/>
      <c r="L200" s="104" t="n"/>
      <c r="N200" s="104" t="n"/>
      <c r="O200" s="104" t="n"/>
      <c r="P200" s="104" t="n"/>
      <c r="Q200" s="104" t="n"/>
      <c r="R200" s="104" t="n"/>
      <c r="S200" s="104" t="n"/>
      <c r="T200" s="104" t="n"/>
      <c r="U200" s="104" t="n"/>
      <c r="V200" s="104" t="n"/>
      <c r="W200" s="104" t="n"/>
      <c r="X200" s="104" t="n"/>
      <c r="Y200" s="104" t="n"/>
      <c r="Z200" s="104" t="n"/>
      <c r="AA200" s="104" t="n"/>
      <c r="AB200" s="104" t="n"/>
      <c r="AC200" s="104" t="n"/>
      <c r="AD200" s="104" t="n"/>
      <c r="AE200" s="104" t="n"/>
      <c r="AF200" s="104" t="n"/>
      <c r="AG200" s="104" t="n"/>
      <c r="AH200" s="104" t="n"/>
      <c r="AI200" s="104" t="n"/>
      <c r="AJ200" s="104" t="n"/>
      <c r="AK200" s="104" t="n"/>
      <c r="AL200" s="104" t="n"/>
      <c r="AM200" s="104" t="n"/>
      <c r="AN200" s="104" t="n"/>
      <c r="AO200" s="104" t="n"/>
      <c r="AP200" s="104" t="n"/>
      <c r="AQ200" s="104" t="n"/>
      <c r="AR200" s="104" t="n"/>
      <c r="AS200" s="104" t="n"/>
      <c r="AT200" s="104" t="n"/>
      <c r="AU200" s="104" t="n"/>
      <c r="AV200" s="104" t="n"/>
      <c r="AW200" s="104" t="n"/>
      <c r="AX200" s="104" t="n"/>
      <c r="AY200" s="104" t="n"/>
      <c r="AZ200" s="104" t="n"/>
      <c r="BA200" s="104" t="n"/>
      <c r="BB200" s="104" t="n"/>
      <c r="BC200" s="104" t="n"/>
      <c r="BD200" s="104" t="n"/>
      <c r="BE200" s="104" t="n"/>
      <c r="BF200" s="104" t="n"/>
      <c r="BG200" s="104" t="n"/>
      <c r="BH200" s="104" t="n"/>
      <c r="BI200" s="104" t="n"/>
      <c r="BJ200" s="104" t="n"/>
      <c r="BK200" s="104" t="n"/>
      <c r="BL200" s="104" t="n"/>
      <c r="BM200" s="104" t="n"/>
      <c r="BN200" s="104" t="n"/>
      <c r="BO200" s="104" t="n"/>
      <c r="BP200" s="104" t="n"/>
      <c r="BQ200" s="104" t="n"/>
      <c r="BR200" s="104" t="n"/>
      <c r="BS200" s="104" t="n"/>
      <c r="BT200" s="104" t="n"/>
      <c r="BU200" s="104" t="n"/>
      <c r="BV200" s="104" t="n"/>
      <c r="BW200" s="104" t="n"/>
      <c r="BX200" s="104" t="n"/>
    </row>
    <row r="201">
      <c r="B201" s="64" t="n"/>
      <c r="C201" s="104" t="n"/>
      <c r="D201" s="104" t="n"/>
      <c r="E201" s="104" t="n"/>
      <c r="F201" s="104" t="n"/>
      <c r="G201" s="104" t="n"/>
      <c r="H201" s="104" t="n"/>
      <c r="I201" s="104" t="n"/>
      <c r="J201" s="104" t="n"/>
      <c r="K201" s="104" t="n"/>
      <c r="L201" s="104" t="n"/>
      <c r="N201" s="104" t="n"/>
      <c r="O201" s="104" t="n"/>
      <c r="P201" s="104" t="n"/>
      <c r="Q201" s="104" t="n"/>
      <c r="R201" s="104" t="n"/>
      <c r="S201" s="104" t="n"/>
      <c r="T201" s="104" t="n"/>
      <c r="U201" s="104" t="n"/>
      <c r="V201" s="104" t="n"/>
      <c r="W201" s="104" t="n"/>
      <c r="X201" s="104" t="n"/>
      <c r="Y201" s="104" t="n"/>
      <c r="Z201" s="104" t="n"/>
      <c r="AA201" s="104" t="n"/>
      <c r="AB201" s="104" t="n"/>
      <c r="AC201" s="104" t="n"/>
      <c r="AD201" s="104" t="n"/>
      <c r="AE201" s="104" t="n"/>
      <c r="AF201" s="104" t="n"/>
      <c r="AG201" s="104" t="n"/>
      <c r="AH201" s="104" t="n"/>
      <c r="AI201" s="104" t="n"/>
      <c r="AJ201" s="104" t="n"/>
      <c r="AK201" s="104" t="n"/>
      <c r="AL201" s="104" t="n"/>
      <c r="AM201" s="104" t="n"/>
      <c r="AN201" s="104" t="n"/>
      <c r="AO201" s="104" t="n"/>
      <c r="AP201" s="104" t="n"/>
      <c r="AQ201" s="104" t="n"/>
      <c r="AR201" s="104" t="n"/>
      <c r="AS201" s="104" t="n"/>
      <c r="AT201" s="104" t="n"/>
      <c r="AU201" s="104" t="n"/>
      <c r="AV201" s="104" t="n"/>
      <c r="AW201" s="104" t="n"/>
      <c r="AX201" s="104" t="n"/>
      <c r="AY201" s="104" t="n"/>
      <c r="AZ201" s="104" t="n"/>
      <c r="BA201" s="104" t="n"/>
      <c r="BB201" s="104" t="n"/>
      <c r="BC201" s="104" t="n"/>
      <c r="BD201" s="104" t="n"/>
      <c r="BE201" s="104" t="n"/>
      <c r="BF201" s="104" t="n"/>
      <c r="BG201" s="104" t="n"/>
      <c r="BH201" s="104" t="n"/>
      <c r="BI201" s="104" t="n"/>
      <c r="BJ201" s="104" t="n"/>
      <c r="BK201" s="104" t="n"/>
      <c r="BL201" s="104" t="n"/>
      <c r="BM201" s="104" t="n"/>
      <c r="BN201" s="104" t="n"/>
      <c r="BO201" s="104" t="n"/>
      <c r="BP201" s="104" t="n"/>
      <c r="BQ201" s="104" t="n"/>
      <c r="BR201" s="104" t="n"/>
      <c r="BS201" s="104" t="n"/>
      <c r="BT201" s="104" t="n"/>
      <c r="BU201" s="104" t="n"/>
      <c r="BV201" s="104" t="n"/>
      <c r="BW201" s="104" t="n"/>
      <c r="BX201" s="104" t="n"/>
    </row>
    <row r="202">
      <c r="B202" s="64" t="n"/>
      <c r="C202" s="104" t="n"/>
      <c r="D202" s="104" t="n"/>
      <c r="E202" s="104" t="n"/>
      <c r="F202" s="104" t="n"/>
      <c r="G202" s="104" t="n"/>
      <c r="H202" s="104" t="n"/>
      <c r="I202" s="104" t="n"/>
      <c r="J202" s="104" t="n"/>
      <c r="K202" s="104" t="n"/>
      <c r="L202" s="104" t="n"/>
      <c r="N202" s="104" t="n"/>
      <c r="O202" s="104" t="n"/>
      <c r="P202" s="104" t="n"/>
      <c r="Q202" s="104" t="n"/>
      <c r="R202" s="104" t="n"/>
      <c r="S202" s="104" t="n"/>
      <c r="T202" s="104" t="n"/>
      <c r="U202" s="104" t="n"/>
      <c r="V202" s="104" t="n"/>
      <c r="W202" s="104" t="n"/>
      <c r="X202" s="104" t="n"/>
      <c r="Y202" s="104" t="n"/>
      <c r="Z202" s="104" t="n"/>
      <c r="AA202" s="104" t="n"/>
      <c r="AB202" s="104" t="n"/>
      <c r="AC202" s="104" t="n"/>
      <c r="AD202" s="104" t="n"/>
      <c r="AE202" s="104" t="n"/>
      <c r="AF202" s="104" t="n"/>
      <c r="AG202" s="104" t="n"/>
      <c r="AH202" s="104" t="n"/>
      <c r="AI202" s="104" t="n"/>
      <c r="AJ202" s="104" t="n"/>
      <c r="AK202" s="104" t="n"/>
      <c r="AL202" s="104" t="n"/>
      <c r="AM202" s="104" t="n"/>
      <c r="AN202" s="104" t="n"/>
      <c r="AO202" s="104" t="n"/>
      <c r="AP202" s="104" t="n"/>
      <c r="AQ202" s="104" t="n"/>
      <c r="AR202" s="104" t="n"/>
      <c r="AS202" s="104" t="n"/>
      <c r="AT202" s="104" t="n"/>
      <c r="AU202" s="104" t="n"/>
      <c r="AV202" s="104" t="n"/>
      <c r="AW202" s="104" t="n"/>
      <c r="AX202" s="104" t="n"/>
      <c r="AY202" s="104" t="n"/>
      <c r="AZ202" s="104" t="n"/>
      <c r="BA202" s="104" t="n"/>
      <c r="BB202" s="104" t="n"/>
      <c r="BC202" s="104" t="n"/>
      <c r="BD202" s="104" t="n"/>
      <c r="BE202" s="104" t="n"/>
      <c r="BF202" s="104" t="n"/>
      <c r="BG202" s="104" t="n"/>
      <c r="BH202" s="104" t="n"/>
      <c r="BI202" s="104" t="n"/>
      <c r="BJ202" s="104" t="n"/>
      <c r="BK202" s="104" t="n"/>
      <c r="BL202" s="104" t="n"/>
      <c r="BM202" s="104" t="n"/>
      <c r="BN202" s="104" t="n"/>
      <c r="BO202" s="104" t="n"/>
      <c r="BP202" s="104" t="n"/>
      <c r="BQ202" s="104" t="n"/>
      <c r="BR202" s="104" t="n"/>
      <c r="BS202" s="104" t="n"/>
      <c r="BT202" s="104" t="n"/>
      <c r="BU202" s="104" t="n"/>
      <c r="BV202" s="104" t="n"/>
      <c r="BW202" s="104" t="n"/>
      <c r="BX202" s="104" t="n"/>
    </row>
    <row r="203">
      <c r="AC203" s="104" t="n"/>
      <c r="AD203" s="104" t="n"/>
      <c r="AE203" s="104" t="n"/>
      <c r="AF203" s="104" t="n"/>
      <c r="AG203" s="104" t="n"/>
      <c r="AH203" s="104" t="n"/>
      <c r="AI203" s="104" t="n"/>
      <c r="AJ203" s="104" t="n"/>
      <c r="AK203" s="104" t="n"/>
      <c r="AL203" s="104" t="n"/>
      <c r="AM203" s="104" t="n"/>
      <c r="AN203" s="104" t="n"/>
      <c r="AO203" s="104" t="n"/>
      <c r="AP203" s="104" t="n"/>
      <c r="AQ203" s="104" t="n"/>
      <c r="AR203" s="104" t="n"/>
      <c r="AS203" s="104" t="n"/>
      <c r="AT203" s="104" t="n"/>
      <c r="AU203" s="104" t="n"/>
      <c r="AV203" s="104" t="n"/>
      <c r="AW203" s="104" t="n"/>
      <c r="AX203" s="104" t="n"/>
      <c r="AY203" s="104" t="n"/>
      <c r="AZ203" s="104" t="n"/>
      <c r="BA203" s="104" t="n"/>
      <c r="BB203" s="104" t="n"/>
      <c r="BC203" s="104" t="n"/>
      <c r="BD203" s="104" t="n"/>
      <c r="BE203" s="104" t="n"/>
      <c r="BF203" s="104" t="n"/>
      <c r="BG203" s="104" t="n"/>
      <c r="BH203" s="104" t="n"/>
      <c r="BI203" s="104" t="n"/>
      <c r="BJ203" s="104" t="n"/>
      <c r="BK203" s="104" t="n"/>
      <c r="BL203" s="104" t="n"/>
      <c r="BM203" s="104" t="n"/>
      <c r="BN203" s="104" t="n"/>
      <c r="BO203" s="104" t="n"/>
      <c r="BP203" s="104" t="n"/>
      <c r="BQ203" s="104" t="n"/>
      <c r="BR203" s="104" t="n"/>
      <c r="BS203" s="104" t="n"/>
      <c r="BT203" s="104" t="n"/>
      <c r="BU203" s="104" t="n"/>
      <c r="BV203" s="104" t="n"/>
      <c r="BW203" s="104" t="n"/>
      <c r="BX203" s="104" t="n"/>
    </row>
    <row r="204">
      <c r="AC204" s="104" t="n"/>
      <c r="AD204" s="104" t="n"/>
      <c r="AE204" s="104" t="n"/>
      <c r="AF204" s="104" t="n"/>
      <c r="AG204" s="104" t="n"/>
      <c r="AH204" s="104" t="n"/>
      <c r="AI204" s="104" t="n"/>
      <c r="AJ204" s="104" t="n"/>
      <c r="AK204" s="104" t="n"/>
      <c r="AL204" s="104" t="n"/>
      <c r="AM204" s="104" t="n"/>
      <c r="AN204" s="104" t="n"/>
      <c r="AO204" s="104" t="n"/>
      <c r="AP204" s="104" t="n"/>
      <c r="AQ204" s="104" t="n"/>
      <c r="AR204" s="104" t="n"/>
      <c r="AS204" s="104" t="n"/>
      <c r="AT204" s="104" t="n"/>
      <c r="AU204" s="104" t="n"/>
      <c r="AV204" s="104" t="n"/>
      <c r="AW204" s="104" t="n"/>
      <c r="AX204" s="104" t="n"/>
      <c r="AY204" s="104" t="n"/>
      <c r="AZ204" s="104" t="n"/>
      <c r="BA204" s="104" t="n"/>
      <c r="BB204" s="104" t="n"/>
      <c r="BC204" s="104" t="n"/>
      <c r="BD204" s="104" t="n"/>
      <c r="BE204" s="104" t="n"/>
      <c r="BF204" s="104" t="n"/>
      <c r="BG204" s="104" t="n"/>
      <c r="BH204" s="104" t="n"/>
      <c r="BI204" s="104" t="n"/>
      <c r="BJ204" s="125" t="n"/>
      <c r="BK204" s="125" t="n"/>
      <c r="BL204" s="104" t="n"/>
      <c r="BM204" s="104" t="n"/>
      <c r="BN204" s="104" t="n"/>
      <c r="BO204" s="104" t="n"/>
      <c r="BP204" s="104" t="n"/>
      <c r="BQ204" s="104" t="n"/>
      <c r="BR204" s="104" t="n"/>
      <c r="BS204" s="104" t="n"/>
      <c r="BT204" s="104" t="n"/>
      <c r="BU204" s="104" t="n"/>
      <c r="BV204" s="104" t="n"/>
      <c r="BW204" s="104" t="n"/>
      <c r="BX204" s="104" t="n"/>
    </row>
    <row r="205">
      <c r="AC205" s="104" t="n"/>
      <c r="AD205" s="104" t="n"/>
      <c r="AE205" s="104" t="n"/>
      <c r="AF205" s="104" t="n"/>
      <c r="AG205" s="104" t="n"/>
      <c r="AH205" s="104" t="n"/>
      <c r="AI205" s="104" t="n"/>
      <c r="AJ205" s="104" t="n"/>
      <c r="AK205" s="104" t="n"/>
      <c r="AL205" s="104" t="n"/>
      <c r="AM205" s="104" t="n"/>
      <c r="AN205" s="104" t="n"/>
      <c r="AO205" s="104" t="n"/>
      <c r="AP205" s="104" t="n"/>
      <c r="AQ205" s="104" t="n"/>
      <c r="AR205" s="104" t="n"/>
      <c r="AS205" s="104" t="n"/>
      <c r="AT205" s="104" t="n"/>
      <c r="AU205" s="104" t="n"/>
      <c r="AV205" s="104" t="n"/>
      <c r="AW205" s="104" t="n"/>
      <c r="AX205" s="104" t="n"/>
      <c r="AY205" s="104" t="n"/>
      <c r="AZ205" s="104" t="n"/>
      <c r="BA205" s="104" t="n"/>
      <c r="BB205" s="104" t="n"/>
      <c r="BC205" s="104" t="n"/>
      <c r="BD205" s="104" t="n"/>
      <c r="BE205" s="104" t="n"/>
      <c r="BF205" s="104" t="n"/>
      <c r="BG205" s="104" t="n"/>
      <c r="BH205" s="104" t="n"/>
      <c r="BI205" s="104" t="n"/>
      <c r="BJ205" s="104" t="n"/>
      <c r="BK205" s="104" t="n"/>
      <c r="BL205" s="104" t="n"/>
      <c r="BM205" s="104" t="n"/>
      <c r="BN205" s="104" t="n"/>
      <c r="BO205" s="104" t="n"/>
      <c r="BP205" s="104" t="n"/>
      <c r="BQ205" s="104" t="n"/>
      <c r="BR205" s="104" t="n"/>
      <c r="BS205" s="104" t="n"/>
      <c r="BT205" s="104" t="n"/>
      <c r="BU205" s="104" t="n"/>
      <c r="BV205" s="104" t="n"/>
      <c r="BW205" s="104" t="n"/>
      <c r="BX205" s="104" t="n"/>
    </row>
    <row r="206">
      <c r="AC206" s="104" t="n"/>
      <c r="AD206" s="104" t="n"/>
      <c r="AE206" s="104" t="n"/>
      <c r="AF206" s="104" t="n"/>
      <c r="AG206" s="104" t="n"/>
      <c r="AH206" s="104" t="n"/>
      <c r="AI206" s="104" t="n"/>
      <c r="AJ206" s="104" t="n"/>
      <c r="AK206" s="104" t="n"/>
      <c r="AL206" s="104" t="n"/>
      <c r="AM206" s="104" t="n"/>
      <c r="AN206" s="104" t="n"/>
      <c r="AO206" s="104" t="n"/>
      <c r="AP206" s="104" t="n"/>
      <c r="AQ206" s="104" t="n"/>
      <c r="AR206" s="104" t="n"/>
      <c r="AS206" s="104" t="n"/>
      <c r="AT206" s="104" t="n"/>
      <c r="AU206" s="104" t="n"/>
      <c r="AV206" s="104" t="n"/>
      <c r="AW206" s="104" t="n"/>
      <c r="AX206" s="104" t="n"/>
      <c r="AY206" s="104" t="n"/>
      <c r="AZ206" s="104" t="n"/>
      <c r="BA206" s="104" t="n"/>
      <c r="BB206" s="104" t="n"/>
      <c r="BC206" s="104" t="n"/>
      <c r="BD206" s="104" t="n"/>
      <c r="BE206" s="104" t="n"/>
      <c r="BF206" s="104" t="n"/>
      <c r="BG206" s="104" t="n"/>
      <c r="BH206" s="104" t="n"/>
      <c r="BI206" s="104" t="n"/>
      <c r="BJ206" s="104" t="n"/>
      <c r="BK206" s="104" t="n"/>
      <c r="BL206" s="104" t="n"/>
      <c r="BM206" s="104" t="n"/>
      <c r="BN206" s="104" t="n"/>
      <c r="BO206" s="104" t="n"/>
      <c r="BP206" s="104" t="n"/>
      <c r="BQ206" s="104" t="n"/>
      <c r="BR206" s="104" t="n"/>
      <c r="BS206" s="104" t="n"/>
      <c r="BT206" s="104" t="n"/>
      <c r="BU206" s="104" t="n"/>
      <c r="BV206" s="104" t="n"/>
      <c r="BW206" s="104" t="n"/>
      <c r="BX206" s="104" t="n"/>
    </row>
    <row r="207">
      <c r="AC207" s="104" t="n"/>
      <c r="AD207" s="104" t="n"/>
      <c r="AE207" s="104" t="n"/>
      <c r="AF207" s="104" t="n"/>
      <c r="AG207" s="104" t="n"/>
      <c r="AH207" s="104" t="n"/>
      <c r="AI207" s="104" t="n"/>
      <c r="AJ207" s="104" t="n"/>
      <c r="AK207" s="104" t="n"/>
      <c r="AL207" s="104" t="n"/>
      <c r="AM207" s="104" t="n"/>
      <c r="AN207" s="104" t="n"/>
      <c r="AO207" s="104" t="n"/>
      <c r="AP207" s="104" t="n"/>
      <c r="AQ207" s="104" t="n"/>
      <c r="AR207" s="104" t="n"/>
      <c r="AS207" s="104" t="n"/>
      <c r="AT207" s="104" t="n"/>
      <c r="AU207" s="104" t="n"/>
      <c r="AV207" s="104" t="n"/>
      <c r="AW207" s="104" t="n"/>
      <c r="AX207" s="104" t="n"/>
      <c r="AY207" s="104" t="n"/>
      <c r="AZ207" s="104" t="n"/>
      <c r="BA207" s="104" t="n"/>
      <c r="BB207" s="104" t="n"/>
      <c r="BC207" s="104" t="n"/>
      <c r="BD207" s="104" t="n"/>
      <c r="BE207" s="104" t="n"/>
      <c r="BF207" s="104" t="n"/>
      <c r="BG207" s="104" t="n"/>
      <c r="BH207" s="104" t="n"/>
      <c r="BI207" s="104" t="n"/>
      <c r="BJ207" s="104" t="n"/>
      <c r="BK207" s="104" t="n"/>
      <c r="BL207" s="104" t="n"/>
      <c r="BM207" s="104" t="n"/>
      <c r="BN207" s="104" t="n"/>
      <c r="BO207" s="104" t="n"/>
      <c r="BP207" s="104" t="n"/>
      <c r="BQ207" s="104" t="n"/>
      <c r="BR207" s="104" t="n"/>
      <c r="BS207" s="104" t="n"/>
      <c r="BT207" s="104" t="n"/>
      <c r="BU207" s="104" t="n"/>
      <c r="BV207" s="104" t="n"/>
      <c r="BW207" s="104" t="n"/>
      <c r="BX207" s="104" t="n"/>
    </row>
    <row r="208">
      <c r="AC208" s="104" t="n"/>
      <c r="AD208" s="104" t="n"/>
      <c r="AE208" s="104" t="n"/>
      <c r="AF208" s="104" t="n"/>
      <c r="AG208" s="104" t="n"/>
      <c r="AH208" s="104" t="n"/>
      <c r="AI208" s="104" t="n"/>
      <c r="AJ208" s="104" t="n"/>
      <c r="AK208" s="104" t="n"/>
      <c r="AL208" s="104" t="n"/>
      <c r="AM208" s="104" t="n"/>
      <c r="AN208" s="104" t="n"/>
      <c r="AO208" s="104" t="n"/>
      <c r="AP208" s="104" t="n"/>
      <c r="AQ208" s="104" t="n"/>
      <c r="AR208" s="104" t="n"/>
      <c r="AS208" s="104" t="n"/>
      <c r="AT208" s="104" t="n"/>
      <c r="AU208" s="104" t="n"/>
      <c r="AV208" s="104" t="n"/>
      <c r="AW208" s="104" t="n"/>
      <c r="AX208" s="104" t="n"/>
      <c r="AY208" s="104" t="n"/>
      <c r="AZ208" s="104" t="n"/>
      <c r="BA208" s="104" t="n"/>
      <c r="BB208" s="104" t="n"/>
      <c r="BC208" s="104" t="n"/>
      <c r="BD208" s="104" t="n"/>
      <c r="BE208" s="104" t="n"/>
      <c r="BF208" s="104" t="n"/>
      <c r="BG208" s="104" t="n"/>
      <c r="BH208" s="104" t="n"/>
      <c r="BI208" s="104" t="n"/>
      <c r="BJ208" s="104" t="n"/>
      <c r="BK208" s="104" t="n"/>
      <c r="BL208" s="104" t="n"/>
      <c r="BM208" s="104" t="n"/>
      <c r="BN208" s="104" t="n"/>
      <c r="BO208" s="104" t="n"/>
      <c r="BP208" s="104" t="n"/>
      <c r="BQ208" s="104" t="n"/>
      <c r="BR208" s="104" t="n"/>
      <c r="BS208" s="104" t="n"/>
      <c r="BT208" s="104" t="n"/>
      <c r="BU208" s="104" t="n"/>
      <c r="BV208" s="104" t="n"/>
      <c r="BW208" s="104" t="n"/>
      <c r="BX208" s="104" t="n"/>
    </row>
    <row r="209">
      <c r="AC209" s="104" t="n"/>
      <c r="AD209" s="104" t="n"/>
      <c r="AE209" s="104" t="n"/>
      <c r="AF209" s="104" t="n"/>
      <c r="AG209" s="104" t="n"/>
      <c r="AH209" s="104" t="n"/>
      <c r="AI209" s="104" t="n"/>
      <c r="AJ209" s="104" t="n"/>
      <c r="AK209" s="104" t="n"/>
      <c r="AL209" s="104" t="n"/>
      <c r="AM209" s="104" t="n"/>
      <c r="AN209" s="104" t="n"/>
      <c r="AO209" s="104" t="n"/>
      <c r="AP209" s="104" t="n"/>
      <c r="AQ209" s="104" t="n"/>
      <c r="AR209" s="104" t="n"/>
      <c r="AS209" s="104" t="n"/>
      <c r="AT209" s="104" t="n"/>
      <c r="AU209" s="104" t="n"/>
      <c r="AV209" s="104" t="n"/>
      <c r="AW209" s="104" t="n"/>
      <c r="AX209" s="104" t="n"/>
      <c r="AY209" s="104" t="n"/>
      <c r="AZ209" s="104" t="n"/>
      <c r="BA209" s="104" t="n"/>
      <c r="BB209" s="104" t="n"/>
      <c r="BC209" s="104" t="n"/>
      <c r="BD209" s="104" t="n"/>
      <c r="BE209" s="104" t="n"/>
      <c r="BF209" s="104" t="n"/>
      <c r="BG209" s="104" t="n"/>
      <c r="BH209" s="104" t="n"/>
      <c r="BI209" s="104" t="n"/>
      <c r="BJ209" s="104" t="n"/>
      <c r="BK209" s="104" t="n"/>
      <c r="BL209" s="104" t="n"/>
      <c r="BM209" s="104" t="n"/>
      <c r="BN209" s="104" t="n"/>
      <c r="BO209" s="104" t="n"/>
      <c r="BP209" s="104" t="n"/>
      <c r="BQ209" s="104" t="n"/>
      <c r="BR209" s="104" t="n"/>
      <c r="BS209" s="104" t="n"/>
      <c r="BT209" s="104" t="n"/>
      <c r="BU209" s="104" t="n"/>
      <c r="BV209" s="104" t="n"/>
      <c r="BW209" s="104" t="n"/>
      <c r="BX209" s="104" t="n"/>
    </row>
    <row r="210">
      <c r="AC210" s="104" t="n"/>
      <c r="AD210" s="104" t="n"/>
      <c r="AE210" s="104" t="n"/>
      <c r="AF210" s="104" t="n"/>
      <c r="AG210" s="104" t="n"/>
      <c r="AH210" s="104" t="n"/>
      <c r="AI210" s="104" t="n"/>
      <c r="AJ210" s="104" t="n"/>
      <c r="AK210" s="104" t="n"/>
      <c r="AL210" s="104" t="n"/>
      <c r="AM210" s="104" t="n"/>
      <c r="AN210" s="104" t="n"/>
      <c r="AO210" s="104" t="n"/>
      <c r="AP210" s="104" t="n"/>
      <c r="AQ210" s="104" t="n"/>
      <c r="AR210" s="104" t="n"/>
      <c r="AS210" s="104" t="n"/>
      <c r="AT210" s="104" t="n"/>
      <c r="AU210" s="104" t="n"/>
      <c r="AV210" s="104" t="n"/>
      <c r="AW210" s="104" t="n"/>
      <c r="AX210" s="104" t="n"/>
      <c r="AY210" s="104" t="n"/>
      <c r="AZ210" s="104" t="n"/>
      <c r="BA210" s="104" t="n"/>
      <c r="BB210" s="104" t="n"/>
      <c r="BC210" s="104" t="n"/>
      <c r="BD210" s="104" t="n"/>
      <c r="BE210" s="104" t="n"/>
      <c r="BF210" s="104" t="n"/>
      <c r="BG210" s="104" t="n"/>
      <c r="BH210" s="104" t="n"/>
      <c r="BI210" s="104" t="n"/>
      <c r="BJ210" s="104" t="n"/>
      <c r="BK210" s="104" t="n"/>
      <c r="BL210" s="104" t="n"/>
      <c r="BM210" s="104" t="n"/>
      <c r="BN210" s="104" t="n"/>
      <c r="BO210" s="104" t="n"/>
      <c r="BP210" s="104" t="n"/>
      <c r="BQ210" s="104" t="n"/>
      <c r="BR210" s="104" t="n"/>
      <c r="BS210" s="104" t="n"/>
      <c r="BT210" s="104" t="n"/>
      <c r="BU210" s="104" t="n"/>
      <c r="BV210" s="104" t="n"/>
      <c r="BW210" s="104" t="n"/>
      <c r="BX210" s="104" t="n"/>
    </row>
    <row r="211">
      <c r="AC211" s="104" t="n"/>
      <c r="AD211" s="104" t="n"/>
      <c r="AE211" s="104" t="n"/>
      <c r="AF211" s="104" t="n"/>
      <c r="AG211" s="104" t="n"/>
      <c r="AH211" s="104" t="n"/>
      <c r="AI211" s="104" t="n"/>
      <c r="AJ211" s="104" t="n"/>
      <c r="AK211" s="104" t="n"/>
      <c r="AL211" s="104" t="n"/>
      <c r="AM211" s="104" t="n"/>
      <c r="AN211" s="104" t="n"/>
      <c r="AO211" s="104" t="n"/>
      <c r="AP211" s="104" t="n"/>
      <c r="AQ211" s="104" t="n"/>
      <c r="AR211" s="104" t="n"/>
      <c r="AS211" s="104" t="n"/>
      <c r="AT211" s="104" t="n"/>
      <c r="AU211" s="104" t="n"/>
      <c r="AV211" s="104" t="n"/>
      <c r="AW211" s="104" t="n"/>
      <c r="AX211" s="104" t="n"/>
      <c r="AY211" s="104" t="n"/>
      <c r="AZ211" s="104" t="n"/>
      <c r="BA211" s="104" t="n"/>
      <c r="BB211" s="104" t="n"/>
      <c r="BC211" s="104" t="n"/>
      <c r="BD211" s="104" t="n"/>
      <c r="BE211" s="104" t="n"/>
      <c r="BF211" s="104" t="n"/>
      <c r="BG211" s="104" t="n"/>
      <c r="BH211" s="104" t="n"/>
      <c r="BI211" s="104" t="n"/>
      <c r="BJ211" s="104" t="n"/>
      <c r="BK211" s="104" t="n"/>
      <c r="BL211" s="104" t="n"/>
      <c r="BM211" s="104" t="n"/>
      <c r="BN211" s="104" t="n"/>
      <c r="BO211" s="104" t="n"/>
      <c r="BP211" s="104" t="n"/>
      <c r="BQ211" s="104" t="n"/>
      <c r="BR211" s="104" t="n"/>
      <c r="BS211" s="104" t="n"/>
      <c r="BT211" s="104" t="n"/>
      <c r="BU211" s="104" t="n"/>
      <c r="BV211" s="104" t="n"/>
      <c r="BW211" s="104" t="n"/>
      <c r="BX211" s="104" t="n"/>
    </row>
    <row r="212">
      <c r="AC212" s="104" t="n"/>
      <c r="AD212" s="104" t="n"/>
      <c r="AE212" s="104" t="n"/>
      <c r="AF212" s="104" t="n"/>
      <c r="AG212" s="104" t="n"/>
      <c r="AH212" s="104" t="n"/>
      <c r="AI212" s="104" t="n"/>
      <c r="AJ212" s="104" t="n"/>
      <c r="AK212" s="104" t="n"/>
      <c r="AL212" s="104" t="n"/>
      <c r="AM212" s="104" t="n"/>
      <c r="AN212" s="104" t="n"/>
      <c r="AO212" s="104" t="n"/>
      <c r="AP212" s="104" t="n"/>
      <c r="AQ212" s="104" t="n"/>
      <c r="AR212" s="104" t="n"/>
      <c r="AS212" s="104" t="n"/>
      <c r="AT212" s="104" t="n"/>
      <c r="AU212" s="104" t="n"/>
      <c r="AV212" s="104" t="n"/>
      <c r="AW212" s="104" t="n"/>
      <c r="AX212" s="104" t="n"/>
      <c r="AY212" s="104" t="n"/>
      <c r="AZ212" s="104" t="n"/>
      <c r="BA212" s="104" t="n"/>
      <c r="BB212" s="104" t="n"/>
      <c r="BC212" s="104" t="n"/>
      <c r="BD212" s="104" t="n"/>
      <c r="BE212" s="104" t="n"/>
      <c r="BF212" s="104" t="n"/>
      <c r="BG212" s="104" t="n"/>
      <c r="BH212" s="104" t="n"/>
      <c r="BI212" s="104" t="n"/>
      <c r="BJ212" s="104" t="n"/>
      <c r="BK212" s="104" t="n"/>
      <c r="BL212" s="104" t="n"/>
      <c r="BM212" s="104" t="n"/>
      <c r="BN212" s="104" t="n"/>
      <c r="BO212" s="104" t="n"/>
      <c r="BP212" s="104" t="n"/>
      <c r="BQ212" s="104" t="n"/>
      <c r="BR212" s="104" t="n"/>
      <c r="BS212" s="104" t="n"/>
      <c r="BT212" s="104" t="n"/>
      <c r="BU212" s="104" t="n"/>
      <c r="BV212" s="104" t="n"/>
      <c r="BW212" s="104" t="n"/>
      <c r="BX212" s="104" t="n"/>
    </row>
    <row r="213">
      <c r="AC213" s="104" t="n"/>
      <c r="AD213" s="104" t="n"/>
      <c r="AE213" s="104" t="n"/>
      <c r="AF213" s="104" t="n"/>
      <c r="AG213" s="104" t="n"/>
      <c r="AH213" s="104" t="n"/>
      <c r="AI213" s="104" t="n"/>
      <c r="AJ213" s="104" t="n"/>
      <c r="AK213" s="104" t="n"/>
      <c r="AL213" s="104" t="n"/>
      <c r="AM213" s="104" t="n"/>
      <c r="AN213" s="104" t="n"/>
      <c r="AO213" s="104" t="n"/>
      <c r="AP213" s="104" t="n"/>
      <c r="AQ213" s="104" t="n"/>
      <c r="AR213" s="104" t="n"/>
      <c r="AS213" s="104" t="n"/>
      <c r="AT213" s="104" t="n"/>
      <c r="AU213" s="104" t="n"/>
      <c r="AV213" s="104" t="n"/>
      <c r="AW213" s="104" t="n"/>
      <c r="AX213" s="104" t="n"/>
      <c r="AY213" s="104" t="n"/>
      <c r="AZ213" s="104" t="n"/>
      <c r="BA213" s="104" t="n"/>
      <c r="BB213" s="104" t="n"/>
      <c r="BC213" s="104" t="n"/>
      <c r="BD213" s="104" t="n"/>
      <c r="BE213" s="104" t="n"/>
      <c r="BF213" s="104" t="n"/>
      <c r="BG213" s="104" t="n"/>
      <c r="BH213" s="104" t="n"/>
      <c r="BI213" s="104" t="n"/>
      <c r="BJ213" s="104" t="n"/>
      <c r="BK213" s="104" t="n"/>
      <c r="BL213" s="104" t="n"/>
      <c r="BM213" s="104" t="n"/>
      <c r="BN213" s="104" t="n"/>
      <c r="BO213" s="104" t="n"/>
      <c r="BP213" s="104" t="n"/>
      <c r="BQ213" s="104" t="n"/>
      <c r="BR213" s="104" t="n"/>
      <c r="BS213" s="104" t="n"/>
      <c r="BT213" s="104" t="n"/>
      <c r="BU213" s="104" t="n"/>
      <c r="BV213" s="104" t="n"/>
      <c r="BW213" s="104" t="n"/>
      <c r="BX213" s="104" t="n"/>
    </row>
    <row r="214">
      <c r="AC214" s="104" t="n"/>
      <c r="AD214" s="104" t="n"/>
      <c r="AE214" s="104" t="n"/>
      <c r="AF214" s="104" t="n"/>
      <c r="AG214" s="104" t="n"/>
      <c r="AH214" s="104" t="n"/>
      <c r="AI214" s="104" t="n"/>
      <c r="AJ214" s="104" t="n"/>
      <c r="AK214" s="104" t="n"/>
      <c r="AL214" s="104" t="n"/>
      <c r="AM214" s="104" t="n"/>
      <c r="AN214" s="104" t="n"/>
      <c r="AO214" s="104" t="n"/>
      <c r="AP214" s="104" t="n"/>
      <c r="AQ214" s="104" t="n"/>
      <c r="AR214" s="104" t="n"/>
      <c r="AS214" s="104" t="n"/>
      <c r="AT214" s="104" t="n"/>
      <c r="AU214" s="104" t="n"/>
      <c r="AV214" s="104" t="n"/>
      <c r="AW214" s="104" t="n"/>
      <c r="AX214" s="104" t="n"/>
      <c r="AY214" s="104" t="n"/>
      <c r="AZ214" s="104" t="n"/>
      <c r="BA214" s="104" t="n"/>
      <c r="BB214" s="104" t="n"/>
      <c r="BC214" s="104" t="n"/>
      <c r="BD214" s="104" t="n"/>
      <c r="BE214" s="104" t="n"/>
      <c r="BF214" s="104" t="n"/>
      <c r="BG214" s="104" t="n"/>
      <c r="BH214" s="104" t="n"/>
      <c r="BI214" s="104" t="n"/>
      <c r="BJ214" s="104" t="n"/>
      <c r="BK214" s="104" t="n"/>
      <c r="BL214" s="104" t="n"/>
      <c r="BM214" s="104" t="n"/>
      <c r="BN214" s="104" t="n"/>
      <c r="BO214" s="104" t="n"/>
      <c r="BP214" s="104" t="n"/>
      <c r="BQ214" s="104" t="n"/>
      <c r="BR214" s="104" t="n"/>
      <c r="BS214" s="104" t="n"/>
      <c r="BT214" s="104" t="n"/>
      <c r="BU214" s="104" t="n"/>
      <c r="BV214" s="104" t="n"/>
      <c r="BW214" s="104" t="n"/>
      <c r="BX214" s="104" t="n"/>
    </row>
    <row r="215">
      <c r="AC215" s="104" t="n"/>
      <c r="AD215" s="104" t="n"/>
      <c r="AE215" s="104" t="n"/>
      <c r="AF215" s="104" t="n"/>
      <c r="AG215" s="104" t="n"/>
      <c r="AH215" s="104" t="n"/>
      <c r="AI215" s="104" t="n"/>
      <c r="AJ215" s="104" t="n"/>
      <c r="AK215" s="104" t="n"/>
      <c r="AL215" s="104" t="n"/>
      <c r="AM215" s="104" t="n"/>
      <c r="AN215" s="104" t="n"/>
      <c r="AO215" s="104" t="n"/>
      <c r="AP215" s="104" t="n"/>
      <c r="AQ215" s="104" t="n"/>
      <c r="AR215" s="104" t="n"/>
      <c r="AS215" s="104" t="n"/>
      <c r="AT215" s="104" t="n"/>
      <c r="AU215" s="104" t="n"/>
      <c r="AV215" s="104" t="n"/>
      <c r="AW215" s="104" t="n"/>
      <c r="AX215" s="104" t="n"/>
      <c r="AY215" s="104" t="n"/>
      <c r="AZ215" s="104" t="n"/>
      <c r="BA215" s="104" t="n"/>
      <c r="BB215" s="104" t="n"/>
      <c r="BC215" s="104" t="n"/>
      <c r="BD215" s="104" t="n"/>
      <c r="BE215" s="104" t="n"/>
      <c r="BF215" s="104" t="n"/>
      <c r="BG215" s="104" t="n"/>
      <c r="BH215" s="104" t="n"/>
      <c r="BI215" s="104" t="n"/>
      <c r="BJ215" s="104" t="n"/>
      <c r="BK215" s="104" t="n"/>
      <c r="BL215" s="104" t="n"/>
      <c r="BM215" s="104" t="n"/>
      <c r="BN215" s="104" t="n"/>
      <c r="BO215" s="104" t="n"/>
      <c r="BP215" s="104" t="n"/>
      <c r="BQ215" s="104" t="n"/>
      <c r="BR215" s="104" t="n"/>
      <c r="BS215" s="104" t="n"/>
      <c r="BT215" s="104" t="n"/>
      <c r="BU215" s="104" t="n"/>
      <c r="BV215" s="104" t="n"/>
      <c r="BW215" s="104" t="n"/>
      <c r="BX215" s="104" t="n"/>
    </row>
    <row r="216">
      <c r="AC216" s="104" t="n"/>
      <c r="AD216" s="104" t="n"/>
      <c r="AE216" s="104" t="n"/>
      <c r="AF216" s="104" t="n"/>
      <c r="AG216" s="104" t="n"/>
      <c r="AH216" s="104" t="n"/>
      <c r="AI216" s="104" t="n"/>
      <c r="AJ216" s="104" t="n"/>
      <c r="AK216" s="104" t="n"/>
      <c r="AL216" s="104" t="n"/>
      <c r="AM216" s="104" t="n"/>
      <c r="AN216" s="104" t="n"/>
      <c r="AO216" s="104" t="n"/>
      <c r="AP216" s="104" t="n"/>
      <c r="AQ216" s="104" t="n"/>
      <c r="AR216" s="104" t="n"/>
      <c r="AS216" s="104" t="n"/>
      <c r="AT216" s="104" t="n"/>
      <c r="AU216" s="104" t="n"/>
      <c r="AV216" s="104" t="n"/>
      <c r="AW216" s="104" t="n"/>
      <c r="AX216" s="104" t="n"/>
      <c r="AY216" s="104" t="n"/>
      <c r="AZ216" s="104" t="n"/>
      <c r="BA216" s="104" t="n"/>
      <c r="BB216" s="104" t="n"/>
      <c r="BC216" s="104" t="n"/>
      <c r="BD216" s="104" t="n"/>
      <c r="BE216" s="104" t="n"/>
      <c r="BF216" s="104" t="n"/>
      <c r="BG216" s="104" t="n"/>
      <c r="BH216" s="104" t="n"/>
      <c r="BI216" s="104" t="n"/>
      <c r="BJ216" s="104" t="n"/>
      <c r="BK216" s="104" t="n"/>
      <c r="BL216" s="104" t="n"/>
      <c r="BM216" s="104" t="n"/>
      <c r="BN216" s="104" t="n"/>
      <c r="BO216" s="104" t="n"/>
      <c r="BP216" s="104" t="n"/>
      <c r="BQ216" s="104" t="n"/>
      <c r="BR216" s="104" t="n"/>
      <c r="BS216" s="104" t="n"/>
      <c r="BT216" s="104" t="n"/>
      <c r="BU216" s="104" t="n"/>
      <c r="BV216" s="104" t="n"/>
      <c r="BW216" s="104" t="n"/>
      <c r="BX216" s="104" t="n"/>
    </row>
    <row r="217">
      <c r="AC217" s="104" t="n"/>
      <c r="AD217" s="104" t="n"/>
      <c r="AE217" s="104" t="n"/>
      <c r="AF217" s="104" t="n"/>
      <c r="AG217" s="104" t="n"/>
      <c r="AH217" s="104" t="n"/>
      <c r="AI217" s="104" t="n"/>
      <c r="AJ217" s="104" t="n"/>
      <c r="AK217" s="104" t="n"/>
      <c r="AL217" s="104" t="n"/>
      <c r="AM217" s="104" t="n"/>
      <c r="AN217" s="104" t="n"/>
      <c r="AO217" s="104" t="n"/>
      <c r="AP217" s="104" t="n"/>
      <c r="AQ217" s="104" t="n"/>
      <c r="AR217" s="104" t="n"/>
      <c r="AS217" s="104" t="n"/>
      <c r="AT217" s="104" t="n"/>
      <c r="AU217" s="104" t="n"/>
      <c r="AV217" s="104" t="n"/>
      <c r="AW217" s="104" t="n"/>
      <c r="AX217" s="104" t="n"/>
      <c r="AY217" s="104" t="n"/>
      <c r="AZ217" s="104" t="n"/>
      <c r="BA217" s="104" t="n"/>
      <c r="BB217" s="104" t="n"/>
      <c r="BC217" s="104" t="n"/>
      <c r="BD217" s="104" t="n"/>
      <c r="BE217" s="104" t="n"/>
      <c r="BF217" s="104" t="n"/>
      <c r="BG217" s="104" t="n"/>
      <c r="BH217" s="104" t="n"/>
      <c r="BI217" s="104" t="n"/>
      <c r="BJ217" s="104" t="n"/>
      <c r="BK217" s="104" t="n"/>
      <c r="BL217" s="104" t="n"/>
      <c r="BM217" s="104" t="n"/>
      <c r="BN217" s="104" t="n"/>
      <c r="BO217" s="104" t="n"/>
      <c r="BP217" s="104" t="n"/>
      <c r="BQ217" s="104" t="n"/>
      <c r="BR217" s="104" t="n"/>
      <c r="BS217" s="104" t="n"/>
      <c r="BT217" s="104" t="n"/>
      <c r="BU217" s="104" t="n"/>
      <c r="BV217" s="104" t="n"/>
      <c r="BW217" s="104" t="n"/>
      <c r="BX217" s="104" t="n"/>
    </row>
    <row r="218">
      <c r="AC218" s="104" t="n"/>
      <c r="AD218" s="104" t="n"/>
      <c r="AE218" s="104" t="n"/>
      <c r="AF218" s="104" t="n"/>
      <c r="AG218" s="104" t="n"/>
      <c r="AH218" s="104" t="n"/>
      <c r="AI218" s="104" t="n"/>
      <c r="AJ218" s="104" t="n"/>
      <c r="AK218" s="104" t="n"/>
      <c r="AL218" s="104" t="n"/>
      <c r="AM218" s="104" t="n"/>
      <c r="AN218" s="104" t="n"/>
      <c r="AO218" s="104" t="n"/>
      <c r="AP218" s="104" t="n"/>
      <c r="AQ218" s="104" t="n"/>
      <c r="AR218" s="104" t="n"/>
      <c r="AS218" s="104" t="n"/>
      <c r="AT218" s="104" t="n"/>
      <c r="AU218" s="104" t="n"/>
      <c r="AV218" s="104" t="n"/>
      <c r="AW218" s="104" t="n"/>
      <c r="AX218" s="104" t="n"/>
      <c r="AY218" s="104" t="n"/>
      <c r="AZ218" s="104" t="n"/>
      <c r="BA218" s="104" t="n"/>
      <c r="BB218" s="104" t="n"/>
      <c r="BC218" s="104" t="n"/>
      <c r="BD218" s="104" t="n"/>
      <c r="BE218" s="104" t="n"/>
      <c r="BF218" s="104" t="n"/>
      <c r="BG218" s="104" t="n"/>
      <c r="BH218" s="104" t="n"/>
      <c r="BI218" s="104" t="n"/>
      <c r="BJ218" s="104" t="n"/>
      <c r="BK218" s="104" t="n"/>
      <c r="BL218" s="104" t="n"/>
      <c r="BM218" s="104" t="n"/>
      <c r="BN218" s="104" t="n"/>
      <c r="BO218" s="104" t="n"/>
      <c r="BP218" s="104" t="n"/>
      <c r="BQ218" s="104" t="n"/>
      <c r="BR218" s="104" t="n"/>
      <c r="BS218" s="104" t="n"/>
      <c r="BT218" s="104" t="n"/>
      <c r="BU218" s="104" t="n"/>
      <c r="BV218" s="104" t="n"/>
      <c r="BW218" s="104" t="n"/>
      <c r="BX218" s="104" t="n"/>
    </row>
    <row r="219">
      <c r="AC219" s="104" t="n"/>
      <c r="AD219" s="104" t="n"/>
      <c r="AE219" s="104" t="n"/>
      <c r="AF219" s="104" t="n"/>
      <c r="AG219" s="104" t="n"/>
      <c r="AH219" s="104" t="n"/>
      <c r="AI219" s="104" t="n"/>
      <c r="AJ219" s="104" t="n"/>
      <c r="AK219" s="104" t="n"/>
      <c r="AL219" s="104" t="n"/>
      <c r="AM219" s="104" t="n"/>
      <c r="AN219" s="104" t="n"/>
      <c r="AO219" s="104" t="n"/>
      <c r="AP219" s="104" t="n"/>
      <c r="AQ219" s="104" t="n"/>
      <c r="AR219" s="104" t="n"/>
      <c r="AS219" s="104" t="n"/>
      <c r="AT219" s="104" t="n"/>
      <c r="AU219" s="104" t="n"/>
      <c r="AV219" s="104" t="n"/>
      <c r="AW219" s="104" t="n"/>
      <c r="AX219" s="104" t="n"/>
      <c r="AY219" s="104" t="n"/>
      <c r="AZ219" s="104" t="n"/>
      <c r="BA219" s="104" t="n"/>
      <c r="BB219" s="104" t="n"/>
      <c r="BC219" s="104" t="n"/>
      <c r="BD219" s="104" t="n"/>
      <c r="BE219" s="104" t="n"/>
      <c r="BF219" s="104" t="n"/>
      <c r="BG219" s="104" t="n"/>
      <c r="BH219" s="104" t="n"/>
      <c r="BI219" s="104" t="n"/>
      <c r="BJ219" s="104" t="n"/>
      <c r="BK219" s="104" t="n"/>
      <c r="BL219" s="104" t="n"/>
      <c r="BM219" s="104" t="n"/>
      <c r="BN219" s="104" t="n"/>
      <c r="BO219" s="104" t="n"/>
      <c r="BP219" s="104" t="n"/>
      <c r="BQ219" s="104" t="n"/>
      <c r="BR219" s="104" t="n"/>
      <c r="BS219" s="104" t="n"/>
      <c r="BT219" s="104" t="n"/>
      <c r="BU219" s="104" t="n"/>
      <c r="BV219" s="104" t="n"/>
      <c r="BW219" s="104" t="n"/>
      <c r="BX219" s="104" t="n"/>
    </row>
    <row r="220">
      <c r="AC220" s="104" t="n"/>
      <c r="AD220" s="104" t="n"/>
      <c r="AE220" s="104" t="n"/>
      <c r="AF220" s="104" t="n"/>
      <c r="AG220" s="104" t="n"/>
      <c r="AH220" s="104" t="n"/>
      <c r="AI220" s="104" t="n"/>
      <c r="AJ220" s="104" t="n"/>
      <c r="AK220" s="104" t="n"/>
      <c r="AL220" s="104" t="n"/>
      <c r="AM220" s="104" t="n"/>
      <c r="AN220" s="104" t="n"/>
      <c r="AO220" s="104" t="n"/>
      <c r="AP220" s="104" t="n"/>
      <c r="AQ220" s="104" t="n"/>
      <c r="AR220" s="104" t="n"/>
      <c r="AS220" s="104" t="n"/>
      <c r="AT220" s="104" t="n"/>
      <c r="AU220" s="104" t="n"/>
      <c r="AV220" s="104" t="n"/>
      <c r="AW220" s="104" t="n"/>
      <c r="AX220" s="104" t="n"/>
      <c r="AY220" s="104" t="n"/>
      <c r="AZ220" s="104" t="n"/>
      <c r="BA220" s="104" t="n"/>
      <c r="BB220" s="104" t="n"/>
      <c r="BC220" s="104" t="n"/>
      <c r="BD220" s="104" t="n"/>
      <c r="BE220" s="104" t="n"/>
      <c r="BF220" s="104" t="n"/>
      <c r="BG220" s="104" t="n"/>
      <c r="BH220" s="104" t="n"/>
      <c r="BI220" s="104" t="n"/>
      <c r="BJ220" s="104" t="n"/>
      <c r="BK220" s="104" t="n"/>
      <c r="BL220" s="104" t="n"/>
      <c r="BM220" s="104" t="n"/>
      <c r="BN220" s="104" t="n"/>
      <c r="BO220" s="104" t="n"/>
      <c r="BP220" s="104" t="n"/>
      <c r="BQ220" s="104" t="n"/>
      <c r="BR220" s="104" t="n"/>
      <c r="BS220" s="104" t="n"/>
      <c r="BT220" s="104" t="n"/>
      <c r="BU220" s="104" t="n"/>
      <c r="BV220" s="104" t="n"/>
      <c r="BW220" s="104" t="n"/>
      <c r="BX220" s="104" t="n"/>
    </row>
    <row r="221">
      <c r="AC221" s="104" t="n"/>
      <c r="AD221" s="104" t="n"/>
      <c r="AE221" s="104" t="n"/>
      <c r="AF221" s="104" t="n"/>
      <c r="AG221" s="104" t="n"/>
      <c r="AH221" s="104" t="n"/>
      <c r="AI221" s="104" t="n"/>
      <c r="AJ221" s="104" t="n"/>
      <c r="AK221" s="104" t="n"/>
      <c r="AL221" s="104" t="n"/>
      <c r="AM221" s="104" t="n"/>
      <c r="AN221" s="104" t="n"/>
      <c r="AO221" s="104" t="n"/>
      <c r="AP221" s="104" t="n"/>
      <c r="AQ221" s="104" t="n"/>
      <c r="AR221" s="104" t="n"/>
      <c r="AS221" s="104" t="n"/>
      <c r="AT221" s="104" t="n"/>
      <c r="AU221" s="104" t="n"/>
      <c r="AV221" s="104" t="n"/>
      <c r="AW221" s="104" t="n"/>
      <c r="AX221" s="104" t="n"/>
      <c r="AY221" s="104" t="n"/>
      <c r="AZ221" s="104" t="n"/>
      <c r="BA221" s="104" t="n"/>
      <c r="BB221" s="104" t="n"/>
      <c r="BC221" s="104" t="n"/>
      <c r="BD221" s="104" t="n"/>
      <c r="BE221" s="104" t="n"/>
      <c r="BF221" s="104" t="n"/>
      <c r="BG221" s="104" t="n"/>
      <c r="BH221" s="104" t="n"/>
      <c r="BI221" s="104" t="n"/>
      <c r="BJ221" s="104" t="n"/>
      <c r="BK221" s="104" t="n"/>
      <c r="BL221" s="104" t="n"/>
      <c r="BM221" s="104" t="n"/>
      <c r="BN221" s="104" t="n"/>
      <c r="BO221" s="104" t="n"/>
      <c r="BP221" s="104" t="n"/>
      <c r="BQ221" s="104" t="n"/>
      <c r="BR221" s="104" t="n"/>
      <c r="BS221" s="104" t="n"/>
      <c r="BT221" s="104" t="n"/>
      <c r="BU221" s="104" t="n"/>
      <c r="BV221" s="104" t="n"/>
      <c r="BW221" s="104" t="n"/>
      <c r="BX221" s="104" t="n"/>
    </row>
    <row r="222">
      <c r="AC222" s="104" t="n"/>
      <c r="AD222" s="104" t="n"/>
      <c r="AE222" s="104" t="n"/>
      <c r="AF222" s="104" t="n"/>
      <c r="AG222" s="104" t="n"/>
      <c r="AH222" s="104" t="n"/>
      <c r="AI222" s="104" t="n"/>
      <c r="AJ222" s="104" t="n"/>
      <c r="AK222" s="104" t="n"/>
      <c r="AL222" s="104" t="n"/>
      <c r="AM222" s="104" t="n"/>
      <c r="AN222" s="104" t="n"/>
      <c r="AO222" s="104" t="n"/>
      <c r="AP222" s="104" t="n"/>
      <c r="AQ222" s="104" t="n"/>
      <c r="AR222" s="104" t="n"/>
      <c r="AS222" s="104" t="n"/>
      <c r="AT222" s="104" t="n"/>
      <c r="AU222" s="104" t="n"/>
      <c r="AV222" s="104" t="n"/>
      <c r="AW222" s="104" t="n"/>
      <c r="AX222" s="104" t="n"/>
      <c r="AY222" s="104" t="n"/>
      <c r="AZ222" s="104" t="n"/>
      <c r="BA222" s="104" t="n"/>
      <c r="BB222" s="104" t="n"/>
      <c r="BC222" s="104" t="n"/>
      <c r="BD222" s="104" t="n"/>
      <c r="BE222" s="104" t="n"/>
      <c r="BF222" s="104" t="n"/>
      <c r="BG222" s="104" t="n"/>
      <c r="BH222" s="104" t="n"/>
      <c r="BI222" s="104" t="n"/>
      <c r="BJ222" s="104" t="n"/>
      <c r="BK222" s="104" t="n"/>
      <c r="BL222" s="104" t="n"/>
      <c r="BM222" s="104" t="n"/>
      <c r="BN222" s="104" t="n"/>
      <c r="BO222" s="104" t="n"/>
      <c r="BP222" s="104" t="n"/>
      <c r="BQ222" s="104" t="n"/>
      <c r="BR222" s="104" t="n"/>
      <c r="BS222" s="104" t="n"/>
      <c r="BT222" s="104" t="n"/>
      <c r="BU222" s="104" t="n"/>
      <c r="BV222" s="104" t="n"/>
      <c r="BW222" s="104" t="n"/>
      <c r="BX222" s="104" t="n"/>
    </row>
    <row r="223">
      <c r="AC223" s="104" t="n"/>
      <c r="AD223" s="104" t="n"/>
      <c r="AE223" s="104" t="n"/>
      <c r="AF223" s="104" t="n"/>
      <c r="AG223" s="104" t="n"/>
      <c r="AH223" s="104" t="n"/>
      <c r="AI223" s="104" t="n"/>
      <c r="AJ223" s="104" t="n"/>
      <c r="AK223" s="104" t="n"/>
      <c r="AL223" s="104" t="n"/>
      <c r="AM223" s="104" t="n"/>
      <c r="AN223" s="104" t="n"/>
      <c r="AO223" s="104" t="n"/>
      <c r="AP223" s="104" t="n"/>
      <c r="AQ223" s="104" t="n"/>
      <c r="AR223" s="104" t="n"/>
      <c r="AS223" s="104" t="n"/>
      <c r="AT223" s="104" t="n"/>
      <c r="AU223" s="104" t="n"/>
      <c r="AV223" s="104" t="n"/>
      <c r="AW223" s="104" t="n"/>
      <c r="AX223" s="104" t="n"/>
      <c r="AY223" s="104" t="n"/>
      <c r="AZ223" s="104" t="n"/>
      <c r="BA223" s="104" t="n"/>
      <c r="BB223" s="104" t="n"/>
      <c r="BC223" s="104" t="n"/>
      <c r="BD223" s="104" t="n"/>
      <c r="BE223" s="104" t="n"/>
      <c r="BF223" s="104" t="n"/>
      <c r="BG223" s="104" t="n"/>
      <c r="BH223" s="104" t="n"/>
      <c r="BI223" s="104" t="n"/>
      <c r="BJ223" s="104" t="n"/>
      <c r="BK223" s="104" t="n"/>
      <c r="BL223" s="104" t="n"/>
      <c r="BM223" s="104" t="n"/>
      <c r="BN223" s="104" t="n"/>
      <c r="BO223" s="104" t="n"/>
      <c r="BP223" s="104" t="n"/>
      <c r="BQ223" s="104" t="n"/>
      <c r="BR223" s="104" t="n"/>
      <c r="BS223" s="104" t="n"/>
      <c r="BT223" s="104" t="n"/>
      <c r="BU223" s="104" t="n"/>
      <c r="BV223" s="104" t="n"/>
      <c r="BW223" s="104" t="n"/>
      <c r="BX223" s="104" t="n"/>
    </row>
    <row r="224">
      <c r="AC224" s="104" t="n"/>
      <c r="AD224" s="104" t="n"/>
      <c r="AE224" s="104" t="n"/>
      <c r="AF224" s="104" t="n"/>
      <c r="AG224" s="104" t="n"/>
      <c r="AH224" s="104" t="n"/>
      <c r="AI224" s="104" t="n"/>
      <c r="AJ224" s="104" t="n"/>
      <c r="AK224" s="104" t="n"/>
      <c r="AL224" s="104" t="n"/>
      <c r="AM224" s="104" t="n"/>
      <c r="AN224" s="104" t="n"/>
      <c r="AO224" s="104" t="n"/>
      <c r="AP224" s="104" t="n"/>
      <c r="AQ224" s="104" t="n"/>
      <c r="AR224" s="104" t="n"/>
      <c r="AS224" s="104" t="n"/>
      <c r="AT224" s="104" t="n"/>
      <c r="AU224" s="104" t="n"/>
      <c r="AV224" s="104" t="n"/>
      <c r="AW224" s="104" t="n"/>
      <c r="AX224" s="104" t="n"/>
      <c r="AY224" s="104" t="n"/>
      <c r="AZ224" s="104" t="n"/>
      <c r="BA224" s="104" t="n"/>
      <c r="BB224" s="104" t="n"/>
      <c r="BC224" s="104" t="n"/>
      <c r="BD224" s="104" t="n"/>
      <c r="BE224" s="104" t="n"/>
      <c r="BF224" s="104" t="n"/>
      <c r="BG224" s="104" t="n"/>
      <c r="BH224" s="104" t="n"/>
      <c r="BI224" s="104" t="n"/>
      <c r="BJ224" s="104" t="n"/>
      <c r="BK224" s="104" t="n"/>
      <c r="BL224" s="104" t="n"/>
      <c r="BM224" s="104" t="n"/>
      <c r="BN224" s="104" t="n"/>
      <c r="BO224" s="104" t="n"/>
      <c r="BP224" s="104" t="n"/>
      <c r="BQ224" s="104" t="n"/>
      <c r="BR224" s="104" t="n"/>
      <c r="BS224" s="104" t="n"/>
      <c r="BT224" s="104" t="n"/>
      <c r="BU224" s="104" t="n"/>
      <c r="BV224" s="104" t="n"/>
      <c r="BW224" s="104" t="n"/>
      <c r="BX224" s="104" t="n"/>
    </row>
    <row r="225">
      <c r="AC225" s="104" t="n"/>
      <c r="AD225" s="104" t="n"/>
      <c r="AE225" s="104" t="n"/>
      <c r="AF225" s="104" t="n"/>
      <c r="AG225" s="104" t="n"/>
      <c r="AH225" s="104" t="n"/>
      <c r="AI225" s="104" t="n"/>
      <c r="AJ225" s="104" t="n"/>
      <c r="AK225" s="104" t="n"/>
      <c r="AL225" s="104" t="n"/>
      <c r="AM225" s="104" t="n"/>
      <c r="AN225" s="104" t="n"/>
      <c r="AO225" s="104" t="n"/>
      <c r="AP225" s="104" t="n"/>
      <c r="AQ225" s="104" t="n"/>
      <c r="AR225" s="104" t="n"/>
      <c r="AS225" s="104" t="n"/>
      <c r="AT225" s="104" t="n"/>
      <c r="AU225" s="104" t="n"/>
      <c r="AV225" s="104" t="n"/>
      <c r="AW225" s="104" t="n"/>
      <c r="AX225" s="104" t="n"/>
      <c r="AY225" s="104" t="n"/>
      <c r="AZ225" s="104" t="n"/>
      <c r="BA225" s="104" t="n"/>
      <c r="BB225" s="104" t="n"/>
      <c r="BC225" s="104" t="n"/>
      <c r="BD225" s="104" t="n"/>
      <c r="BE225" s="104" t="n"/>
      <c r="BF225" s="104" t="n"/>
      <c r="BG225" s="104" t="n"/>
      <c r="BH225" s="104" t="n"/>
      <c r="BI225" s="104" t="n"/>
      <c r="BJ225" s="104" t="n"/>
      <c r="BK225" s="104" t="n"/>
      <c r="BL225" s="104" t="n"/>
      <c r="BM225" s="104" t="n"/>
      <c r="BN225" s="104" t="n"/>
      <c r="BO225" s="104" t="n"/>
      <c r="BP225" s="104" t="n"/>
      <c r="BQ225" s="104" t="n"/>
      <c r="BR225" s="104" t="n"/>
      <c r="BS225" s="104" t="n"/>
      <c r="BT225" s="104" t="n"/>
      <c r="BU225" s="104" t="n"/>
      <c r="BV225" s="104" t="n"/>
      <c r="BW225" s="104" t="n"/>
      <c r="BX225" s="104" t="n"/>
    </row>
    <row r="226">
      <c r="AC226" s="104" t="n"/>
      <c r="AD226" s="104" t="n"/>
      <c r="AE226" s="104" t="n"/>
      <c r="AF226" s="104" t="n"/>
      <c r="AG226" s="104" t="n"/>
      <c r="AH226" s="104" t="n"/>
      <c r="AI226" s="104" t="n"/>
      <c r="AJ226" s="104" t="n"/>
      <c r="AK226" s="104" t="n"/>
      <c r="AL226" s="104" t="n"/>
      <c r="AM226" s="104" t="n"/>
      <c r="AN226" s="104" t="n"/>
      <c r="AO226" s="104" t="n"/>
      <c r="AP226" s="104" t="n"/>
      <c r="AQ226" s="104" t="n"/>
      <c r="AR226" s="104" t="n"/>
      <c r="AS226" s="104" t="n"/>
      <c r="AT226" s="104" t="n"/>
      <c r="AU226" s="104" t="n"/>
      <c r="AV226" s="104" t="n"/>
      <c r="AW226" s="104" t="n"/>
      <c r="AX226" s="104" t="n"/>
      <c r="AY226" s="104" t="n"/>
      <c r="AZ226" s="104" t="n"/>
      <c r="BA226" s="104" t="n"/>
      <c r="BB226" s="104" t="n"/>
      <c r="BC226" s="104" t="n"/>
      <c r="BD226" s="104" t="n"/>
      <c r="BE226" s="104" t="n"/>
      <c r="BF226" s="104" t="n"/>
      <c r="BG226" s="104" t="n"/>
      <c r="BH226" s="104" t="n"/>
      <c r="BI226" s="104" t="n"/>
      <c r="BJ226" s="104" t="n"/>
      <c r="BK226" s="104" t="n"/>
      <c r="BL226" s="104" t="n"/>
      <c r="BM226" s="104" t="n"/>
      <c r="BN226" s="104" t="n"/>
      <c r="BO226" s="104" t="n"/>
      <c r="BP226" s="104" t="n"/>
      <c r="BQ226" s="104" t="n"/>
      <c r="BR226" s="104" t="n"/>
      <c r="BS226" s="104" t="n"/>
      <c r="BT226" s="104" t="n"/>
      <c r="BU226" s="104" t="n"/>
      <c r="BV226" s="104" t="n"/>
      <c r="BW226" s="104" t="n"/>
      <c r="BX226" s="104" t="n"/>
    </row>
    <row r="227">
      <c r="AC227" s="104" t="n"/>
      <c r="AD227" s="104" t="n"/>
      <c r="AE227" s="104" t="n"/>
      <c r="AF227" s="104" t="n"/>
      <c r="AG227" s="104" t="n"/>
      <c r="AH227" s="104" t="n"/>
      <c r="AI227" s="104" t="n"/>
      <c r="AJ227" s="104" t="n"/>
      <c r="AK227" s="104" t="n"/>
      <c r="AL227" s="104" t="n"/>
      <c r="AM227" s="104" t="n"/>
      <c r="AN227" s="104" t="n"/>
      <c r="AO227" s="104" t="n"/>
      <c r="AP227" s="104" t="n"/>
      <c r="AQ227" s="104" t="n"/>
      <c r="AR227" s="104" t="n"/>
      <c r="AS227" s="104" t="n"/>
      <c r="AT227" s="104" t="n"/>
      <c r="AU227" s="104" t="n"/>
      <c r="AV227" s="104" t="n"/>
      <c r="AW227" s="104" t="n"/>
      <c r="AX227" s="104" t="n"/>
      <c r="AY227" s="104" t="n"/>
      <c r="AZ227" s="104" t="n"/>
      <c r="BA227" s="104" t="n"/>
      <c r="BB227" s="104" t="n"/>
      <c r="BC227" s="104" t="n"/>
      <c r="BD227" s="104" t="n"/>
      <c r="BE227" s="104" t="n"/>
      <c r="BF227" s="104" t="n"/>
      <c r="BG227" s="104" t="n"/>
      <c r="BH227" s="104" t="n"/>
      <c r="BI227" s="104" t="n"/>
      <c r="BJ227" s="104" t="n"/>
      <c r="BK227" s="104" t="n"/>
      <c r="BL227" s="104" t="n"/>
      <c r="BM227" s="104" t="n"/>
      <c r="BN227" s="104" t="n"/>
      <c r="BO227" s="104" t="n"/>
      <c r="BP227" s="104" t="n"/>
      <c r="BQ227" s="104" t="n"/>
      <c r="BR227" s="104" t="n"/>
      <c r="BS227" s="104" t="n"/>
      <c r="BT227" s="104" t="n"/>
      <c r="BU227" s="104" t="n"/>
      <c r="BV227" s="104" t="n"/>
      <c r="BW227" s="104" t="n"/>
      <c r="BX227" s="104" t="n"/>
    </row>
    <row r="228">
      <c r="AC228" s="104" t="n"/>
      <c r="AD228" s="104" t="n"/>
      <c r="AE228" s="104" t="n"/>
      <c r="AF228" s="104" t="n"/>
      <c r="AG228" s="104" t="n"/>
      <c r="AH228" s="104" t="n"/>
      <c r="AI228" s="104" t="n"/>
      <c r="AJ228" s="104" t="n"/>
      <c r="AK228" s="104" t="n"/>
      <c r="AL228" s="104" t="n"/>
      <c r="AM228" s="104" t="n"/>
      <c r="AN228" s="104" t="n"/>
      <c r="AO228" s="104" t="n"/>
      <c r="AP228" s="104" t="n"/>
      <c r="AQ228" s="104" t="n"/>
      <c r="AR228" s="104" t="n"/>
      <c r="AS228" s="104" t="n"/>
      <c r="AT228" s="104" t="n"/>
      <c r="AU228" s="104" t="n"/>
      <c r="AV228" s="104" t="n"/>
      <c r="AW228" s="104" t="n"/>
      <c r="AX228" s="104" t="n"/>
      <c r="AY228" s="104" t="n"/>
      <c r="AZ228" s="104" t="n"/>
      <c r="BA228" s="104" t="n"/>
      <c r="BB228" s="104" t="n"/>
      <c r="BC228" s="104" t="n"/>
      <c r="BD228" s="104" t="n"/>
      <c r="BE228" s="104" t="n"/>
      <c r="BF228" s="104" t="n"/>
      <c r="BG228" s="104" t="n"/>
      <c r="BH228" s="104" t="n"/>
      <c r="BI228" s="104" t="n"/>
      <c r="BJ228" s="104" t="n"/>
      <c r="BK228" s="104" t="n"/>
      <c r="BL228" s="104" t="n"/>
      <c r="BM228" s="104" t="n"/>
      <c r="BN228" s="104" t="n"/>
      <c r="BO228" s="104" t="n"/>
      <c r="BP228" s="104" t="n"/>
      <c r="BQ228" s="104" t="n"/>
      <c r="BR228" s="104" t="n"/>
      <c r="BS228" s="104" t="n"/>
      <c r="BT228" s="104" t="n"/>
      <c r="BU228" s="104" t="n"/>
      <c r="BV228" s="104" t="n"/>
      <c r="BW228" s="104" t="n"/>
      <c r="BX228" s="104" t="n"/>
    </row>
    <row r="229">
      <c r="AC229" s="104" t="n"/>
      <c r="AD229" s="104" t="n"/>
      <c r="AE229" s="104" t="n"/>
      <c r="AF229" s="104" t="n"/>
      <c r="AG229" s="104" t="n"/>
      <c r="AH229" s="104" t="n"/>
      <c r="AI229" s="104" t="n"/>
      <c r="AJ229" s="104" t="n"/>
      <c r="AK229" s="104" t="n"/>
      <c r="AL229" s="104" t="n"/>
      <c r="AM229" s="104" t="n"/>
      <c r="AN229" s="104" t="n"/>
      <c r="AO229" s="104" t="n"/>
      <c r="AP229" s="104" t="n"/>
      <c r="AQ229" s="104" t="n"/>
      <c r="AR229" s="104" t="n"/>
      <c r="AS229" s="104" t="n"/>
      <c r="AT229" s="104" t="n"/>
      <c r="AU229" s="104" t="n"/>
      <c r="AV229" s="104" t="n"/>
      <c r="AW229" s="104" t="n"/>
      <c r="AX229" s="104" t="n"/>
      <c r="AY229" s="104" t="n"/>
      <c r="AZ229" s="104" t="n"/>
      <c r="BA229" s="104" t="n"/>
      <c r="BB229" s="104" t="n"/>
      <c r="BC229" s="104" t="n"/>
      <c r="BD229" s="104" t="n"/>
      <c r="BE229" s="104" t="n"/>
      <c r="BF229" s="104" t="n"/>
      <c r="BG229" s="104" t="n"/>
      <c r="BH229" s="104" t="n"/>
      <c r="BI229" s="104" t="n"/>
      <c r="BJ229" s="104" t="n"/>
      <c r="BK229" s="104" t="n"/>
      <c r="BL229" s="104" t="n"/>
      <c r="BM229" s="104" t="n"/>
      <c r="BN229" s="104" t="n"/>
      <c r="BO229" s="104" t="n"/>
      <c r="BP229" s="104" t="n"/>
      <c r="BQ229" s="104" t="n"/>
      <c r="BR229" s="104" t="n"/>
      <c r="BS229" s="104" t="n"/>
      <c r="BT229" s="104" t="n"/>
      <c r="BU229" s="104" t="n"/>
      <c r="BV229" s="104" t="n"/>
      <c r="BW229" s="104" t="n"/>
      <c r="BX229" s="104" t="n"/>
    </row>
    <row r="230">
      <c r="AC230" s="104" t="n"/>
      <c r="AD230" s="104" t="n"/>
      <c r="AE230" s="104" t="n"/>
      <c r="AF230" s="104" t="n"/>
      <c r="AG230" s="104" t="n"/>
      <c r="AH230" s="104" t="n"/>
      <c r="AI230" s="104" t="n"/>
      <c r="AJ230" s="104" t="n"/>
      <c r="AK230" s="104" t="n"/>
      <c r="AL230" s="104" t="n"/>
      <c r="AM230" s="104" t="n"/>
      <c r="AN230" s="104" t="n"/>
      <c r="AO230" s="104" t="n"/>
      <c r="AP230" s="104" t="n"/>
      <c r="AQ230" s="104" t="n"/>
      <c r="AR230" s="104" t="n"/>
      <c r="AS230" s="104" t="n"/>
      <c r="AT230" s="104" t="n"/>
      <c r="AU230" s="104" t="n"/>
      <c r="AV230" s="104" t="n"/>
      <c r="AW230" s="104" t="n"/>
      <c r="AX230" s="104" t="n"/>
      <c r="AY230" s="104" t="n"/>
      <c r="AZ230" s="104" t="n"/>
      <c r="BA230" s="104" t="n"/>
      <c r="BB230" s="104" t="n"/>
      <c r="BC230" s="104" t="n"/>
      <c r="BD230" s="104" t="n"/>
      <c r="BE230" s="104" t="n"/>
      <c r="BF230" s="104" t="n"/>
      <c r="BG230" s="104" t="n"/>
      <c r="BH230" s="104" t="n"/>
      <c r="BI230" s="104" t="n"/>
      <c r="BJ230" s="104" t="n"/>
      <c r="BK230" s="104" t="n"/>
      <c r="BL230" s="104" t="n"/>
      <c r="BM230" s="104" t="n"/>
      <c r="BN230" s="104" t="n"/>
      <c r="BO230" s="104" t="n"/>
      <c r="BP230" s="104" t="n"/>
      <c r="BQ230" s="104" t="n"/>
      <c r="BR230" s="104" t="n"/>
      <c r="BS230" s="104" t="n"/>
      <c r="BT230" s="104" t="n"/>
      <c r="BU230" s="104" t="n"/>
      <c r="BV230" s="104" t="n"/>
      <c r="BW230" s="104" t="n"/>
      <c r="BX230" s="104" t="n"/>
    </row>
    <row r="231">
      <c r="AC231" s="104" t="n"/>
      <c r="AD231" s="104" t="n"/>
      <c r="AE231" s="104" t="n"/>
      <c r="AF231" s="104" t="n"/>
      <c r="AG231" s="104" t="n"/>
      <c r="AH231" s="104" t="n"/>
      <c r="AI231" s="104" t="n"/>
      <c r="AJ231" s="104" t="n"/>
      <c r="AK231" s="104" t="n"/>
      <c r="AL231" s="104" t="n"/>
      <c r="AM231" s="104" t="n"/>
      <c r="AN231" s="104" t="n"/>
      <c r="AO231" s="104" t="n"/>
      <c r="AP231" s="104" t="n"/>
      <c r="AQ231" s="104" t="n"/>
      <c r="AR231" s="104" t="n"/>
      <c r="AS231" s="104" t="n"/>
      <c r="AT231" s="104" t="n"/>
      <c r="AU231" s="104" t="n"/>
      <c r="AV231" s="104" t="n"/>
      <c r="AW231" s="104" t="n"/>
      <c r="AX231" s="104" t="n"/>
      <c r="AY231" s="104" t="n"/>
      <c r="AZ231" s="104" t="n"/>
      <c r="BA231" s="104" t="n"/>
      <c r="BB231" s="104" t="n"/>
      <c r="BC231" s="104" t="n"/>
      <c r="BD231" s="104" t="n"/>
      <c r="BE231" s="104" t="n"/>
      <c r="BF231" s="104" t="n"/>
      <c r="BG231" s="104" t="n"/>
      <c r="BH231" s="104" t="n"/>
      <c r="BI231" s="104" t="n"/>
      <c r="BJ231" s="104" t="n"/>
      <c r="BK231" s="104" t="n"/>
      <c r="BL231" s="104" t="n"/>
      <c r="BM231" s="104" t="n"/>
      <c r="BN231" s="104" t="n"/>
      <c r="BO231" s="104" t="n"/>
      <c r="BP231" s="104" t="n"/>
      <c r="BQ231" s="104" t="n"/>
      <c r="BR231" s="104" t="n"/>
      <c r="BS231" s="104" t="n"/>
      <c r="BT231" s="104" t="n"/>
      <c r="BU231" s="104" t="n"/>
      <c r="BV231" s="104" t="n"/>
      <c r="BW231" s="104" t="n"/>
      <c r="BX231" s="104" t="n"/>
    </row>
    <row r="232">
      <c r="AC232" s="104" t="n"/>
      <c r="AD232" s="104" t="n"/>
      <c r="AE232" s="104" t="n"/>
      <c r="AF232" s="104" t="n"/>
      <c r="AG232" s="104" t="n"/>
      <c r="AH232" s="104" t="n"/>
      <c r="AI232" s="104" t="n"/>
      <c r="AJ232" s="104" t="n"/>
      <c r="AK232" s="104" t="n"/>
      <c r="AL232" s="104" t="n"/>
      <c r="AM232" s="104" t="n"/>
      <c r="AN232" s="104" t="n"/>
      <c r="AO232" s="104" t="n"/>
      <c r="AP232" s="104" t="n"/>
      <c r="AQ232" s="104" t="n"/>
      <c r="AR232" s="104" t="n"/>
      <c r="AS232" s="104" t="n"/>
      <c r="AT232" s="104" t="n"/>
      <c r="AU232" s="104" t="n"/>
      <c r="AV232" s="104" t="n"/>
      <c r="AW232" s="104" t="n"/>
      <c r="AX232" s="104" t="n"/>
      <c r="AY232" s="104" t="n"/>
      <c r="AZ232" s="104" t="n"/>
      <c r="BA232" s="104" t="n"/>
      <c r="BB232" s="104" t="n"/>
      <c r="BC232" s="104" t="n"/>
      <c r="BD232" s="104" t="n"/>
      <c r="BE232" s="104" t="n"/>
      <c r="BF232" s="104" t="n"/>
      <c r="BG232" s="104" t="n"/>
      <c r="BH232" s="104" t="n"/>
      <c r="BI232" s="104" t="n"/>
      <c r="BJ232" s="104" t="n"/>
      <c r="BK232" s="104" t="n"/>
      <c r="BL232" s="104" t="n"/>
      <c r="BM232" s="104" t="n"/>
      <c r="BN232" s="104" t="n"/>
      <c r="BO232" s="104" t="n"/>
      <c r="BP232" s="104" t="n"/>
      <c r="BQ232" s="104" t="n"/>
      <c r="BR232" s="104" t="n"/>
      <c r="BS232" s="104" t="n"/>
      <c r="BT232" s="104" t="n"/>
      <c r="BU232" s="104" t="n"/>
      <c r="BV232" s="104" t="n"/>
      <c r="BW232" s="104" t="n"/>
      <c r="BX232" s="104" t="n"/>
    </row>
    <row r="233">
      <c r="AC233" s="104" t="n"/>
      <c r="AD233" s="104" t="n"/>
      <c r="AE233" s="104" t="n"/>
      <c r="AF233" s="104" t="n"/>
      <c r="AG233" s="104" t="n"/>
      <c r="AH233" s="104" t="n"/>
      <c r="AI233" s="104" t="n"/>
      <c r="AJ233" s="104" t="n"/>
      <c r="AK233" s="104" t="n"/>
      <c r="AL233" s="104" t="n"/>
      <c r="AM233" s="104" t="n"/>
      <c r="AN233" s="104" t="n"/>
      <c r="AO233" s="104" t="n"/>
      <c r="AP233" s="104" t="n"/>
      <c r="AQ233" s="104" t="n"/>
      <c r="AR233" s="104" t="n"/>
      <c r="AS233" s="104" t="n"/>
      <c r="AT233" s="104" t="n"/>
      <c r="AU233" s="104" t="n"/>
      <c r="AV233" s="104" t="n"/>
      <c r="AW233" s="104" t="n"/>
      <c r="AX233" s="104" t="n"/>
      <c r="AY233" s="104" t="n"/>
      <c r="AZ233" s="104" t="n"/>
      <c r="BA233" s="104" t="n"/>
      <c r="BB233" s="104" t="n"/>
      <c r="BC233" s="104" t="n"/>
      <c r="BD233" s="104" t="n"/>
      <c r="BE233" s="104" t="n"/>
      <c r="BF233" s="104" t="n"/>
      <c r="BG233" s="104" t="n"/>
      <c r="BH233" s="104" t="n"/>
      <c r="BI233" s="104" t="n"/>
      <c r="BJ233" s="104" t="n"/>
      <c r="BK233" s="104" t="n"/>
      <c r="BL233" s="104" t="n"/>
      <c r="BM233" s="104" t="n"/>
      <c r="BN233" s="104" t="n"/>
      <c r="BO233" s="104" t="n"/>
      <c r="BP233" s="104" t="n"/>
      <c r="BQ233" s="104" t="n"/>
      <c r="BR233" s="104" t="n"/>
      <c r="BS233" s="104" t="n"/>
      <c r="BT233" s="104" t="n"/>
      <c r="BU233" s="104" t="n"/>
      <c r="BV233" s="104" t="n"/>
      <c r="BW233" s="104" t="n"/>
      <c r="BX233" s="104" t="n"/>
    </row>
    <row r="234">
      <c r="AC234" s="104" t="n"/>
      <c r="AD234" s="104" t="n"/>
      <c r="AE234" s="104" t="n"/>
      <c r="AF234" s="104" t="n"/>
      <c r="AG234" s="104" t="n"/>
      <c r="AH234" s="104" t="n"/>
      <c r="AI234" s="104" t="n"/>
      <c r="AJ234" s="104" t="n"/>
      <c r="AK234" s="104" t="n"/>
      <c r="AL234" s="104" t="n"/>
      <c r="AM234" s="104" t="n"/>
      <c r="AN234" s="104" t="n"/>
      <c r="AO234" s="104" t="n"/>
      <c r="AP234" s="104" t="n"/>
      <c r="AQ234" s="104" t="n"/>
      <c r="AR234" s="104" t="n"/>
      <c r="AS234" s="104" t="n"/>
      <c r="AT234" s="104" t="n"/>
      <c r="AU234" s="104" t="n"/>
      <c r="AV234" s="104" t="n"/>
      <c r="AW234" s="104" t="n"/>
      <c r="AX234" s="104" t="n"/>
      <c r="AY234" s="104" t="n"/>
      <c r="AZ234" s="104" t="n"/>
      <c r="BA234" s="104" t="n"/>
      <c r="BB234" s="104" t="n"/>
      <c r="BC234" s="104" t="n"/>
      <c r="BD234" s="104" t="n"/>
      <c r="BE234" s="104" t="n"/>
      <c r="BF234" s="104" t="n"/>
      <c r="BG234" s="104" t="n"/>
      <c r="BH234" s="104" t="n"/>
      <c r="BI234" s="104" t="n"/>
      <c r="BJ234" s="104" t="n"/>
      <c r="BK234" s="104" t="n"/>
      <c r="BL234" s="104" t="n"/>
      <c r="BM234" s="104" t="n"/>
      <c r="BN234" s="104" t="n"/>
      <c r="BO234" s="104" t="n"/>
      <c r="BP234" s="104" t="n"/>
      <c r="BQ234" s="104" t="n"/>
      <c r="BR234" s="104" t="n"/>
      <c r="BS234" s="104" t="n"/>
      <c r="BT234" s="104" t="n"/>
      <c r="BU234" s="104" t="n"/>
      <c r="BV234" s="104" t="n"/>
      <c r="BW234" s="104" t="n"/>
      <c r="BX234" s="104" t="n"/>
    </row>
    <row r="235">
      <c r="AC235" s="104" t="n"/>
      <c r="AD235" s="104" t="n"/>
      <c r="AE235" s="104" t="n"/>
      <c r="AF235" s="104" t="n"/>
      <c r="AG235" s="104" t="n"/>
      <c r="AH235" s="104" t="n"/>
      <c r="AI235" s="104" t="n"/>
      <c r="AJ235" s="104" t="n"/>
      <c r="AK235" s="104" t="n"/>
      <c r="AL235" s="104" t="n"/>
      <c r="AM235" s="104" t="n"/>
      <c r="AN235" s="104" t="n"/>
      <c r="AO235" s="104" t="n"/>
      <c r="AP235" s="104" t="n"/>
      <c r="AQ235" s="104" t="n"/>
      <c r="AR235" s="104" t="n"/>
      <c r="AS235" s="104" t="n"/>
      <c r="AT235" s="104" t="n"/>
      <c r="AU235" s="104" t="n"/>
      <c r="AV235" s="104" t="n"/>
      <c r="AW235" s="104" t="n"/>
      <c r="AX235" s="104" t="n"/>
      <c r="AY235" s="104" t="n"/>
      <c r="AZ235" s="104" t="n"/>
      <c r="BA235" s="104" t="n"/>
      <c r="BB235" s="104" t="n"/>
      <c r="BC235" s="104" t="n"/>
      <c r="BD235" s="104" t="n"/>
      <c r="BE235" s="104" t="n"/>
      <c r="BF235" s="104" t="n"/>
      <c r="BG235" s="104" t="n"/>
      <c r="BH235" s="104" t="n"/>
      <c r="BI235" s="104" t="n"/>
      <c r="BJ235" s="104" t="n"/>
      <c r="BK235" s="104" t="n"/>
      <c r="BL235" s="104" t="n"/>
      <c r="BM235" s="104" t="n"/>
      <c r="BN235" s="104" t="n"/>
      <c r="BO235" s="104" t="n"/>
      <c r="BP235" s="104" t="n"/>
      <c r="BQ235" s="104" t="n"/>
      <c r="BR235" s="104" t="n"/>
      <c r="BS235" s="104" t="n"/>
      <c r="BT235" s="104" t="n"/>
      <c r="BU235" s="104" t="n"/>
      <c r="BV235" s="104" t="n"/>
      <c r="BW235" s="104" t="n"/>
      <c r="BX235" s="104" t="n"/>
    </row>
    <row r="236">
      <c r="AC236" s="104" t="n"/>
      <c r="AD236" s="104" t="n"/>
      <c r="AE236" s="104" t="n"/>
      <c r="AF236" s="104" t="n"/>
      <c r="AG236" s="104" t="n"/>
      <c r="AH236" s="104" t="n"/>
      <c r="AI236" s="104" t="n"/>
      <c r="AJ236" s="104" t="n"/>
      <c r="AK236" s="104" t="n"/>
      <c r="AL236" s="104" t="n"/>
      <c r="AM236" s="104" t="n"/>
      <c r="AN236" s="104" t="n"/>
      <c r="AO236" s="104" t="n"/>
      <c r="AP236" s="104" t="n"/>
      <c r="AQ236" s="104" t="n"/>
      <c r="AR236" s="104" t="n"/>
      <c r="AS236" s="104" t="n"/>
      <c r="AT236" s="104" t="n"/>
      <c r="AU236" s="104" t="n"/>
      <c r="AV236" s="104" t="n"/>
      <c r="AW236" s="104" t="n"/>
      <c r="AX236" s="104" t="n"/>
      <c r="AY236" s="104" t="n"/>
      <c r="AZ236" s="104" t="n"/>
      <c r="BA236" s="104" t="n"/>
      <c r="BB236" s="104" t="n"/>
      <c r="BC236" s="104" t="n"/>
      <c r="BD236" s="104" t="n"/>
      <c r="BE236" s="104" t="n"/>
      <c r="BF236" s="104" t="n"/>
      <c r="BG236" s="104" t="n"/>
      <c r="BH236" s="104" t="n"/>
      <c r="BI236" s="104" t="n"/>
      <c r="BJ236" s="104" t="n"/>
      <c r="BK236" s="104" t="n"/>
      <c r="BL236" s="104" t="n"/>
      <c r="BM236" s="104" t="n"/>
      <c r="BN236" s="104" t="n"/>
      <c r="BO236" s="104" t="n"/>
      <c r="BP236" s="104" t="n"/>
      <c r="BQ236" s="104" t="n"/>
      <c r="BR236" s="104" t="n"/>
      <c r="BS236" s="104" t="n"/>
      <c r="BT236" s="104" t="n"/>
      <c r="BU236" s="104" t="n"/>
      <c r="BV236" s="104" t="n"/>
      <c r="BW236" s="104" t="n"/>
      <c r="BX236" s="104" t="n"/>
    </row>
    <row r="237">
      <c r="AC237" s="104" t="n"/>
      <c r="AD237" s="104" t="n"/>
      <c r="AE237" s="104" t="n"/>
      <c r="AF237" s="104" t="n"/>
      <c r="AG237" s="104" t="n"/>
      <c r="AH237" s="104" t="n"/>
      <c r="AI237" s="104" t="n"/>
      <c r="AJ237" s="104" t="n"/>
      <c r="AK237" s="104" t="n"/>
      <c r="AL237" s="104" t="n"/>
      <c r="AM237" s="104" t="n"/>
      <c r="AN237" s="104" t="n"/>
      <c r="AO237" s="104" t="n"/>
      <c r="AP237" s="104" t="n"/>
      <c r="AQ237" s="104" t="n"/>
      <c r="AR237" s="104" t="n"/>
      <c r="AS237" s="104" t="n"/>
      <c r="AT237" s="104" t="n"/>
      <c r="AU237" s="104" t="n"/>
      <c r="AV237" s="104" t="n"/>
      <c r="AW237" s="104" t="n"/>
      <c r="AX237" s="104" t="n"/>
      <c r="AY237" s="104" t="n"/>
      <c r="AZ237" s="104" t="n"/>
      <c r="BA237" s="104" t="n"/>
      <c r="BB237" s="104" t="n"/>
      <c r="BC237" s="104" t="n"/>
      <c r="BD237" s="104" t="n"/>
      <c r="BE237" s="104" t="n"/>
      <c r="BF237" s="104" t="n"/>
      <c r="BG237" s="104" t="n"/>
      <c r="BH237" s="104" t="n"/>
      <c r="BI237" s="104" t="n"/>
      <c r="BJ237" s="104" t="n"/>
      <c r="BK237" s="104" t="n"/>
      <c r="BL237" s="104" t="n"/>
      <c r="BM237" s="104" t="n"/>
      <c r="BN237" s="104" t="n"/>
      <c r="BO237" s="104" t="n"/>
      <c r="BP237" s="104" t="n"/>
      <c r="BQ237" s="104" t="n"/>
      <c r="BR237" s="104" t="n"/>
      <c r="BS237" s="104" t="n"/>
      <c r="BT237" s="104" t="n"/>
      <c r="BU237" s="104" t="n"/>
      <c r="BV237" s="104" t="n"/>
      <c r="BW237" s="104" t="n"/>
      <c r="BX237" s="104" t="n"/>
    </row>
    <row r="238">
      <c r="AC238" s="104" t="n"/>
      <c r="AD238" s="104" t="n"/>
      <c r="AE238" s="104" t="n"/>
      <c r="AF238" s="104" t="n"/>
      <c r="AG238" s="104" t="n"/>
      <c r="AH238" s="104" t="n"/>
      <c r="AI238" s="104" t="n"/>
      <c r="AJ238" s="104" t="n"/>
      <c r="AK238" s="104" t="n"/>
      <c r="AL238" s="104" t="n"/>
      <c r="AM238" s="104" t="n"/>
      <c r="AN238" s="104" t="n"/>
      <c r="AO238" s="104" t="n"/>
      <c r="AP238" s="104" t="n"/>
      <c r="AQ238" s="104" t="n"/>
      <c r="AR238" s="104" t="n"/>
      <c r="AS238" s="104" t="n"/>
      <c r="AT238" s="104" t="n"/>
      <c r="AU238" s="104" t="n"/>
      <c r="AV238" s="104" t="n"/>
      <c r="AW238" s="104" t="n"/>
      <c r="AX238" s="104" t="n"/>
      <c r="AY238" s="104" t="n"/>
      <c r="AZ238" s="104" t="n"/>
      <c r="BA238" s="104" t="n"/>
      <c r="BB238" s="104" t="n"/>
      <c r="BC238" s="104" t="n"/>
      <c r="BD238" s="104" t="n"/>
      <c r="BE238" s="104" t="n"/>
      <c r="BF238" s="104" t="n"/>
      <c r="BG238" s="104" t="n"/>
      <c r="BH238" s="104" t="n"/>
      <c r="BI238" s="104" t="n"/>
      <c r="BJ238" s="104" t="n"/>
      <c r="BK238" s="104" t="n"/>
      <c r="BL238" s="104" t="n"/>
      <c r="BM238" s="104" t="n"/>
      <c r="BN238" s="104" t="n"/>
      <c r="BO238" s="104" t="n"/>
      <c r="BP238" s="104" t="n"/>
      <c r="BQ238" s="104" t="n"/>
      <c r="BR238" s="104" t="n"/>
      <c r="BS238" s="104" t="n"/>
      <c r="BT238" s="104" t="n"/>
      <c r="BU238" s="104" t="n"/>
      <c r="BV238" s="104" t="n"/>
      <c r="BW238" s="104" t="n"/>
      <c r="BX238" s="104" t="n"/>
    </row>
    <row r="239">
      <c r="AC239" s="104" t="n"/>
      <c r="AD239" s="104" t="n"/>
      <c r="AE239" s="104" t="n"/>
      <c r="AF239" s="104" t="n"/>
      <c r="AG239" s="104" t="n"/>
      <c r="AH239" s="104" t="n"/>
      <c r="AI239" s="104" t="n"/>
      <c r="AJ239" s="104" t="n"/>
      <c r="AK239" s="104" t="n"/>
      <c r="AL239" s="104" t="n"/>
      <c r="AM239" s="104" t="n"/>
      <c r="AN239" s="104" t="n"/>
      <c r="AO239" s="104" t="n"/>
      <c r="AP239" s="104" t="n"/>
      <c r="AQ239" s="104" t="n"/>
      <c r="AR239" s="104" t="n"/>
      <c r="AS239" s="104" t="n"/>
      <c r="AT239" s="104" t="n"/>
      <c r="AU239" s="104" t="n"/>
      <c r="AV239" s="104" t="n"/>
      <c r="AW239" s="104" t="n"/>
      <c r="AX239" s="104" t="n"/>
      <c r="AY239" s="104" t="n"/>
      <c r="AZ239" s="104" t="n"/>
      <c r="BA239" s="104" t="n"/>
      <c r="BB239" s="104" t="n"/>
      <c r="BC239" s="104" t="n"/>
      <c r="BD239" s="104" t="n"/>
      <c r="BE239" s="104" t="n"/>
      <c r="BF239" s="104" t="n"/>
      <c r="BG239" s="104" t="n"/>
      <c r="BH239" s="104" t="n"/>
      <c r="BI239" s="104" t="n"/>
      <c r="BJ239" s="104" t="n"/>
      <c r="BK239" s="104" t="n"/>
      <c r="BL239" s="104" t="n"/>
      <c r="BM239" s="104" t="n"/>
      <c r="BN239" s="104" t="n"/>
      <c r="BO239" s="104" t="n"/>
      <c r="BP239" s="104" t="n"/>
      <c r="BQ239" s="104" t="n"/>
      <c r="BR239" s="104" t="n"/>
      <c r="BS239" s="104" t="n"/>
      <c r="BT239" s="104" t="n"/>
      <c r="BU239" s="104" t="n"/>
      <c r="BV239" s="104" t="n"/>
      <c r="BW239" s="104" t="n"/>
      <c r="BX239" s="104" t="n"/>
    </row>
    <row r="240">
      <c r="AC240" s="104" t="n"/>
      <c r="AD240" s="104" t="n"/>
      <c r="AE240" s="104" t="n"/>
      <c r="AF240" s="104" t="n"/>
      <c r="AG240" s="104" t="n"/>
      <c r="AH240" s="104" t="n"/>
      <c r="AI240" s="104" t="n"/>
      <c r="AJ240" s="104" t="n"/>
      <c r="AK240" s="104" t="n"/>
      <c r="AL240" s="104" t="n"/>
      <c r="AM240" s="104" t="n"/>
      <c r="AN240" s="104" t="n"/>
      <c r="AO240" s="104" t="n"/>
      <c r="AP240" s="104" t="n"/>
      <c r="AQ240" s="104" t="n"/>
      <c r="AR240" s="104" t="n"/>
      <c r="AS240" s="104" t="n"/>
      <c r="AT240" s="104" t="n"/>
      <c r="AU240" s="104" t="n"/>
      <c r="AV240" s="104" t="n"/>
      <c r="AW240" s="104" t="n"/>
      <c r="AX240" s="104" t="n"/>
      <c r="AY240" s="104" t="n"/>
      <c r="AZ240" s="104" t="n"/>
      <c r="BA240" s="104" t="n"/>
      <c r="BB240" s="104" t="n"/>
      <c r="BC240" s="104" t="n"/>
      <c r="BD240" s="104" t="n"/>
      <c r="BE240" s="104" t="n"/>
      <c r="BF240" s="104" t="n"/>
      <c r="BG240" s="104" t="n"/>
      <c r="BH240" s="104" t="n"/>
      <c r="BI240" s="104" t="n"/>
      <c r="BJ240" s="104" t="n"/>
      <c r="BK240" s="104" t="n"/>
      <c r="BL240" s="104" t="n"/>
      <c r="BM240" s="104" t="n"/>
      <c r="BN240" s="104" t="n"/>
      <c r="BO240" s="104" t="n"/>
      <c r="BP240" s="104" t="n"/>
      <c r="BQ240" s="104" t="n"/>
      <c r="BR240" s="104" t="n"/>
      <c r="BS240" s="104" t="n"/>
      <c r="BT240" s="104" t="n"/>
      <c r="BU240" s="104" t="n"/>
      <c r="BV240" s="104" t="n"/>
      <c r="BW240" s="104" t="n"/>
      <c r="BX240" s="104" t="n"/>
    </row>
    <row r="241">
      <c r="AC241" s="104" t="n"/>
      <c r="AD241" s="104" t="n"/>
      <c r="AE241" s="104" t="n"/>
      <c r="AF241" s="104" t="n"/>
      <c r="AG241" s="104" t="n"/>
      <c r="AH241" s="104" t="n"/>
      <c r="AI241" s="104" t="n"/>
      <c r="AJ241" s="104" t="n"/>
      <c r="AK241" s="104" t="n"/>
      <c r="AL241" s="104" t="n"/>
      <c r="AM241" s="104" t="n"/>
      <c r="AN241" s="104" t="n"/>
      <c r="AO241" s="104" t="n"/>
      <c r="AP241" s="104" t="n"/>
      <c r="AQ241" s="104" t="n"/>
      <c r="AR241" s="104" t="n"/>
      <c r="AS241" s="104" t="n"/>
      <c r="AT241" s="104" t="n"/>
      <c r="AU241" s="104" t="n"/>
      <c r="AV241" s="104" t="n"/>
      <c r="AW241" s="104" t="n"/>
      <c r="AX241" s="104" t="n"/>
      <c r="AY241" s="104" t="n"/>
      <c r="AZ241" s="104" t="n"/>
      <c r="BA241" s="104" t="n"/>
      <c r="BB241" s="104" t="n"/>
      <c r="BC241" s="104" t="n"/>
      <c r="BD241" s="104" t="n"/>
      <c r="BE241" s="104" t="n"/>
      <c r="BF241" s="104" t="n"/>
      <c r="BG241" s="104" t="n"/>
      <c r="BH241" s="104" t="n"/>
      <c r="BI241" s="104" t="n"/>
      <c r="BJ241" s="104" t="n"/>
      <c r="BK241" s="104" t="n"/>
      <c r="BL241" s="104" t="n"/>
      <c r="BM241" s="104" t="n"/>
      <c r="BN241" s="104" t="n"/>
      <c r="BO241" s="104" t="n"/>
      <c r="BP241" s="104" t="n"/>
      <c r="BQ241" s="104" t="n"/>
      <c r="BR241" s="104" t="n"/>
      <c r="BS241" s="104" t="n"/>
      <c r="BT241" s="104" t="n"/>
      <c r="BU241" s="104" t="n"/>
      <c r="BV241" s="104" t="n"/>
      <c r="BW241" s="104" t="n"/>
      <c r="BX241" s="104" t="n"/>
    </row>
    <row r="242">
      <c r="AC242" s="104" t="n"/>
      <c r="AD242" s="104" t="n"/>
      <c r="AE242" s="104" t="n"/>
      <c r="AF242" s="104" t="n"/>
      <c r="AG242" s="104" t="n"/>
      <c r="AH242" s="104" t="n"/>
      <c r="AI242" s="104" t="n"/>
      <c r="AJ242" s="104" t="n"/>
      <c r="AK242" s="104" t="n"/>
      <c r="AL242" s="104" t="n"/>
      <c r="AM242" s="104" t="n"/>
      <c r="AN242" s="104" t="n"/>
      <c r="AO242" s="104" t="n"/>
      <c r="AP242" s="104" t="n"/>
      <c r="AQ242" s="104" t="n"/>
      <c r="AR242" s="104" t="n"/>
      <c r="AS242" s="104" t="n"/>
      <c r="AT242" s="104" t="n"/>
      <c r="AU242" s="104" t="n"/>
      <c r="AV242" s="104" t="n"/>
      <c r="AW242" s="104" t="n"/>
      <c r="AX242" s="104" t="n"/>
      <c r="AY242" s="104" t="n"/>
      <c r="AZ242" s="104" t="n"/>
      <c r="BA242" s="104" t="n"/>
      <c r="BB242" s="104" t="n"/>
      <c r="BC242" s="104" t="n"/>
      <c r="BD242" s="104" t="n"/>
      <c r="BE242" s="104" t="n"/>
      <c r="BF242" s="104" t="n"/>
      <c r="BG242" s="104" t="n"/>
      <c r="BH242" s="104" t="n"/>
      <c r="BI242" s="104" t="n"/>
      <c r="BJ242" s="104" t="n"/>
      <c r="BK242" s="104" t="n"/>
      <c r="BL242" s="104" t="n"/>
      <c r="BM242" s="104" t="n"/>
      <c r="BN242" s="104" t="n"/>
      <c r="BO242" s="104" t="n"/>
      <c r="BP242" s="104" t="n"/>
      <c r="BQ242" s="104" t="n"/>
      <c r="BR242" s="104" t="n"/>
      <c r="BS242" s="104" t="n"/>
      <c r="BT242" s="104" t="n"/>
      <c r="BU242" s="104" t="n"/>
      <c r="BV242" s="104" t="n"/>
      <c r="BW242" s="104" t="n"/>
      <c r="BX242" s="104" t="n"/>
    </row>
    <row r="243">
      <c r="AC243" s="104" t="n"/>
      <c r="AD243" s="104" t="n"/>
      <c r="AE243" s="104" t="n"/>
      <c r="AF243" s="104" t="n"/>
      <c r="AG243" s="104" t="n"/>
      <c r="AH243" s="104" t="n"/>
      <c r="AI243" s="104" t="n"/>
      <c r="AJ243" s="104" t="n"/>
      <c r="AK243" s="104" t="n"/>
      <c r="AL243" s="104" t="n"/>
      <c r="AM243" s="104" t="n"/>
      <c r="AN243" s="104" t="n"/>
      <c r="AO243" s="104" t="n"/>
      <c r="AP243" s="104" t="n"/>
      <c r="AQ243" s="104" t="n"/>
      <c r="AR243" s="104" t="n"/>
      <c r="AS243" s="104" t="n"/>
      <c r="AT243" s="104" t="n"/>
      <c r="AU243" s="104" t="n"/>
      <c r="AV243" s="104" t="n"/>
      <c r="AW243" s="104" t="n"/>
      <c r="AX243" s="104" t="n"/>
      <c r="AY243" s="104" t="n"/>
      <c r="AZ243" s="104" t="n"/>
      <c r="BA243" s="104" t="n"/>
      <c r="BB243" s="104" t="n"/>
      <c r="BC243" s="104" t="n"/>
      <c r="BD243" s="104" t="n"/>
      <c r="BE243" s="104" t="n"/>
      <c r="BF243" s="104" t="n"/>
      <c r="BG243" s="104" t="n"/>
      <c r="BH243" s="104" t="n"/>
      <c r="BI243" s="104" t="n"/>
      <c r="BJ243" s="104" t="n"/>
      <c r="BK243" s="104" t="n"/>
      <c r="BL243" s="104" t="n"/>
      <c r="BM243" s="104" t="n"/>
      <c r="BN243" s="104" t="n"/>
      <c r="BO243" s="104" t="n"/>
      <c r="BP243" s="104" t="n"/>
      <c r="BQ243" s="104" t="n"/>
      <c r="BR243" s="104" t="n"/>
      <c r="BS243" s="104" t="n"/>
      <c r="BT243" s="104" t="n"/>
      <c r="BU243" s="104" t="n"/>
      <c r="BV243" s="104" t="n"/>
      <c r="BW243" s="104" t="n"/>
      <c r="BX243" s="104" t="n"/>
    </row>
    <row r="244">
      <c r="AC244" s="104" t="n"/>
      <c r="AD244" s="104" t="n"/>
      <c r="AE244" s="104" t="n"/>
      <c r="AF244" s="104" t="n"/>
      <c r="AG244" s="104" t="n"/>
      <c r="AH244" s="104" t="n"/>
      <c r="AI244" s="104" t="n"/>
      <c r="AJ244" s="104" t="n"/>
      <c r="AK244" s="104" t="n"/>
      <c r="AL244" s="104" t="n"/>
      <c r="AM244" s="104" t="n"/>
      <c r="AN244" s="104" t="n"/>
      <c r="AO244" s="104" t="n"/>
      <c r="AP244" s="104" t="n"/>
      <c r="AQ244" s="104" t="n"/>
      <c r="AR244" s="104" t="n"/>
      <c r="AS244" s="104" t="n"/>
      <c r="AT244" s="104" t="n"/>
      <c r="AU244" s="104" t="n"/>
      <c r="AV244" s="104" t="n"/>
      <c r="AW244" s="104" t="n"/>
      <c r="AX244" s="104" t="n"/>
      <c r="AY244" s="104" t="n"/>
      <c r="AZ244" s="104" t="n"/>
      <c r="BA244" s="104" t="n"/>
      <c r="BB244" s="104" t="n"/>
      <c r="BC244" s="104" t="n"/>
      <c r="BD244" s="104" t="n"/>
      <c r="BE244" s="104" t="n"/>
      <c r="BF244" s="104" t="n"/>
      <c r="BG244" s="104" t="n"/>
      <c r="BH244" s="104" t="n"/>
      <c r="BI244" s="104" t="n"/>
      <c r="BJ244" s="104" t="n"/>
      <c r="BK244" s="104" t="n"/>
      <c r="BL244" s="104" t="n"/>
      <c r="BM244" s="104" t="n"/>
      <c r="BN244" s="104" t="n"/>
      <c r="BO244" s="104" t="n"/>
      <c r="BP244" s="104" t="n"/>
      <c r="BQ244" s="104" t="n"/>
      <c r="BR244" s="104" t="n"/>
      <c r="BS244" s="104" t="n"/>
      <c r="BT244" s="104" t="n"/>
      <c r="BU244" s="104" t="n"/>
      <c r="BV244" s="104" t="n"/>
      <c r="BW244" s="104" t="n"/>
      <c r="BX244" s="104" t="n"/>
    </row>
    <row r="245">
      <c r="AC245" s="104" t="n"/>
      <c r="AD245" s="104" t="n"/>
      <c r="AE245" s="104" t="n"/>
      <c r="AF245" s="104" t="n"/>
      <c r="AG245" s="104" t="n"/>
      <c r="AH245" s="104" t="n"/>
      <c r="AI245" s="104" t="n"/>
      <c r="AJ245" s="104" t="n"/>
      <c r="AK245" s="104" t="n"/>
      <c r="AL245" s="104" t="n"/>
      <c r="AM245" s="104" t="n"/>
      <c r="AN245" s="104" t="n"/>
      <c r="AO245" s="104" t="n"/>
      <c r="AP245" s="104" t="n"/>
      <c r="AQ245" s="104" t="n"/>
      <c r="AR245" s="104" t="n"/>
      <c r="AS245" s="104" t="n"/>
      <c r="AT245" s="104" t="n"/>
      <c r="AU245" s="104" t="n"/>
      <c r="AV245" s="104" t="n"/>
      <c r="AW245" s="104" t="n"/>
      <c r="AX245" s="104" t="n"/>
      <c r="AY245" s="104" t="n"/>
      <c r="AZ245" s="104" t="n"/>
      <c r="BA245" s="104" t="n"/>
      <c r="BB245" s="104" t="n"/>
      <c r="BC245" s="104" t="n"/>
      <c r="BD245" s="104" t="n"/>
      <c r="BE245" s="104" t="n"/>
      <c r="BF245" s="104" t="n"/>
      <c r="BG245" s="104" t="n"/>
      <c r="BH245" s="104" t="n"/>
      <c r="BI245" s="104" t="n"/>
      <c r="BJ245" s="104" t="n"/>
      <c r="BK245" s="104" t="n"/>
      <c r="BL245" s="104" t="n"/>
      <c r="BM245" s="104" t="n"/>
      <c r="BN245" s="104" t="n"/>
      <c r="BO245" s="104" t="n"/>
      <c r="BP245" s="104" t="n"/>
      <c r="BQ245" s="104" t="n"/>
      <c r="BR245" s="104" t="n"/>
      <c r="BS245" s="104" t="n"/>
      <c r="BT245" s="104" t="n"/>
      <c r="BU245" s="104" t="n"/>
      <c r="BV245" s="104" t="n"/>
      <c r="BW245" s="104" t="n"/>
      <c r="BX245" s="104" t="n"/>
    </row>
    <row r="246">
      <c r="AC246" s="104" t="n"/>
      <c r="AD246" s="104" t="n"/>
      <c r="AE246" s="104" t="n"/>
      <c r="AF246" s="104" t="n"/>
      <c r="AG246" s="104" t="n"/>
      <c r="AH246" s="104" t="n"/>
      <c r="AI246" s="104" t="n"/>
      <c r="AJ246" s="104" t="n"/>
      <c r="AK246" s="104" t="n"/>
      <c r="AL246" s="104" t="n"/>
      <c r="AM246" s="104" t="n"/>
      <c r="AN246" s="104" t="n"/>
      <c r="AO246" s="104" t="n"/>
      <c r="AP246" s="104" t="n"/>
      <c r="AQ246" s="104" t="n"/>
      <c r="AR246" s="104" t="n"/>
      <c r="AS246" s="104" t="n"/>
      <c r="AT246" s="104" t="n"/>
      <c r="AU246" s="104" t="n"/>
      <c r="AV246" s="104" t="n"/>
      <c r="AW246" s="104" t="n"/>
      <c r="AX246" s="104" t="n"/>
      <c r="AY246" s="104" t="n"/>
      <c r="AZ246" s="104" t="n"/>
      <c r="BA246" s="104" t="n"/>
      <c r="BB246" s="104" t="n"/>
      <c r="BC246" s="104" t="n"/>
      <c r="BD246" s="104" t="n"/>
      <c r="BE246" s="104" t="n"/>
      <c r="BF246" s="104" t="n"/>
      <c r="BG246" s="104" t="n"/>
      <c r="BH246" s="104" t="n"/>
      <c r="BI246" s="104" t="n"/>
      <c r="BJ246" s="104" t="n"/>
      <c r="BK246" s="104" t="n"/>
      <c r="BL246" s="104" t="n"/>
      <c r="BM246" s="104" t="n"/>
      <c r="BN246" s="104" t="n"/>
      <c r="BO246" s="104" t="n"/>
      <c r="BP246" s="104" t="n"/>
      <c r="BQ246" s="104" t="n"/>
      <c r="BR246" s="104" t="n"/>
      <c r="BS246" s="104" t="n"/>
      <c r="BT246" s="104" t="n"/>
      <c r="BU246" s="104" t="n"/>
      <c r="BV246" s="104" t="n"/>
      <c r="BW246" s="104" t="n"/>
      <c r="BX246" s="104" t="n"/>
    </row>
    <row r="247">
      <c r="AC247" s="104" t="n"/>
      <c r="AD247" s="104" t="n"/>
      <c r="AE247" s="104" t="n"/>
      <c r="AF247" s="104" t="n"/>
      <c r="AG247" s="104" t="n"/>
      <c r="AH247" s="104" t="n"/>
      <c r="AI247" s="104" t="n"/>
      <c r="AJ247" s="104" t="n"/>
      <c r="AK247" s="104" t="n"/>
      <c r="AL247" s="104" t="n"/>
      <c r="AM247" s="104" t="n"/>
      <c r="AN247" s="104" t="n"/>
      <c r="AO247" s="104" t="n"/>
      <c r="AP247" s="104" t="n"/>
      <c r="AQ247" s="104" t="n"/>
      <c r="AR247" s="104" t="n"/>
      <c r="AS247" s="104" t="n"/>
      <c r="AT247" s="104" t="n"/>
      <c r="AU247" s="104" t="n"/>
      <c r="AV247" s="104" t="n"/>
      <c r="AW247" s="104" t="n"/>
      <c r="AX247" s="104" t="n"/>
      <c r="AY247" s="104" t="n"/>
      <c r="AZ247" s="104" t="n"/>
      <c r="BA247" s="104" t="n"/>
      <c r="BB247" s="104" t="n"/>
      <c r="BC247" s="104" t="n"/>
      <c r="BD247" s="104" t="n"/>
      <c r="BE247" s="104" t="n"/>
      <c r="BF247" s="104" t="n"/>
      <c r="BG247" s="104" t="n"/>
      <c r="BH247" s="104" t="n"/>
      <c r="BI247" s="104" t="n"/>
      <c r="BJ247" s="104" t="n"/>
      <c r="BK247" s="104" t="n"/>
      <c r="BL247" s="104" t="n"/>
      <c r="BM247" s="104" t="n"/>
      <c r="BN247" s="104" t="n"/>
      <c r="BO247" s="104" t="n"/>
      <c r="BP247" s="104" t="n"/>
      <c r="BQ247" s="104" t="n"/>
      <c r="BR247" s="104" t="n"/>
      <c r="BS247" s="104" t="n"/>
      <c r="BT247" s="104" t="n"/>
      <c r="BU247" s="104" t="n"/>
      <c r="BV247" s="104" t="n"/>
      <c r="BW247" s="104" t="n"/>
      <c r="BX247" s="104" t="n"/>
    </row>
    <row r="248">
      <c r="AC248" s="104" t="n"/>
      <c r="AD248" s="104" t="n"/>
      <c r="AE248" s="104" t="n"/>
      <c r="AF248" s="104" t="n"/>
      <c r="AG248" s="104" t="n"/>
      <c r="AH248" s="104" t="n"/>
      <c r="AI248" s="104" t="n"/>
      <c r="AJ248" s="104" t="n"/>
      <c r="AK248" s="104" t="n"/>
      <c r="AL248" s="104" t="n"/>
      <c r="AM248" s="104" t="n"/>
      <c r="AN248" s="104" t="n"/>
      <c r="AO248" s="104" t="n"/>
      <c r="AP248" s="104" t="n"/>
      <c r="AQ248" s="104" t="n"/>
      <c r="AR248" s="104" t="n"/>
      <c r="AS248" s="104" t="n"/>
      <c r="AT248" s="104" t="n"/>
      <c r="AU248" s="104" t="n"/>
      <c r="AV248" s="104" t="n"/>
      <c r="AW248" s="104" t="n"/>
      <c r="AX248" s="104" t="n"/>
      <c r="AY248" s="104" t="n"/>
      <c r="AZ248" s="104" t="n"/>
      <c r="BA248" s="104" t="n"/>
      <c r="BB248" s="104" t="n"/>
      <c r="BC248" s="104" t="n"/>
      <c r="BD248" s="104" t="n"/>
      <c r="BE248" s="104" t="n"/>
      <c r="BF248" s="104" t="n"/>
      <c r="BG248" s="104" t="n"/>
      <c r="BH248" s="104" t="n"/>
      <c r="BI248" s="104" t="n"/>
      <c r="BJ248" s="104" t="n"/>
      <c r="BK248" s="104" t="n"/>
      <c r="BL248" s="104" t="n"/>
      <c r="BM248" s="104" t="n"/>
      <c r="BN248" s="104" t="n"/>
      <c r="BO248" s="104" t="n"/>
      <c r="BP248" s="104" t="n"/>
      <c r="BQ248" s="104" t="n"/>
      <c r="BR248" s="104" t="n"/>
      <c r="BS248" s="104" t="n"/>
      <c r="BT248" s="104" t="n"/>
      <c r="BU248" s="104" t="n"/>
      <c r="BV248" s="104" t="n"/>
      <c r="BW248" s="104" t="n"/>
      <c r="BX248" s="104" t="n"/>
    </row>
    <row r="249">
      <c r="AC249" s="104" t="n"/>
      <c r="AD249" s="104" t="n"/>
      <c r="AE249" s="104" t="n"/>
      <c r="AF249" s="104" t="n"/>
      <c r="AG249" s="104" t="n"/>
      <c r="AH249" s="104" t="n"/>
      <c r="AI249" s="104" t="n"/>
      <c r="AJ249" s="104" t="n"/>
      <c r="AK249" s="104" t="n"/>
      <c r="AL249" s="104" t="n"/>
      <c r="AM249" s="104" t="n"/>
      <c r="AN249" s="104" t="n"/>
      <c r="AO249" s="104" t="n"/>
      <c r="AP249" s="104" t="n"/>
      <c r="AQ249" s="104" t="n"/>
      <c r="AR249" s="104" t="n"/>
      <c r="AS249" s="104" t="n"/>
      <c r="AT249" s="104" t="n"/>
      <c r="AU249" s="104" t="n"/>
      <c r="AV249" s="104" t="n"/>
      <c r="AW249" s="104" t="n"/>
      <c r="AX249" s="104" t="n"/>
      <c r="AY249" s="104" t="n"/>
      <c r="AZ249" s="104" t="n"/>
      <c r="BA249" s="104" t="n"/>
      <c r="BB249" s="104" t="n"/>
      <c r="BC249" s="104" t="n"/>
      <c r="BD249" s="104" t="n"/>
      <c r="BE249" s="104" t="n"/>
      <c r="BF249" s="104" t="n"/>
      <c r="BG249" s="104" t="n"/>
      <c r="BH249" s="104" t="n"/>
      <c r="BI249" s="104" t="n"/>
      <c r="BJ249" s="104" t="n"/>
      <c r="BK249" s="104" t="n"/>
      <c r="BL249" s="104" t="n"/>
      <c r="BM249" s="104" t="n"/>
      <c r="BN249" s="104" t="n"/>
      <c r="BO249" s="104" t="n"/>
      <c r="BP249" s="104" t="n"/>
      <c r="BQ249" s="104" t="n"/>
      <c r="BR249" s="104" t="n"/>
      <c r="BS249" s="104" t="n"/>
      <c r="BT249" s="104" t="n"/>
      <c r="BU249" s="104" t="n"/>
      <c r="BV249" s="104" t="n"/>
      <c r="BW249" s="104" t="n"/>
      <c r="BX249" s="104" t="n"/>
    </row>
    <row r="250">
      <c r="AC250" s="104" t="n"/>
      <c r="AD250" s="104" t="n"/>
      <c r="AE250" s="104" t="n"/>
      <c r="AF250" s="104" t="n"/>
      <c r="AG250" s="104" t="n"/>
      <c r="AH250" s="104" t="n"/>
      <c r="AI250" s="104" t="n"/>
      <c r="AJ250" s="104" t="n"/>
      <c r="AK250" s="104" t="n"/>
      <c r="AL250" s="104" t="n"/>
      <c r="AM250" s="104" t="n"/>
      <c r="AN250" s="104" t="n"/>
      <c r="AO250" s="104" t="n"/>
      <c r="AP250" s="104" t="n"/>
      <c r="AQ250" s="104" t="n"/>
      <c r="AR250" s="104" t="n"/>
      <c r="AS250" s="104" t="n"/>
      <c r="AT250" s="104" t="n"/>
      <c r="AU250" s="104" t="n"/>
      <c r="AV250" s="104" t="n"/>
      <c r="AW250" s="104" t="n"/>
      <c r="AX250" s="104" t="n"/>
      <c r="AY250" s="104" t="n"/>
      <c r="AZ250" s="104" t="n"/>
      <c r="BA250" s="104" t="n"/>
      <c r="BB250" s="104" t="n"/>
      <c r="BC250" s="104" t="n"/>
      <c r="BD250" s="104" t="n"/>
      <c r="BE250" s="104" t="n"/>
      <c r="BF250" s="104" t="n"/>
      <c r="BG250" s="104" t="n"/>
      <c r="BH250" s="104" t="n"/>
      <c r="BI250" s="104" t="n"/>
      <c r="BJ250" s="104" t="n"/>
      <c r="BK250" s="104" t="n"/>
      <c r="BL250" s="104" t="n"/>
      <c r="BM250" s="104" t="n"/>
      <c r="BN250" s="104" t="n"/>
      <c r="BO250" s="104" t="n"/>
      <c r="BP250" s="104" t="n"/>
      <c r="BQ250" s="104" t="n"/>
      <c r="BR250" s="104" t="n"/>
      <c r="BS250" s="104" t="n"/>
      <c r="BT250" s="104" t="n"/>
      <c r="BU250" s="104" t="n"/>
      <c r="BV250" s="104" t="n"/>
      <c r="BW250" s="104" t="n"/>
      <c r="BX250" s="104" t="n"/>
    </row>
    <row r="251">
      <c r="AC251" s="104" t="n"/>
      <c r="AD251" s="104" t="n"/>
      <c r="AE251" s="104" t="n"/>
      <c r="AF251" s="104" t="n"/>
      <c r="AG251" s="104" t="n"/>
      <c r="AH251" s="104" t="n"/>
      <c r="AI251" s="104" t="n"/>
      <c r="AJ251" s="104" t="n"/>
      <c r="AK251" s="104" t="n"/>
      <c r="AL251" s="104" t="n"/>
      <c r="AM251" s="104" t="n"/>
      <c r="AN251" s="104" t="n"/>
      <c r="AO251" s="104" t="n"/>
      <c r="AP251" s="104" t="n"/>
      <c r="AQ251" s="104" t="n"/>
      <c r="AR251" s="104" t="n"/>
      <c r="AS251" s="104" t="n"/>
      <c r="AT251" s="104" t="n"/>
      <c r="AU251" s="104" t="n"/>
      <c r="AV251" s="104" t="n"/>
      <c r="AW251" s="104" t="n"/>
      <c r="AX251" s="104" t="n"/>
      <c r="AY251" s="104" t="n"/>
      <c r="AZ251" s="104" t="n"/>
      <c r="BA251" s="104" t="n"/>
      <c r="BB251" s="104" t="n"/>
      <c r="BC251" s="104" t="n"/>
      <c r="BD251" s="104" t="n"/>
      <c r="BE251" s="104" t="n"/>
      <c r="BF251" s="104" t="n"/>
      <c r="BG251" s="104" t="n"/>
      <c r="BH251" s="104" t="n"/>
      <c r="BI251" s="104" t="n"/>
      <c r="BJ251" s="104" t="n"/>
      <c r="BK251" s="104" t="n"/>
      <c r="BL251" s="104" t="n"/>
      <c r="BM251" s="104" t="n"/>
      <c r="BN251" s="104" t="n"/>
      <c r="BO251" s="104" t="n"/>
      <c r="BP251" s="104" t="n"/>
      <c r="BQ251" s="104" t="n"/>
      <c r="BR251" s="104" t="n"/>
      <c r="BS251" s="104" t="n"/>
      <c r="BT251" s="104" t="n"/>
      <c r="BU251" s="104" t="n"/>
      <c r="BV251" s="104" t="n"/>
      <c r="BW251" s="104" t="n"/>
      <c r="BX251" s="104" t="n"/>
    </row>
    <row r="252">
      <c r="AC252" s="104" t="n"/>
      <c r="AD252" s="104" t="n"/>
      <c r="AE252" s="104" t="n"/>
      <c r="AF252" s="104" t="n"/>
      <c r="AG252" s="104" t="n"/>
      <c r="AH252" s="104" t="n"/>
      <c r="AI252" s="104" t="n"/>
      <c r="AJ252" s="104" t="n"/>
      <c r="AK252" s="104" t="n"/>
      <c r="AL252" s="104" t="n"/>
      <c r="AM252" s="104" t="n"/>
      <c r="AN252" s="104" t="n"/>
      <c r="AO252" s="104" t="n"/>
      <c r="AP252" s="104" t="n"/>
      <c r="AQ252" s="104" t="n"/>
      <c r="AR252" s="104" t="n"/>
      <c r="AS252" s="104" t="n"/>
      <c r="AT252" s="104" t="n"/>
      <c r="AU252" s="104" t="n"/>
      <c r="AV252" s="104" t="n"/>
      <c r="AW252" s="104" t="n"/>
      <c r="AX252" s="104" t="n"/>
      <c r="AY252" s="104" t="n"/>
      <c r="AZ252" s="104" t="n"/>
      <c r="BA252" s="104" t="n"/>
      <c r="BB252" s="104" t="n"/>
      <c r="BC252" s="104" t="n"/>
      <c r="BD252" s="104" t="n"/>
      <c r="BE252" s="104" t="n"/>
      <c r="BF252" s="104" t="n"/>
      <c r="BG252" s="104" t="n"/>
      <c r="BH252" s="104" t="n"/>
      <c r="BI252" s="104" t="n"/>
      <c r="BJ252" s="104" t="n"/>
      <c r="BK252" s="104" t="n"/>
      <c r="BL252" s="104" t="n"/>
      <c r="BM252" s="104" t="n"/>
      <c r="BN252" s="104" t="n"/>
      <c r="BO252" s="104" t="n"/>
      <c r="BP252" s="104" t="n"/>
      <c r="BQ252" s="104" t="n"/>
      <c r="BR252" s="104" t="n"/>
      <c r="BS252" s="104" t="n"/>
      <c r="BT252" s="104" t="n"/>
      <c r="BU252" s="104" t="n"/>
      <c r="BV252" s="104" t="n"/>
      <c r="BW252" s="104" t="n"/>
      <c r="BX252" s="104" t="n"/>
    </row>
    <row r="253">
      <c r="AC253" s="104" t="n"/>
      <c r="AD253" s="104" t="n"/>
      <c r="AE253" s="104" t="n"/>
      <c r="AF253" s="104" t="n"/>
      <c r="AG253" s="104" t="n"/>
      <c r="AH253" s="104" t="n"/>
      <c r="AI253" s="104" t="n"/>
      <c r="AJ253" s="104" t="n"/>
      <c r="AK253" s="104" t="n"/>
      <c r="AL253" s="104" t="n"/>
      <c r="AM253" s="104" t="n"/>
      <c r="AN253" s="104" t="n"/>
      <c r="AO253" s="104" t="n"/>
      <c r="AP253" s="104" t="n"/>
      <c r="AQ253" s="104" t="n"/>
      <c r="AR253" s="104" t="n"/>
      <c r="AS253" s="104" t="n"/>
      <c r="AT253" s="104" t="n"/>
      <c r="AU253" s="104" t="n"/>
      <c r="AV253" s="104" t="n"/>
      <c r="AW253" s="104" t="n"/>
      <c r="AX253" s="104" t="n"/>
      <c r="AY253" s="104" t="n"/>
      <c r="AZ253" s="104" t="n"/>
      <c r="BA253" s="104" t="n"/>
      <c r="BB253" s="104" t="n"/>
      <c r="BC253" s="104" t="n"/>
      <c r="BD253" s="104" t="n"/>
      <c r="BE253" s="104" t="n"/>
      <c r="BF253" s="104" t="n"/>
      <c r="BG253" s="104" t="n"/>
      <c r="BH253" s="104" t="n"/>
      <c r="BI253" s="104" t="n"/>
      <c r="BJ253" s="104" t="n"/>
      <c r="BK253" s="104" t="n"/>
      <c r="BL253" s="104" t="n"/>
      <c r="BM253" s="104" t="n"/>
      <c r="BN253" s="104" t="n"/>
      <c r="BO253" s="104" t="n"/>
      <c r="BP253" s="104" t="n"/>
      <c r="BQ253" s="104" t="n"/>
      <c r="BR253" s="104" t="n"/>
      <c r="BS253" s="104" t="n"/>
      <c r="BT253" s="104" t="n"/>
      <c r="BU253" s="104" t="n"/>
      <c r="BV253" s="104" t="n"/>
      <c r="BW253" s="104" t="n"/>
      <c r="BX253" s="104" t="n"/>
    </row>
    <row r="254">
      <c r="AC254" s="104" t="n"/>
      <c r="AD254" s="104" t="n"/>
      <c r="AE254" s="104" t="n"/>
      <c r="AF254" s="104" t="n"/>
      <c r="AG254" s="104" t="n"/>
      <c r="AH254" s="104" t="n"/>
      <c r="AI254" s="104" t="n"/>
      <c r="AJ254" s="104" t="n"/>
      <c r="AK254" s="104" t="n"/>
      <c r="AL254" s="104" t="n"/>
      <c r="AM254" s="104" t="n"/>
      <c r="AN254" s="104" t="n"/>
      <c r="AO254" s="104" t="n"/>
      <c r="AP254" s="104" t="n"/>
      <c r="AQ254" s="104" t="n"/>
      <c r="AR254" s="104" t="n"/>
      <c r="AS254" s="104" t="n"/>
      <c r="AT254" s="104" t="n"/>
      <c r="AU254" s="104" t="n"/>
      <c r="AV254" s="104" t="n"/>
      <c r="AW254" s="104" t="n"/>
      <c r="AX254" s="104" t="n"/>
      <c r="AY254" s="104" t="n"/>
      <c r="AZ254" s="104" t="n"/>
      <c r="BA254" s="104" t="n"/>
      <c r="BB254" s="104" t="n"/>
      <c r="BC254" s="104" t="n"/>
      <c r="BD254" s="104" t="n"/>
      <c r="BE254" s="104" t="n"/>
      <c r="BF254" s="104" t="n"/>
      <c r="BG254" s="104" t="n"/>
      <c r="BH254" s="104" t="n"/>
      <c r="BI254" s="104" t="n"/>
      <c r="BJ254" s="104" t="n"/>
      <c r="BK254" s="104" t="n"/>
      <c r="BL254" s="104" t="n"/>
      <c r="BM254" s="104" t="n"/>
      <c r="BN254" s="104" t="n"/>
      <c r="BO254" s="104" t="n"/>
      <c r="BP254" s="104" t="n"/>
      <c r="BQ254" s="104" t="n"/>
      <c r="BR254" s="104" t="n"/>
      <c r="BS254" s="104" t="n"/>
      <c r="BT254" s="104" t="n"/>
      <c r="BU254" s="104" t="n"/>
      <c r="BV254" s="104" t="n"/>
      <c r="BW254" s="104" t="n"/>
      <c r="BX254" s="104" t="n"/>
    </row>
    <row r="255">
      <c r="AC255" s="104" t="n"/>
      <c r="AD255" s="104" t="n"/>
      <c r="AE255" s="104" t="n"/>
      <c r="AF255" s="104" t="n"/>
      <c r="AG255" s="104" t="n"/>
      <c r="AH255" s="104" t="n"/>
      <c r="AI255" s="104" t="n"/>
      <c r="AJ255" s="104" t="n"/>
      <c r="AK255" s="104" t="n"/>
      <c r="AL255" s="104" t="n"/>
      <c r="AM255" s="104" t="n"/>
      <c r="AN255" s="104" t="n"/>
      <c r="AO255" s="104" t="n"/>
      <c r="AP255" s="104" t="n"/>
      <c r="AQ255" s="104" t="n"/>
      <c r="AR255" s="104" t="n"/>
      <c r="AS255" s="104" t="n"/>
      <c r="AT255" s="104" t="n"/>
      <c r="AU255" s="104" t="n"/>
      <c r="AV255" s="104" t="n"/>
      <c r="AW255" s="104" t="n"/>
      <c r="AX255" s="104" t="n"/>
      <c r="AY255" s="104" t="n"/>
      <c r="AZ255" s="104" t="n"/>
      <c r="BA255" s="104" t="n"/>
      <c r="BB255" s="104" t="n"/>
      <c r="BC255" s="104" t="n"/>
      <c r="BD255" s="104" t="n"/>
      <c r="BE255" s="104" t="n"/>
      <c r="BF255" s="104" t="n"/>
      <c r="BG255" s="104" t="n"/>
      <c r="BH255" s="104" t="n"/>
      <c r="BI255" s="104" t="n"/>
      <c r="BJ255" s="104" t="n"/>
      <c r="BK255" s="104" t="n"/>
      <c r="BL255" s="104" t="n"/>
      <c r="BM255" s="104" t="n"/>
      <c r="BN255" s="104" t="n"/>
      <c r="BO255" s="104" t="n"/>
      <c r="BP255" s="104" t="n"/>
      <c r="BQ255" s="104" t="n"/>
      <c r="BR255" s="104" t="n"/>
      <c r="BS255" s="104" t="n"/>
      <c r="BT255" s="104" t="n"/>
      <c r="BU255" s="104" t="n"/>
      <c r="BV255" s="104" t="n"/>
      <c r="BW255" s="104" t="n"/>
      <c r="BX255" s="104" t="n"/>
    </row>
    <row r="256">
      <c r="AC256" s="104" t="n"/>
      <c r="AD256" s="104" t="n"/>
      <c r="AE256" s="104" t="n"/>
      <c r="AF256" s="104" t="n"/>
      <c r="AG256" s="104" t="n"/>
      <c r="AH256" s="104" t="n"/>
      <c r="AI256" s="104" t="n"/>
      <c r="AJ256" s="104" t="n"/>
      <c r="AK256" s="104" t="n"/>
      <c r="AL256" s="104" t="n"/>
      <c r="AM256" s="104" t="n"/>
      <c r="AN256" s="104" t="n"/>
      <c r="AO256" s="104" t="n"/>
      <c r="AP256" s="104" t="n"/>
      <c r="AQ256" s="104" t="n"/>
      <c r="AR256" s="104" t="n"/>
      <c r="AS256" s="104" t="n"/>
      <c r="AT256" s="104" t="n"/>
      <c r="AU256" s="104" t="n"/>
      <c r="AV256" s="104" t="n"/>
      <c r="AW256" s="104" t="n"/>
      <c r="AX256" s="104" t="n"/>
      <c r="AY256" s="104" t="n"/>
      <c r="AZ256" s="104" t="n"/>
      <c r="BA256" s="104" t="n"/>
      <c r="BB256" s="104" t="n"/>
      <c r="BC256" s="104" t="n"/>
      <c r="BD256" s="104" t="n"/>
      <c r="BE256" s="104" t="n"/>
      <c r="BF256" s="104" t="n"/>
      <c r="BG256" s="104" t="n"/>
      <c r="BH256" s="104" t="n"/>
      <c r="BI256" s="104" t="n"/>
      <c r="BJ256" s="104" t="n"/>
      <c r="BK256" s="104" t="n"/>
      <c r="BL256" s="104" t="n"/>
      <c r="BM256" s="104" t="n"/>
      <c r="BN256" s="104" t="n"/>
      <c r="BO256" s="104" t="n"/>
      <c r="BP256" s="104" t="n"/>
      <c r="BQ256" s="104" t="n"/>
      <c r="BR256" s="104" t="n"/>
      <c r="BS256" s="104" t="n"/>
      <c r="BT256" s="104" t="n"/>
      <c r="BU256" s="104" t="n"/>
      <c r="BV256" s="104" t="n"/>
      <c r="BW256" s="104" t="n"/>
      <c r="BX256" s="104" t="n"/>
    </row>
    <row r="257">
      <c r="AC257" s="104" t="n"/>
      <c r="AD257" s="104" t="n"/>
      <c r="AE257" s="104" t="n"/>
      <c r="AF257" s="104" t="n"/>
      <c r="AG257" s="104" t="n"/>
      <c r="AH257" s="104" t="n"/>
      <c r="AI257" s="104" t="n"/>
      <c r="AJ257" s="104" t="n"/>
      <c r="AK257" s="104" t="n"/>
      <c r="AL257" s="104" t="n"/>
      <c r="AM257" s="104" t="n"/>
      <c r="AN257" s="104" t="n"/>
      <c r="AO257" s="104" t="n"/>
      <c r="AP257" s="104" t="n"/>
      <c r="AQ257" s="104" t="n"/>
      <c r="AR257" s="104" t="n"/>
      <c r="AS257" s="104" t="n"/>
      <c r="AT257" s="104" t="n"/>
      <c r="AU257" s="104" t="n"/>
      <c r="AV257" s="104" t="n"/>
      <c r="AW257" s="104" t="n"/>
      <c r="AX257" s="104" t="n"/>
      <c r="AY257" s="104" t="n"/>
      <c r="AZ257" s="104" t="n"/>
      <c r="BA257" s="104" t="n"/>
      <c r="BB257" s="104" t="n"/>
      <c r="BC257" s="104" t="n"/>
      <c r="BD257" s="104" t="n"/>
      <c r="BE257" s="104" t="n"/>
      <c r="BF257" s="104" t="n"/>
      <c r="BG257" s="104" t="n"/>
      <c r="BH257" s="104" t="n"/>
      <c r="BI257" s="104" t="n"/>
      <c r="BJ257" s="104" t="n"/>
      <c r="BK257" s="104" t="n"/>
      <c r="BL257" s="104" t="n"/>
      <c r="BM257" s="104" t="n"/>
      <c r="BN257" s="104" t="n"/>
      <c r="BO257" s="104" t="n"/>
      <c r="BP257" s="104" t="n"/>
      <c r="BQ257" s="104" t="n"/>
      <c r="BR257" s="104" t="n"/>
      <c r="BS257" s="104" t="n"/>
      <c r="BT257" s="104" t="n"/>
      <c r="BU257" s="104" t="n"/>
      <c r="BV257" s="104" t="n"/>
      <c r="BW257" s="104" t="n"/>
      <c r="BX257" s="104" t="n"/>
    </row>
    <row r="258">
      <c r="AC258" s="104" t="n"/>
      <c r="AD258" s="104" t="n"/>
      <c r="AE258" s="104" t="n"/>
      <c r="AF258" s="104" t="n"/>
      <c r="AG258" s="104" t="n"/>
      <c r="AH258" s="104" t="n"/>
      <c r="AI258" s="104" t="n"/>
      <c r="AJ258" s="104" t="n"/>
      <c r="AK258" s="104" t="n"/>
      <c r="AL258" s="104" t="n"/>
      <c r="AM258" s="104" t="n"/>
      <c r="AN258" s="104" t="n"/>
      <c r="AO258" s="104" t="n"/>
      <c r="AP258" s="104" t="n"/>
      <c r="AQ258" s="104" t="n"/>
      <c r="AR258" s="104" t="n"/>
      <c r="AS258" s="104" t="n"/>
      <c r="AT258" s="104" t="n"/>
      <c r="AU258" s="104" t="n"/>
      <c r="AV258" s="104" t="n"/>
      <c r="AW258" s="104" t="n"/>
      <c r="AX258" s="104" t="n"/>
      <c r="AY258" s="104" t="n"/>
      <c r="AZ258" s="104" t="n"/>
      <c r="BA258" s="104" t="n"/>
      <c r="BB258" s="104" t="n"/>
      <c r="BC258" s="104" t="n"/>
      <c r="BD258" s="104" t="n"/>
      <c r="BE258" s="104" t="n"/>
      <c r="BF258" s="104" t="n"/>
      <c r="BG258" s="104" t="n"/>
      <c r="BH258" s="104" t="n"/>
      <c r="BI258" s="104" t="n"/>
      <c r="BJ258" s="104" t="n"/>
      <c r="BK258" s="104" t="n"/>
      <c r="BL258" s="104" t="n"/>
      <c r="BM258" s="104" t="n"/>
      <c r="BN258" s="104" t="n"/>
      <c r="BO258" s="104" t="n"/>
      <c r="BP258" s="104" t="n"/>
      <c r="BQ258" s="104" t="n"/>
      <c r="BR258" s="104" t="n"/>
      <c r="BS258" s="104" t="n"/>
      <c r="BT258" s="104" t="n"/>
      <c r="BU258" s="104" t="n"/>
      <c r="BV258" s="104" t="n"/>
      <c r="BW258" s="104" t="n"/>
      <c r="BX258" s="104" t="n"/>
    </row>
    <row r="259">
      <c r="AC259" s="104" t="n"/>
      <c r="AD259" s="104" t="n"/>
      <c r="AE259" s="104" t="n"/>
      <c r="AF259" s="104" t="n"/>
      <c r="AG259" s="104" t="n"/>
      <c r="AH259" s="104" t="n"/>
      <c r="AI259" s="104" t="n"/>
      <c r="AJ259" s="104" t="n"/>
      <c r="AK259" s="104" t="n"/>
      <c r="AL259" s="104" t="n"/>
      <c r="AM259" s="104" t="n"/>
      <c r="AN259" s="104" t="n"/>
      <c r="AO259" s="104" t="n"/>
      <c r="AP259" s="104" t="n"/>
      <c r="AQ259" s="104" t="n"/>
      <c r="AR259" s="104" t="n"/>
      <c r="AS259" s="104" t="n"/>
      <c r="AT259" s="104" t="n"/>
      <c r="AU259" s="104" t="n"/>
      <c r="AV259" s="104" t="n"/>
      <c r="AW259" s="104" t="n"/>
      <c r="AX259" s="104" t="n"/>
      <c r="AY259" s="104" t="n"/>
      <c r="AZ259" s="104" t="n"/>
      <c r="BA259" s="104" t="n"/>
      <c r="BB259" s="104" t="n"/>
      <c r="BC259" s="104" t="n"/>
      <c r="BD259" s="104" t="n"/>
      <c r="BE259" s="104" t="n"/>
      <c r="BF259" s="104" t="n"/>
      <c r="BG259" s="104" t="n"/>
      <c r="BH259" s="104" t="n"/>
      <c r="BI259" s="104" t="n"/>
      <c r="BJ259" s="104" t="n"/>
      <c r="BK259" s="104" t="n"/>
      <c r="BL259" s="104" t="n"/>
      <c r="BM259" s="104" t="n"/>
      <c r="BN259" s="104" t="n"/>
      <c r="BO259" s="104" t="n"/>
      <c r="BP259" s="104" t="n"/>
      <c r="BQ259" s="104" t="n"/>
      <c r="BR259" s="104" t="n"/>
      <c r="BS259" s="104" t="n"/>
      <c r="BT259" s="104" t="n"/>
      <c r="BU259" s="104" t="n"/>
      <c r="BV259" s="104" t="n"/>
      <c r="BW259" s="104" t="n"/>
      <c r="BX259" s="104" t="n"/>
    </row>
    <row r="260">
      <c r="AC260" s="104" t="n"/>
      <c r="AD260" s="104" t="n"/>
      <c r="AE260" s="104" t="n"/>
      <c r="AF260" s="104" t="n"/>
      <c r="AG260" s="104" t="n"/>
      <c r="AH260" s="104" t="n"/>
      <c r="AI260" s="104" t="n"/>
      <c r="AJ260" s="104" t="n"/>
      <c r="AK260" s="104" t="n"/>
      <c r="AL260" s="104" t="n"/>
      <c r="AM260" s="104" t="n"/>
      <c r="AN260" s="104" t="n"/>
      <c r="AO260" s="104" t="n"/>
      <c r="AP260" s="104" t="n"/>
      <c r="AQ260" s="104" t="n"/>
      <c r="AR260" s="104" t="n"/>
      <c r="AS260" s="104" t="n"/>
      <c r="AT260" s="104" t="n"/>
      <c r="AU260" s="104" t="n"/>
      <c r="AV260" s="104" t="n"/>
      <c r="AW260" s="104" t="n"/>
      <c r="AX260" s="104" t="n"/>
      <c r="AY260" s="104" t="n"/>
      <c r="AZ260" s="104" t="n"/>
      <c r="BA260" s="104" t="n"/>
      <c r="BB260" s="104" t="n"/>
      <c r="BC260" s="104" t="n"/>
      <c r="BD260" s="104" t="n"/>
      <c r="BE260" s="104" t="n"/>
      <c r="BF260" s="104" t="n"/>
      <c r="BG260" s="104" t="n"/>
      <c r="BH260" s="104" t="n"/>
      <c r="BI260" s="104" t="n"/>
      <c r="BJ260" s="104" t="n"/>
      <c r="BK260" s="104" t="n"/>
      <c r="BL260" s="104" t="n"/>
      <c r="BM260" s="104" t="n"/>
      <c r="BN260" s="104" t="n"/>
      <c r="BO260" s="104" t="n"/>
      <c r="BP260" s="104" t="n"/>
      <c r="BQ260" s="104" t="n"/>
      <c r="BR260" s="104" t="n"/>
      <c r="BS260" s="104" t="n"/>
      <c r="BT260" s="104" t="n"/>
      <c r="BU260" s="104" t="n"/>
      <c r="BV260" s="104" t="n"/>
      <c r="BW260" s="104" t="n"/>
      <c r="BX260" s="104" t="n"/>
    </row>
    <row r="261">
      <c r="AC261" s="104" t="n"/>
      <c r="AD261" s="104" t="n"/>
      <c r="AE261" s="104" t="n"/>
      <c r="AF261" s="104" t="n"/>
      <c r="AG261" s="104" t="n"/>
      <c r="AH261" s="104" t="n"/>
      <c r="AI261" s="104" t="n"/>
      <c r="AJ261" s="104" t="n"/>
      <c r="AK261" s="104" t="n"/>
      <c r="AL261" s="104" t="n"/>
      <c r="AM261" s="104" t="n"/>
      <c r="AN261" s="104" t="n"/>
      <c r="AO261" s="104" t="n"/>
      <c r="AP261" s="104" t="n"/>
      <c r="AQ261" s="104" t="n"/>
      <c r="AR261" s="104" t="n"/>
      <c r="AS261" s="104" t="n"/>
      <c r="AT261" s="104" t="n"/>
      <c r="AU261" s="104" t="n"/>
      <c r="AV261" s="104" t="n"/>
      <c r="AW261" s="104" t="n"/>
      <c r="AX261" s="104" t="n"/>
      <c r="AY261" s="104" t="n"/>
      <c r="AZ261" s="104" t="n"/>
      <c r="BA261" s="104" t="n"/>
      <c r="BB261" s="104" t="n"/>
      <c r="BC261" s="104" t="n"/>
      <c r="BD261" s="104" t="n"/>
      <c r="BE261" s="104" t="n"/>
      <c r="BF261" s="104" t="n"/>
      <c r="BG261" s="104" t="n"/>
      <c r="BH261" s="104" t="n"/>
      <c r="BI261" s="104" t="n"/>
      <c r="BJ261" s="104" t="n"/>
      <c r="BK261" s="104" t="n"/>
      <c r="BL261" s="104" t="n"/>
      <c r="BM261" s="104" t="n"/>
      <c r="BN261" s="104" t="n"/>
      <c r="BO261" s="104" t="n"/>
      <c r="BP261" s="104" t="n"/>
      <c r="BQ261" s="104" t="n"/>
      <c r="BR261" s="104" t="n"/>
      <c r="BS261" s="104" t="n"/>
      <c r="BT261" s="104" t="n"/>
      <c r="BU261" s="104" t="n"/>
      <c r="BV261" s="104" t="n"/>
      <c r="BW261" s="104" t="n"/>
      <c r="BX261" s="104" t="n"/>
    </row>
    <row r="262">
      <c r="AC262" s="104" t="n"/>
      <c r="AD262" s="104" t="n"/>
      <c r="AE262" s="104" t="n"/>
      <c r="AF262" s="104" t="n"/>
      <c r="AG262" s="104" t="n"/>
      <c r="AH262" s="104" t="n"/>
      <c r="AI262" s="104" t="n"/>
      <c r="AJ262" s="104" t="n"/>
      <c r="AK262" s="104" t="n"/>
      <c r="AL262" s="104" t="n"/>
      <c r="AM262" s="104" t="n"/>
      <c r="AN262" s="104" t="n"/>
      <c r="AO262" s="104" t="n"/>
      <c r="AP262" s="104" t="n"/>
      <c r="AQ262" s="104" t="n"/>
      <c r="AR262" s="104" t="n"/>
      <c r="AS262" s="104" t="n"/>
      <c r="AT262" s="104" t="n"/>
      <c r="AU262" s="104" t="n"/>
      <c r="AV262" s="104" t="n"/>
      <c r="AW262" s="104" t="n"/>
      <c r="AX262" s="104" t="n"/>
      <c r="AY262" s="104" t="n"/>
      <c r="AZ262" s="104" t="n"/>
      <c r="BA262" s="104" t="n"/>
      <c r="BB262" s="104" t="n"/>
      <c r="BC262" s="104" t="n"/>
      <c r="BD262" s="104" t="n"/>
      <c r="BE262" s="104" t="n"/>
      <c r="BF262" s="104" t="n"/>
      <c r="BG262" s="104" t="n"/>
      <c r="BH262" s="104" t="n"/>
      <c r="BI262" s="104" t="n"/>
      <c r="BJ262" s="104" t="n"/>
      <c r="BK262" s="104" t="n"/>
      <c r="BL262" s="104" t="n"/>
      <c r="BM262" s="104" t="n"/>
      <c r="BN262" s="104" t="n"/>
      <c r="BO262" s="104" t="n"/>
      <c r="BP262" s="104" t="n"/>
      <c r="BQ262" s="104" t="n"/>
      <c r="BR262" s="104" t="n"/>
      <c r="BS262" s="104" t="n"/>
      <c r="BT262" s="104" t="n"/>
      <c r="BU262" s="104" t="n"/>
      <c r="BV262" s="104" t="n"/>
      <c r="BW262" s="104" t="n"/>
      <c r="BX262" s="104" t="n"/>
    </row>
    <row r="263">
      <c r="AC263" s="104" t="n"/>
      <c r="AD263" s="104" t="n"/>
      <c r="AE263" s="104" t="n"/>
      <c r="AF263" s="104" t="n"/>
      <c r="AG263" s="104" t="n"/>
      <c r="AH263" s="104" t="n"/>
      <c r="AI263" s="104" t="n"/>
      <c r="AJ263" s="104" t="n"/>
      <c r="AK263" s="104" t="n"/>
      <c r="AL263" s="104" t="n"/>
      <c r="AM263" s="104" t="n"/>
      <c r="AN263" s="104" t="n"/>
      <c r="AO263" s="104" t="n"/>
      <c r="AP263" s="104" t="n"/>
      <c r="AQ263" s="104" t="n"/>
      <c r="AR263" s="104" t="n"/>
      <c r="AS263" s="104" t="n"/>
      <c r="AT263" s="104" t="n"/>
      <c r="AU263" s="104" t="n"/>
      <c r="AV263" s="104" t="n"/>
      <c r="AW263" s="104" t="n"/>
      <c r="AX263" s="104" t="n"/>
      <c r="AY263" s="104" t="n"/>
      <c r="AZ263" s="104" t="n"/>
      <c r="BA263" s="104" t="n"/>
      <c r="BB263" s="104" t="n"/>
      <c r="BC263" s="104" t="n"/>
      <c r="BD263" s="104" t="n"/>
      <c r="BE263" s="104" t="n"/>
      <c r="BF263" s="104" t="n"/>
      <c r="BG263" s="104" t="n"/>
      <c r="BH263" s="104" t="n"/>
      <c r="BI263" s="104" t="n"/>
      <c r="BJ263" s="104" t="n"/>
      <c r="BK263" s="104" t="n"/>
      <c r="BL263" s="104" t="n"/>
      <c r="BM263" s="104" t="n"/>
      <c r="BN263" s="104" t="n"/>
      <c r="BO263" s="104" t="n"/>
      <c r="BP263" s="104" t="n"/>
      <c r="BQ263" s="104" t="n"/>
      <c r="BR263" s="104" t="n"/>
      <c r="BS263" s="104" t="n"/>
      <c r="BT263" s="104" t="n"/>
      <c r="BU263" s="104" t="n"/>
      <c r="BV263" s="104" t="n"/>
      <c r="BW263" s="104" t="n"/>
      <c r="BX263" s="104" t="n"/>
    </row>
    <row r="264">
      <c r="AC264" s="104" t="n"/>
      <c r="AD264" s="104" t="n"/>
      <c r="AE264" s="104" t="n"/>
      <c r="AF264" s="104" t="n"/>
      <c r="AG264" s="104" t="n"/>
      <c r="AH264" s="104" t="n"/>
      <c r="AI264" s="104" t="n"/>
      <c r="AJ264" s="104" t="n"/>
      <c r="AK264" s="104" t="n"/>
      <c r="AL264" s="104" t="n"/>
      <c r="AM264" s="104" t="n"/>
      <c r="AN264" s="104" t="n"/>
      <c r="AO264" s="104" t="n"/>
      <c r="AP264" s="104" t="n"/>
      <c r="AQ264" s="104" t="n"/>
      <c r="AR264" s="104" t="n"/>
      <c r="AS264" s="104" t="n"/>
      <c r="AT264" s="104" t="n"/>
      <c r="AU264" s="104" t="n"/>
      <c r="AV264" s="104" t="n"/>
      <c r="AW264" s="104" t="n"/>
      <c r="AX264" s="104" t="n"/>
      <c r="AY264" s="104" t="n"/>
      <c r="AZ264" s="104" t="n"/>
      <c r="BA264" s="104" t="n"/>
      <c r="BB264" s="104" t="n"/>
      <c r="BC264" s="104" t="n"/>
      <c r="BD264" s="104" t="n"/>
      <c r="BE264" s="104" t="n"/>
      <c r="BF264" s="104" t="n"/>
      <c r="BG264" s="104" t="n"/>
      <c r="BH264" s="104" t="n"/>
      <c r="BI264" s="104" t="n"/>
      <c r="BJ264" s="104" t="n"/>
      <c r="BK264" s="104" t="n"/>
      <c r="BL264" s="104" t="n"/>
      <c r="BM264" s="104" t="n"/>
      <c r="BN264" s="104" t="n"/>
      <c r="BO264" s="104" t="n"/>
      <c r="BP264" s="104" t="n"/>
      <c r="BQ264" s="104" t="n"/>
      <c r="BR264" s="104" t="n"/>
      <c r="BS264" s="104" t="n"/>
      <c r="BT264" s="104" t="n"/>
      <c r="BU264" s="104" t="n"/>
      <c r="BV264" s="104" t="n"/>
      <c r="BW264" s="104" t="n"/>
      <c r="BX264" s="104" t="n"/>
    </row>
    <row r="265">
      <c r="AC265" s="104" t="n"/>
      <c r="AD265" s="104" t="n"/>
      <c r="AE265" s="104" t="n"/>
      <c r="AF265" s="104" t="n"/>
      <c r="AG265" s="104" t="n"/>
      <c r="AH265" s="104" t="n"/>
      <c r="AI265" s="104" t="n"/>
      <c r="AJ265" s="104" t="n"/>
      <c r="AK265" s="104" t="n"/>
      <c r="AL265" s="104" t="n"/>
      <c r="AM265" s="104" t="n"/>
      <c r="AN265" s="104" t="n"/>
      <c r="AO265" s="104" t="n"/>
      <c r="AP265" s="104" t="n"/>
      <c r="AQ265" s="104" t="n"/>
      <c r="AR265" s="104" t="n"/>
      <c r="AS265" s="104" t="n"/>
      <c r="AT265" s="104" t="n"/>
      <c r="AU265" s="104" t="n"/>
      <c r="AV265" s="104" t="n"/>
      <c r="AW265" s="104" t="n"/>
      <c r="AX265" s="104" t="n"/>
      <c r="AY265" s="104" t="n"/>
      <c r="AZ265" s="104" t="n"/>
      <c r="BA265" s="104" t="n"/>
      <c r="BB265" s="104" t="n"/>
      <c r="BC265" s="104" t="n"/>
      <c r="BD265" s="104" t="n"/>
      <c r="BE265" s="104" t="n"/>
      <c r="BF265" s="104" t="n"/>
      <c r="BG265" s="104" t="n"/>
      <c r="BH265" s="104" t="n"/>
      <c r="BI265" s="104" t="n"/>
      <c r="BJ265" s="104" t="n"/>
      <c r="BK265" s="104" t="n"/>
      <c r="BL265" s="104" t="n"/>
      <c r="BM265" s="104" t="n"/>
      <c r="BN265" s="104" t="n"/>
      <c r="BO265" s="104" t="n"/>
      <c r="BP265" s="104" t="n"/>
      <c r="BQ265" s="104" t="n"/>
      <c r="BR265" s="104" t="n"/>
      <c r="BS265" s="104" t="n"/>
      <c r="BT265" s="104" t="n"/>
      <c r="BU265" s="104" t="n"/>
      <c r="BV265" s="104" t="n"/>
      <c r="BW265" s="104" t="n"/>
      <c r="BX265" s="104" t="n"/>
    </row>
    <row r="266">
      <c r="AC266" s="104" t="n"/>
      <c r="AD266" s="104" t="n"/>
      <c r="AE266" s="104" t="n"/>
      <c r="AF266" s="104" t="n"/>
      <c r="AG266" s="104" t="n"/>
      <c r="AH266" s="104" t="n"/>
      <c r="AI266" s="104" t="n"/>
      <c r="AJ266" s="104" t="n"/>
      <c r="AK266" s="104" t="n"/>
      <c r="AL266" s="104" t="n"/>
      <c r="AM266" s="104" t="n"/>
      <c r="AN266" s="104" t="n"/>
      <c r="AO266" s="104" t="n"/>
      <c r="AP266" s="104" t="n"/>
      <c r="AQ266" s="104" t="n"/>
      <c r="AR266" s="104" t="n"/>
      <c r="AS266" s="104" t="n"/>
      <c r="AT266" s="104" t="n"/>
      <c r="AU266" s="104" t="n"/>
      <c r="AV266" s="104" t="n"/>
      <c r="AW266" s="104" t="n"/>
      <c r="AX266" s="104" t="n"/>
      <c r="AY266" s="104" t="n"/>
      <c r="AZ266" s="104" t="n"/>
      <c r="BA266" s="104" t="n"/>
      <c r="BB266" s="104" t="n"/>
      <c r="BC266" s="104" t="n"/>
      <c r="BD266" s="104" t="n"/>
      <c r="BE266" s="104" t="n"/>
      <c r="BF266" s="104" t="n"/>
      <c r="BG266" s="104" t="n"/>
      <c r="BH266" s="104" t="n"/>
      <c r="BI266" s="104" t="n"/>
      <c r="BJ266" s="104" t="n"/>
      <c r="BK266" s="104" t="n"/>
      <c r="BL266" s="104" t="n"/>
      <c r="BM266" s="104" t="n"/>
      <c r="BN266" s="104" t="n"/>
      <c r="BO266" s="104" t="n"/>
      <c r="BP266" s="104" t="n"/>
      <c r="BQ266" s="104" t="n"/>
      <c r="BR266" s="104" t="n"/>
      <c r="BS266" s="104" t="n"/>
      <c r="BT266" s="104" t="n"/>
      <c r="BU266" s="104" t="n"/>
      <c r="BV266" s="104" t="n"/>
      <c r="BW266" s="104" t="n"/>
      <c r="BX266" s="104" t="n"/>
    </row>
    <row r="267">
      <c r="AC267" s="104" t="n"/>
      <c r="AD267" s="104" t="n"/>
      <c r="AE267" s="104" t="n"/>
      <c r="AF267" s="104" t="n"/>
      <c r="AG267" s="104" t="n"/>
      <c r="AH267" s="104" t="n"/>
      <c r="AI267" s="104" t="n"/>
      <c r="AJ267" s="104" t="n"/>
      <c r="AK267" s="104" t="n"/>
      <c r="AL267" s="104" t="n"/>
      <c r="AM267" s="104" t="n"/>
      <c r="AN267" s="104" t="n"/>
      <c r="AO267" s="104" t="n"/>
      <c r="AP267" s="104" t="n"/>
      <c r="AQ267" s="104" t="n"/>
      <c r="AR267" s="104" t="n"/>
      <c r="AS267" s="104" t="n"/>
      <c r="AT267" s="104" t="n"/>
      <c r="AU267" s="104" t="n"/>
      <c r="AV267" s="104" t="n"/>
      <c r="AW267" s="104" t="n"/>
      <c r="AX267" s="104" t="n"/>
      <c r="AY267" s="104" t="n"/>
      <c r="AZ267" s="104" t="n"/>
      <c r="BA267" s="104" t="n"/>
      <c r="BB267" s="104" t="n"/>
      <c r="BC267" s="104" t="n"/>
      <c r="BD267" s="104" t="n"/>
      <c r="BE267" s="104" t="n"/>
      <c r="BF267" s="104" t="n"/>
      <c r="BG267" s="104" t="n"/>
      <c r="BH267" s="104" t="n"/>
      <c r="BI267" s="104" t="n"/>
      <c r="BJ267" s="104" t="n"/>
      <c r="BK267" s="104" t="n"/>
      <c r="BL267" s="104" t="n"/>
      <c r="BM267" s="104" t="n"/>
      <c r="BN267" s="104" t="n"/>
      <c r="BO267" s="104" t="n"/>
      <c r="BP267" s="104" t="n"/>
      <c r="BQ267" s="104" t="n"/>
      <c r="BR267" s="104" t="n"/>
      <c r="BS267" s="104" t="n"/>
      <c r="BT267" s="104" t="n"/>
      <c r="BU267" s="104" t="n"/>
      <c r="BV267" s="104" t="n"/>
      <c r="BW267" s="104" t="n"/>
      <c r="BX267" s="104" t="n"/>
    </row>
    <row r="268">
      <c r="AC268" s="104" t="n"/>
      <c r="AD268" s="104" t="n"/>
      <c r="AE268" s="104" t="n"/>
      <c r="AF268" s="104" t="n"/>
      <c r="AG268" s="104" t="n"/>
      <c r="AH268" s="104" t="n"/>
      <c r="AI268" s="104" t="n"/>
      <c r="AJ268" s="104" t="n"/>
      <c r="AK268" s="104" t="n"/>
      <c r="AL268" s="104" t="n"/>
      <c r="AM268" s="104" t="n"/>
      <c r="AN268" s="104" t="n"/>
      <c r="AO268" s="104" t="n"/>
      <c r="AP268" s="104" t="n"/>
      <c r="AQ268" s="104" t="n"/>
      <c r="AR268" s="104" t="n"/>
      <c r="AS268" s="104" t="n"/>
      <c r="AT268" s="104" t="n"/>
      <c r="AU268" s="104" t="n"/>
      <c r="AV268" s="104" t="n"/>
      <c r="AW268" s="104" t="n"/>
      <c r="AX268" s="104" t="n"/>
      <c r="AY268" s="104" t="n"/>
      <c r="AZ268" s="104" t="n"/>
      <c r="BA268" s="104" t="n"/>
      <c r="BB268" s="104" t="n"/>
      <c r="BC268" s="104" t="n"/>
      <c r="BD268" s="104" t="n"/>
      <c r="BE268" s="104" t="n"/>
      <c r="BF268" s="104" t="n"/>
      <c r="BG268" s="104" t="n"/>
      <c r="BH268" s="104" t="n"/>
      <c r="BI268" s="104" t="n"/>
      <c r="BJ268" s="104" t="n"/>
      <c r="BK268" s="104" t="n"/>
      <c r="BL268" s="104" t="n"/>
      <c r="BM268" s="104" t="n"/>
      <c r="BN268" s="104" t="n"/>
      <c r="BO268" s="104" t="n"/>
      <c r="BP268" s="104" t="n"/>
      <c r="BQ268" s="104" t="n"/>
      <c r="BR268" s="104" t="n"/>
      <c r="BS268" s="104" t="n"/>
      <c r="BT268" s="104" t="n"/>
      <c r="BU268" s="104" t="n"/>
      <c r="BV268" s="104" t="n"/>
      <c r="BW268" s="104" t="n"/>
      <c r="BX268" s="104" t="n"/>
    </row>
    <row r="269">
      <c r="AC269" s="104" t="n"/>
      <c r="AD269" s="104" t="n"/>
      <c r="AE269" s="104" t="n"/>
      <c r="AF269" s="104" t="n"/>
      <c r="AG269" s="104" t="n"/>
      <c r="AH269" s="104" t="n"/>
      <c r="AI269" s="104" t="n"/>
      <c r="AJ269" s="104" t="n"/>
      <c r="AK269" s="104" t="n"/>
      <c r="AL269" s="104" t="n"/>
      <c r="AM269" s="104" t="n"/>
      <c r="AN269" s="104" t="n"/>
      <c r="AO269" s="104" t="n"/>
      <c r="AP269" s="104" t="n"/>
      <c r="AQ269" s="104" t="n"/>
      <c r="AR269" s="104" t="n"/>
      <c r="AS269" s="104" t="n"/>
      <c r="AT269" s="104" t="n"/>
      <c r="AU269" s="104" t="n"/>
      <c r="AV269" s="104" t="n"/>
      <c r="AW269" s="104" t="n"/>
      <c r="AX269" s="104" t="n"/>
      <c r="AY269" s="104" t="n"/>
      <c r="AZ269" s="104" t="n"/>
      <c r="BA269" s="104" t="n"/>
      <c r="BB269" s="104" t="n"/>
      <c r="BC269" s="104" t="n"/>
      <c r="BD269" s="104" t="n"/>
      <c r="BE269" s="104" t="n"/>
      <c r="BF269" s="104" t="n"/>
      <c r="BG269" s="104" t="n"/>
      <c r="BH269" s="104" t="n"/>
      <c r="BI269" s="104" t="n"/>
      <c r="BJ269" s="104" t="n"/>
      <c r="BK269" s="104" t="n"/>
      <c r="BL269" s="104" t="n"/>
      <c r="BM269" s="104" t="n"/>
      <c r="BN269" s="104" t="n"/>
      <c r="BO269" s="104" t="n"/>
      <c r="BP269" s="104" t="n"/>
      <c r="BQ269" s="104" t="n"/>
      <c r="BR269" s="104" t="n"/>
      <c r="BS269" s="104" t="n"/>
      <c r="BT269" s="104" t="n"/>
      <c r="BU269" s="104" t="n"/>
      <c r="BV269" s="104" t="n"/>
      <c r="BW269" s="104" t="n"/>
      <c r="BX269" s="104" t="n"/>
    </row>
    <row r="270">
      <c r="AC270" s="104" t="n"/>
      <c r="AD270" s="104" t="n"/>
      <c r="AE270" s="104" t="n"/>
      <c r="AF270" s="104" t="n"/>
      <c r="AG270" s="104" t="n"/>
      <c r="AH270" s="104" t="n"/>
      <c r="AI270" s="104" t="n"/>
      <c r="AJ270" s="104" t="n"/>
      <c r="AK270" s="104" t="n"/>
      <c r="AL270" s="104" t="n"/>
      <c r="AM270" s="104" t="n"/>
      <c r="AN270" s="104" t="n"/>
      <c r="AO270" s="104" t="n"/>
      <c r="AP270" s="104" t="n"/>
      <c r="AQ270" s="104" t="n"/>
      <c r="AR270" s="104" t="n"/>
      <c r="AS270" s="104" t="n"/>
      <c r="AT270" s="104" t="n"/>
      <c r="AU270" s="104" t="n"/>
      <c r="AV270" s="104" t="n"/>
      <c r="AW270" s="104" t="n"/>
      <c r="AX270" s="104" t="n"/>
      <c r="AY270" s="104" t="n"/>
      <c r="AZ270" s="104" t="n"/>
      <c r="BA270" s="104" t="n"/>
      <c r="BB270" s="104" t="n"/>
      <c r="BC270" s="104" t="n"/>
      <c r="BD270" s="104" t="n"/>
      <c r="BE270" s="104" t="n"/>
      <c r="BF270" s="104" t="n"/>
      <c r="BG270" s="104" t="n"/>
      <c r="BH270" s="104" t="n"/>
      <c r="BI270" s="104" t="n"/>
      <c r="BJ270" s="104" t="n"/>
      <c r="BK270" s="104" t="n"/>
      <c r="BL270" s="104" t="n"/>
      <c r="BM270" s="104" t="n"/>
      <c r="BN270" s="104" t="n"/>
      <c r="BO270" s="104" t="n"/>
      <c r="BP270" s="104" t="n"/>
      <c r="BQ270" s="104" t="n"/>
      <c r="BR270" s="104" t="n"/>
      <c r="BS270" s="104" t="n"/>
      <c r="BT270" s="104" t="n"/>
      <c r="BU270" s="104" t="n"/>
      <c r="BV270" s="104" t="n"/>
      <c r="BW270" s="104" t="n"/>
      <c r="BX270" s="104" t="n"/>
    </row>
    <row r="271">
      <c r="AC271" s="104" t="n"/>
      <c r="AD271" s="104" t="n"/>
      <c r="AE271" s="104" t="n"/>
      <c r="AF271" s="104" t="n"/>
      <c r="AG271" s="104" t="n"/>
      <c r="AH271" s="104" t="n"/>
      <c r="AI271" s="104" t="n"/>
      <c r="AJ271" s="104" t="n"/>
      <c r="AK271" s="104" t="n"/>
      <c r="AL271" s="104" t="n"/>
      <c r="AM271" s="104" t="n"/>
      <c r="AN271" s="104" t="n"/>
      <c r="AO271" s="104" t="n"/>
      <c r="AP271" s="104" t="n"/>
      <c r="AQ271" s="104" t="n"/>
      <c r="AR271" s="104" t="n"/>
      <c r="AS271" s="104" t="n"/>
      <c r="AT271" s="104" t="n"/>
      <c r="AU271" s="104" t="n"/>
      <c r="AV271" s="104" t="n"/>
      <c r="AW271" s="104" t="n"/>
      <c r="AX271" s="104" t="n"/>
      <c r="AY271" s="104" t="n"/>
      <c r="AZ271" s="104" t="n"/>
      <c r="BA271" s="104" t="n"/>
      <c r="BB271" s="104" t="n"/>
      <c r="BC271" s="104" t="n"/>
      <c r="BD271" s="104" t="n"/>
      <c r="BE271" s="104" t="n"/>
      <c r="BF271" s="104" t="n"/>
      <c r="BG271" s="104" t="n"/>
      <c r="BH271" s="104" t="n"/>
      <c r="BI271" s="104" t="n"/>
      <c r="BJ271" s="104" t="n"/>
      <c r="BK271" s="104" t="n"/>
      <c r="BL271" s="104" t="n"/>
      <c r="BM271" s="104" t="n"/>
      <c r="BN271" s="104" t="n"/>
      <c r="BO271" s="104" t="n"/>
      <c r="BP271" s="104" t="n"/>
      <c r="BQ271" s="104" t="n"/>
      <c r="BR271" s="104" t="n"/>
      <c r="BS271" s="104" t="n"/>
      <c r="BT271" s="104" t="n"/>
      <c r="BU271" s="104" t="n"/>
      <c r="BV271" s="104" t="n"/>
      <c r="BW271" s="104" t="n"/>
      <c r="BX271" s="104" t="n"/>
    </row>
    <row r="272">
      <c r="AC272" s="104" t="n"/>
      <c r="AD272" s="104" t="n"/>
      <c r="AE272" s="104" t="n"/>
      <c r="AF272" s="104" t="n"/>
      <c r="AG272" s="104" t="n"/>
      <c r="AH272" s="104" t="n"/>
      <c r="AI272" s="104" t="n"/>
      <c r="AJ272" s="104" t="n"/>
      <c r="AK272" s="104" t="n"/>
      <c r="AL272" s="104" t="n"/>
      <c r="AM272" s="104" t="n"/>
      <c r="AN272" s="104" t="n"/>
      <c r="AO272" s="104" t="n"/>
      <c r="AP272" s="104" t="n"/>
      <c r="AQ272" s="104" t="n"/>
      <c r="AR272" s="104" t="n"/>
      <c r="AS272" s="104" t="n"/>
      <c r="AT272" s="104" t="n"/>
      <c r="AU272" s="104" t="n"/>
      <c r="AV272" s="104" t="n"/>
      <c r="AW272" s="104" t="n"/>
      <c r="AX272" s="104" t="n"/>
      <c r="AY272" s="104" t="n"/>
      <c r="AZ272" s="104" t="n"/>
      <c r="BA272" s="104" t="n"/>
      <c r="BB272" s="104" t="n"/>
      <c r="BC272" s="104" t="n"/>
      <c r="BD272" s="104" t="n"/>
      <c r="BE272" s="104" t="n"/>
      <c r="BF272" s="104" t="n"/>
      <c r="BG272" s="104" t="n"/>
      <c r="BH272" s="104" t="n"/>
      <c r="BI272" s="104" t="n"/>
      <c r="BJ272" s="104" t="n"/>
      <c r="BK272" s="104" t="n"/>
      <c r="BL272" s="104" t="n"/>
      <c r="BM272" s="104" t="n"/>
      <c r="BN272" s="104" t="n"/>
      <c r="BO272" s="104" t="n"/>
      <c r="BP272" s="104" t="n"/>
      <c r="BQ272" s="104" t="n"/>
      <c r="BR272" s="104" t="n"/>
      <c r="BS272" s="104" t="n"/>
      <c r="BT272" s="104" t="n"/>
      <c r="BU272" s="104" t="n"/>
      <c r="BV272" s="104" t="n"/>
      <c r="BW272" s="104" t="n"/>
      <c r="BX272" s="104" t="n"/>
    </row>
    <row r="273">
      <c r="AC273" s="104" t="n"/>
      <c r="AD273" s="104" t="n"/>
      <c r="AE273" s="104" t="n"/>
      <c r="AF273" s="104" t="n"/>
      <c r="AG273" s="104" t="n"/>
      <c r="AH273" s="104" t="n"/>
      <c r="AI273" s="104" t="n"/>
      <c r="AJ273" s="104" t="n"/>
      <c r="AK273" s="104" t="n"/>
      <c r="AL273" s="104" t="n"/>
      <c r="AM273" s="104" t="n"/>
      <c r="AN273" s="104" t="n"/>
      <c r="AO273" s="104" t="n"/>
      <c r="AP273" s="104" t="n"/>
      <c r="AQ273" s="104" t="n"/>
      <c r="AR273" s="104" t="n"/>
      <c r="AS273" s="104" t="n"/>
      <c r="AT273" s="104" t="n"/>
      <c r="AU273" s="104" t="n"/>
      <c r="AV273" s="104" t="n"/>
      <c r="AW273" s="104" t="n"/>
      <c r="AX273" s="104" t="n"/>
      <c r="AY273" s="104" t="n"/>
      <c r="AZ273" s="104" t="n"/>
      <c r="BA273" s="104" t="n"/>
      <c r="BB273" s="104" t="n"/>
      <c r="BC273" s="104" t="n"/>
      <c r="BD273" s="104" t="n"/>
      <c r="BE273" s="104" t="n"/>
      <c r="BF273" s="104" t="n"/>
      <c r="BG273" s="104" t="n"/>
      <c r="BH273" s="104" t="n"/>
      <c r="BI273" s="104" t="n"/>
      <c r="BJ273" s="104" t="n"/>
      <c r="BK273" s="104" t="n"/>
      <c r="BL273" s="104" t="n"/>
      <c r="BM273" s="104" t="n"/>
      <c r="BN273" s="104" t="n"/>
      <c r="BO273" s="104" t="n"/>
      <c r="BP273" s="104" t="n"/>
      <c r="BQ273" s="104" t="n"/>
      <c r="BR273" s="104" t="n"/>
      <c r="BS273" s="104" t="n"/>
      <c r="BT273" s="104" t="n"/>
      <c r="BU273" s="104" t="n"/>
      <c r="BV273" s="104" t="n"/>
      <c r="BW273" s="104" t="n"/>
      <c r="BX273" s="104" t="n"/>
    </row>
    <row r="274">
      <c r="AC274" s="104" t="n"/>
      <c r="AD274" s="104" t="n"/>
      <c r="AE274" s="104" t="n"/>
      <c r="AF274" s="104" t="n"/>
      <c r="AG274" s="104" t="n"/>
      <c r="AH274" s="104" t="n"/>
      <c r="AI274" s="104" t="n"/>
      <c r="AJ274" s="104" t="n"/>
      <c r="AK274" s="104" t="n"/>
      <c r="AL274" s="104" t="n"/>
      <c r="AM274" s="104" t="n"/>
      <c r="AN274" s="104" t="n"/>
      <c r="AO274" s="104" t="n"/>
      <c r="AP274" s="104" t="n"/>
      <c r="AQ274" s="104" t="n"/>
      <c r="AR274" s="104" t="n"/>
      <c r="AS274" s="104" t="n"/>
      <c r="AT274" s="104" t="n"/>
      <c r="AU274" s="104" t="n"/>
      <c r="AV274" s="104" t="n"/>
      <c r="AW274" s="104" t="n"/>
      <c r="AX274" s="104" t="n"/>
      <c r="AY274" s="104" t="n"/>
      <c r="AZ274" s="104" t="n"/>
      <c r="BA274" s="104" t="n"/>
      <c r="BB274" s="104" t="n"/>
      <c r="BC274" s="104" t="n"/>
      <c r="BD274" s="104" t="n"/>
      <c r="BE274" s="104" t="n"/>
      <c r="BF274" s="104" t="n"/>
      <c r="BG274" s="104" t="n"/>
      <c r="BH274" s="104" t="n"/>
      <c r="BI274" s="104" t="n"/>
      <c r="BJ274" s="104" t="n"/>
      <c r="BK274" s="104" t="n"/>
      <c r="BL274" s="104" t="n"/>
      <c r="BM274" s="104" t="n"/>
      <c r="BN274" s="104" t="n"/>
      <c r="BO274" s="104" t="n"/>
      <c r="BP274" s="104" t="n"/>
      <c r="BQ274" s="104" t="n"/>
      <c r="BR274" s="104" t="n"/>
      <c r="BS274" s="104" t="n"/>
      <c r="BT274" s="104" t="n"/>
      <c r="BU274" s="104" t="n"/>
      <c r="BV274" s="104" t="n"/>
      <c r="BW274" s="104" t="n"/>
      <c r="BX274" s="104" t="n"/>
    </row>
    <row r="275">
      <c r="AC275" s="104" t="n"/>
      <c r="AD275" s="104" t="n"/>
      <c r="AE275" s="104" t="n"/>
      <c r="AF275" s="104" t="n"/>
      <c r="AG275" s="104" t="n"/>
      <c r="AH275" s="104" t="n"/>
      <c r="AI275" s="104" t="n"/>
      <c r="AJ275" s="104" t="n"/>
      <c r="AK275" s="104" t="n"/>
      <c r="AL275" s="104" t="n"/>
      <c r="AM275" s="104" t="n"/>
      <c r="AN275" s="104" t="n"/>
      <c r="AO275" s="104" t="n"/>
      <c r="AP275" s="104" t="n"/>
      <c r="AQ275" s="104" t="n"/>
      <c r="AR275" s="104" t="n"/>
      <c r="AS275" s="104" t="n"/>
      <c r="AT275" s="104" t="n"/>
      <c r="AU275" s="104" t="n"/>
      <c r="AV275" s="104" t="n"/>
      <c r="AW275" s="104" t="n"/>
      <c r="AX275" s="104" t="n"/>
      <c r="AY275" s="104" t="n"/>
      <c r="AZ275" s="104" t="n"/>
      <c r="BA275" s="104" t="n"/>
      <c r="BB275" s="104" t="n"/>
      <c r="BC275" s="104" t="n"/>
      <c r="BD275" s="104" t="n"/>
      <c r="BE275" s="104" t="n"/>
      <c r="BF275" s="104" t="n"/>
      <c r="BG275" s="104" t="n"/>
      <c r="BH275" s="104" t="n"/>
      <c r="BI275" s="104" t="n"/>
      <c r="BJ275" s="104" t="n"/>
      <c r="BK275" s="104" t="n"/>
      <c r="BL275" s="104" t="n"/>
      <c r="BM275" s="104" t="n"/>
      <c r="BN275" s="104" t="n"/>
      <c r="BO275" s="104" t="n"/>
      <c r="BP275" s="104" t="n"/>
      <c r="BQ275" s="104" t="n"/>
      <c r="BR275" s="104" t="n"/>
      <c r="BS275" s="104" t="n"/>
      <c r="BT275" s="104" t="n"/>
      <c r="BU275" s="104" t="n"/>
      <c r="BV275" s="104" t="n"/>
      <c r="BW275" s="104" t="n"/>
      <c r="BX275" s="104" t="n"/>
    </row>
    <row r="276">
      <c r="AC276" s="104" t="n"/>
      <c r="AD276" s="104" t="n"/>
      <c r="AE276" s="104" t="n"/>
      <c r="AF276" s="104" t="n"/>
      <c r="AG276" s="104" t="n"/>
      <c r="AH276" s="104" t="n"/>
      <c r="AI276" s="104" t="n"/>
      <c r="AJ276" s="104" t="n"/>
      <c r="AK276" s="104" t="n"/>
      <c r="AL276" s="104" t="n"/>
      <c r="AM276" s="104" t="n"/>
      <c r="AN276" s="104" t="n"/>
      <c r="AO276" s="104" t="n"/>
      <c r="AP276" s="104" t="n"/>
      <c r="AQ276" s="104" t="n"/>
      <c r="AR276" s="104" t="n"/>
      <c r="AS276" s="104" t="n"/>
      <c r="AT276" s="104" t="n"/>
      <c r="AU276" s="104" t="n"/>
      <c r="AV276" s="104" t="n"/>
      <c r="AW276" s="104" t="n"/>
      <c r="AX276" s="104" t="n"/>
      <c r="AY276" s="104" t="n"/>
      <c r="AZ276" s="104" t="n"/>
      <c r="BA276" s="104" t="n"/>
      <c r="BB276" s="104" t="n"/>
      <c r="BC276" s="104" t="n"/>
      <c r="BD276" s="104" t="n"/>
      <c r="BE276" s="104" t="n"/>
      <c r="BF276" s="104" t="n"/>
      <c r="BG276" s="104" t="n"/>
      <c r="BH276" s="104" t="n"/>
      <c r="BI276" s="104" t="n"/>
      <c r="BJ276" s="104" t="n"/>
      <c r="BK276" s="104" t="n"/>
      <c r="BL276" s="104" t="n"/>
      <c r="BM276" s="104" t="n"/>
      <c r="BN276" s="104" t="n"/>
      <c r="BO276" s="104" t="n"/>
      <c r="BP276" s="104" t="n"/>
      <c r="BQ276" s="104" t="n"/>
      <c r="BR276" s="104" t="n"/>
      <c r="BS276" s="104" t="n"/>
      <c r="BT276" s="104" t="n"/>
      <c r="BU276" s="104" t="n"/>
      <c r="BV276" s="104" t="n"/>
      <c r="BW276" s="104" t="n"/>
      <c r="BX276" s="104" t="n"/>
    </row>
    <row r="277">
      <c r="AC277" s="104" t="n"/>
      <c r="AD277" s="104" t="n"/>
      <c r="AE277" s="104" t="n"/>
      <c r="AF277" s="104" t="n"/>
      <c r="AG277" s="104" t="n"/>
      <c r="AH277" s="104" t="n"/>
      <c r="AI277" s="104" t="n"/>
      <c r="AJ277" s="104" t="n"/>
      <c r="AK277" s="104" t="n"/>
      <c r="AL277" s="104" t="n"/>
      <c r="AM277" s="104" t="n"/>
      <c r="AN277" s="104" t="n"/>
      <c r="AO277" s="104" t="n"/>
      <c r="AP277" s="104" t="n"/>
      <c r="AQ277" s="104" t="n"/>
      <c r="AR277" s="104" t="n"/>
      <c r="AS277" s="104" t="n"/>
      <c r="AT277" s="104" t="n"/>
      <c r="AU277" s="104" t="n"/>
      <c r="AV277" s="104" t="n"/>
      <c r="AW277" s="104" t="n"/>
      <c r="AX277" s="104" t="n"/>
      <c r="AY277" s="104" t="n"/>
      <c r="AZ277" s="104" t="n"/>
      <c r="BA277" s="104" t="n"/>
      <c r="BB277" s="104" t="n"/>
      <c r="BC277" s="104" t="n"/>
      <c r="BD277" s="104" t="n"/>
      <c r="BE277" s="104" t="n"/>
      <c r="BF277" s="104" t="n"/>
      <c r="BG277" s="104" t="n"/>
      <c r="BH277" s="104" t="n"/>
      <c r="BI277" s="104" t="n"/>
      <c r="BJ277" s="104" t="n"/>
      <c r="BK277" s="104" t="n"/>
      <c r="BL277" s="104" t="n"/>
      <c r="BM277" s="104" t="n"/>
      <c r="BN277" s="104" t="n"/>
      <c r="BO277" s="104" t="n"/>
      <c r="BP277" s="104" t="n"/>
      <c r="BQ277" s="104" t="n"/>
      <c r="BR277" s="104" t="n"/>
      <c r="BS277" s="104" t="n"/>
      <c r="BT277" s="104" t="n"/>
      <c r="BU277" s="104" t="n"/>
      <c r="BV277" s="104" t="n"/>
      <c r="BW277" s="104" t="n"/>
      <c r="BX277" s="104" t="n"/>
    </row>
    <row r="278">
      <c r="AC278" s="104" t="n"/>
      <c r="AD278" s="104" t="n"/>
      <c r="AE278" s="104" t="n"/>
      <c r="AF278" s="104" t="n"/>
      <c r="AG278" s="104" t="n"/>
      <c r="AH278" s="104" t="n"/>
      <c r="AI278" s="104" t="n"/>
      <c r="AJ278" s="104" t="n"/>
      <c r="AK278" s="104" t="n"/>
      <c r="AL278" s="104" t="n"/>
      <c r="AM278" s="104" t="n"/>
      <c r="AN278" s="104" t="n"/>
      <c r="AO278" s="104" t="n"/>
      <c r="AP278" s="104" t="n"/>
      <c r="AQ278" s="104" t="n"/>
      <c r="AR278" s="104" t="n"/>
      <c r="AS278" s="104" t="n"/>
      <c r="AT278" s="104" t="n"/>
      <c r="AU278" s="104" t="n"/>
      <c r="AV278" s="104" t="n"/>
      <c r="AW278" s="104" t="n"/>
      <c r="AX278" s="104" t="n"/>
      <c r="AY278" s="104" t="n"/>
      <c r="AZ278" s="104" t="n"/>
      <c r="BA278" s="104" t="n"/>
      <c r="BB278" s="104" t="n"/>
      <c r="BC278" s="104" t="n"/>
      <c r="BD278" s="104" t="n"/>
      <c r="BE278" s="104" t="n"/>
      <c r="BF278" s="104" t="n"/>
      <c r="BG278" s="104" t="n"/>
      <c r="BH278" s="104" t="n"/>
      <c r="BI278" s="104" t="n"/>
      <c r="BJ278" s="104" t="n"/>
      <c r="BK278" s="104" t="n"/>
      <c r="BL278" s="104" t="n"/>
      <c r="BM278" s="104" t="n"/>
      <c r="BN278" s="104" t="n"/>
      <c r="BO278" s="104" t="n"/>
      <c r="BP278" s="104" t="n"/>
      <c r="BQ278" s="104" t="n"/>
      <c r="BR278" s="104" t="n"/>
      <c r="BS278" s="104" t="n"/>
      <c r="BT278" s="104" t="n"/>
      <c r="BU278" s="104" t="n"/>
      <c r="BV278" s="104" t="n"/>
      <c r="BW278" s="104" t="n"/>
      <c r="BX278" s="104" t="n"/>
    </row>
    <row r="279">
      <c r="AC279" s="104" t="n"/>
      <c r="AD279" s="104" t="n"/>
      <c r="AE279" s="104" t="n"/>
      <c r="AF279" s="104" t="n"/>
      <c r="AG279" s="104" t="n"/>
      <c r="AH279" s="104" t="n"/>
      <c r="AI279" s="104" t="n"/>
      <c r="AJ279" s="104" t="n"/>
      <c r="AK279" s="104" t="n"/>
      <c r="AL279" s="104" t="n"/>
      <c r="AM279" s="104" t="n"/>
      <c r="AN279" s="104" t="n"/>
      <c r="AO279" s="104" t="n"/>
      <c r="AP279" s="104" t="n"/>
      <c r="AQ279" s="104" t="n"/>
      <c r="AR279" s="104" t="n"/>
      <c r="AS279" s="104" t="n"/>
      <c r="AT279" s="104" t="n"/>
      <c r="AU279" s="104" t="n"/>
      <c r="AV279" s="104" t="n"/>
      <c r="AW279" s="104" t="n"/>
      <c r="AX279" s="104" t="n"/>
      <c r="AY279" s="104" t="n"/>
      <c r="AZ279" s="104" t="n"/>
      <c r="BA279" s="104" t="n"/>
      <c r="BB279" s="104" t="n"/>
      <c r="BC279" s="104" t="n"/>
      <c r="BD279" s="104" t="n"/>
      <c r="BE279" s="104" t="n"/>
      <c r="BF279" s="104" t="n"/>
      <c r="BG279" s="104" t="n"/>
      <c r="BH279" s="104" t="n"/>
      <c r="BI279" s="104" t="n"/>
      <c r="BJ279" s="104" t="n"/>
      <c r="BK279" s="104" t="n"/>
      <c r="BL279" s="104" t="n"/>
      <c r="BM279" s="104" t="n"/>
      <c r="BN279" s="104" t="n"/>
      <c r="BO279" s="104" t="n"/>
      <c r="BP279" s="104" t="n"/>
      <c r="BQ279" s="104" t="n"/>
      <c r="BR279" s="104" t="n"/>
      <c r="BS279" s="104" t="n"/>
      <c r="BT279" s="104" t="n"/>
      <c r="BU279" s="104" t="n"/>
      <c r="BV279" s="104" t="n"/>
      <c r="BW279" s="104" t="n"/>
      <c r="BX279" s="104" t="n"/>
    </row>
    <row r="280">
      <c r="AC280" s="104" t="n"/>
      <c r="AD280" s="104" t="n"/>
      <c r="AE280" s="104" t="n"/>
      <c r="AF280" s="104" t="n"/>
      <c r="AG280" s="104" t="n"/>
      <c r="AH280" s="104" t="n"/>
      <c r="AI280" s="104" t="n"/>
      <c r="AJ280" s="104" t="n"/>
      <c r="AK280" s="104" t="n"/>
      <c r="AL280" s="104" t="n"/>
      <c r="AM280" s="104" t="n"/>
      <c r="AN280" s="104" t="n"/>
      <c r="AO280" s="104" t="n"/>
      <c r="AP280" s="104" t="n"/>
      <c r="AQ280" s="104" t="n"/>
      <c r="AR280" s="104" t="n"/>
      <c r="AS280" s="104" t="n"/>
      <c r="AT280" s="104" t="n"/>
      <c r="AU280" s="104" t="n"/>
      <c r="AV280" s="104" t="n"/>
      <c r="AW280" s="104" t="n"/>
      <c r="AX280" s="104" t="n"/>
      <c r="AY280" s="104" t="n"/>
      <c r="AZ280" s="104" t="n"/>
      <c r="BA280" s="104" t="n"/>
      <c r="BB280" s="104" t="n"/>
      <c r="BC280" s="104" t="n"/>
      <c r="BD280" s="104" t="n"/>
      <c r="BE280" s="104" t="n"/>
      <c r="BF280" s="104" t="n"/>
      <c r="BG280" s="104" t="n"/>
      <c r="BH280" s="104" t="n"/>
      <c r="BI280" s="104" t="n"/>
      <c r="BJ280" s="104" t="n"/>
      <c r="BK280" s="104" t="n"/>
      <c r="BL280" s="104" t="n"/>
      <c r="BM280" s="104" t="n"/>
      <c r="BN280" s="104" t="n"/>
      <c r="BO280" s="104" t="n"/>
      <c r="BP280" s="104" t="n"/>
      <c r="BQ280" s="104" t="n"/>
      <c r="BR280" s="104" t="n"/>
      <c r="BS280" s="104" t="n"/>
      <c r="BT280" s="104" t="n"/>
      <c r="BU280" s="104" t="n"/>
      <c r="BV280" s="104" t="n"/>
      <c r="BW280" s="104" t="n"/>
      <c r="BX280" s="104" t="n"/>
    </row>
    <row r="281">
      <c r="AC281" s="104" t="n"/>
      <c r="AD281" s="104" t="n"/>
      <c r="AE281" s="104" t="n"/>
      <c r="AF281" s="104" t="n"/>
      <c r="AG281" s="104" t="n"/>
      <c r="AH281" s="104" t="n"/>
      <c r="AI281" s="104" t="n"/>
      <c r="AJ281" s="104" t="n"/>
      <c r="AK281" s="104" t="n"/>
      <c r="AL281" s="104" t="n"/>
      <c r="AM281" s="104" t="n"/>
      <c r="AN281" s="104" t="n"/>
      <c r="AO281" s="104" t="n"/>
      <c r="AP281" s="104" t="n"/>
      <c r="AQ281" s="104" t="n"/>
      <c r="AR281" s="104" t="n"/>
      <c r="AS281" s="104" t="n"/>
      <c r="AT281" s="104" t="n"/>
      <c r="AU281" s="104" t="n"/>
      <c r="AV281" s="104" t="n"/>
      <c r="AW281" s="104" t="n"/>
      <c r="AX281" s="104" t="n"/>
      <c r="AY281" s="104" t="n"/>
      <c r="AZ281" s="104" t="n"/>
      <c r="BA281" s="104" t="n"/>
      <c r="BB281" s="104" t="n"/>
      <c r="BC281" s="104" t="n"/>
      <c r="BD281" s="104" t="n"/>
      <c r="BE281" s="104" t="n"/>
      <c r="BF281" s="104" t="n"/>
      <c r="BG281" s="104" t="n"/>
      <c r="BH281" s="104" t="n"/>
      <c r="BI281" s="104" t="n"/>
      <c r="BJ281" s="104" t="n"/>
      <c r="BK281" s="104" t="n"/>
      <c r="BL281" s="104" t="n"/>
      <c r="BM281" s="104" t="n"/>
      <c r="BN281" s="104" t="n"/>
      <c r="BO281" s="104" t="n"/>
      <c r="BP281" s="104" t="n"/>
      <c r="BQ281" s="104" t="n"/>
      <c r="BR281" s="104" t="n"/>
      <c r="BS281" s="104" t="n"/>
      <c r="BT281" s="104" t="n"/>
      <c r="BU281" s="104" t="n"/>
      <c r="BV281" s="104" t="n"/>
      <c r="BW281" s="104" t="n"/>
      <c r="BX281" s="104" t="n"/>
    </row>
    <row r="282">
      <c r="AC282" s="104" t="n"/>
      <c r="AD282" s="104" t="n"/>
      <c r="AE282" s="104" t="n"/>
      <c r="AF282" s="104" t="n"/>
      <c r="AG282" s="104" t="n"/>
      <c r="AH282" s="104" t="n"/>
      <c r="AI282" s="104" t="n"/>
      <c r="AJ282" s="104" t="n"/>
      <c r="AK282" s="104" t="n"/>
      <c r="AL282" s="104" t="n"/>
      <c r="AM282" s="104" t="n"/>
      <c r="AN282" s="104" t="n"/>
      <c r="AO282" s="104" t="n"/>
      <c r="AP282" s="104" t="n"/>
      <c r="AQ282" s="104" t="n"/>
      <c r="AR282" s="104" t="n"/>
      <c r="AS282" s="104" t="n"/>
      <c r="AT282" s="104" t="n"/>
      <c r="AU282" s="104" t="n"/>
      <c r="AV282" s="104" t="n"/>
      <c r="AW282" s="104" t="n"/>
      <c r="AX282" s="104" t="n"/>
      <c r="AY282" s="104" t="n"/>
      <c r="AZ282" s="104" t="n"/>
      <c r="BA282" s="104" t="n"/>
      <c r="BB282" s="104" t="n"/>
      <c r="BC282" s="104" t="n"/>
      <c r="BD282" s="104" t="n"/>
      <c r="BE282" s="104" t="n"/>
      <c r="BF282" s="104" t="n"/>
      <c r="BG282" s="104" t="n"/>
      <c r="BH282" s="104" t="n"/>
      <c r="BI282" s="104" t="n"/>
      <c r="BJ282" s="104" t="n"/>
      <c r="BK282" s="104" t="n"/>
      <c r="BL282" s="104" t="n"/>
      <c r="BM282" s="104" t="n"/>
      <c r="BN282" s="104" t="n"/>
      <c r="BO282" s="104" t="n"/>
      <c r="BP282" s="104" t="n"/>
      <c r="BQ282" s="104" t="n"/>
      <c r="BR282" s="104" t="n"/>
      <c r="BS282" s="104" t="n"/>
      <c r="BT282" s="104" t="n"/>
      <c r="BU282" s="104" t="n"/>
      <c r="BV282" s="104" t="n"/>
      <c r="BW282" s="104" t="n"/>
      <c r="BX282" s="104" t="n"/>
    </row>
    <row r="283">
      <c r="AC283" s="104" t="n"/>
      <c r="AD283" s="104" t="n"/>
      <c r="AE283" s="104" t="n"/>
      <c r="AF283" s="104" t="n"/>
      <c r="AG283" s="104" t="n"/>
      <c r="AH283" s="104" t="n"/>
      <c r="AI283" s="104" t="n"/>
      <c r="AJ283" s="104" t="n"/>
      <c r="AK283" s="104" t="n"/>
      <c r="AL283" s="104" t="n"/>
      <c r="AM283" s="104" t="n"/>
      <c r="AN283" s="104" t="n"/>
      <c r="AO283" s="104" t="n"/>
      <c r="AP283" s="104" t="n"/>
      <c r="AQ283" s="104" t="n"/>
      <c r="AR283" s="104" t="n"/>
      <c r="AS283" s="104" t="n"/>
      <c r="AT283" s="104" t="n"/>
      <c r="AU283" s="104" t="n"/>
      <c r="AV283" s="104" t="n"/>
      <c r="AW283" s="104" t="n"/>
      <c r="AX283" s="104" t="n"/>
      <c r="AY283" s="104" t="n"/>
      <c r="AZ283" s="104" t="n"/>
      <c r="BA283" s="104" t="n"/>
      <c r="BB283" s="104" t="n"/>
      <c r="BC283" s="104" t="n"/>
      <c r="BD283" s="104" t="n"/>
      <c r="BE283" s="104" t="n"/>
      <c r="BF283" s="104" t="n"/>
      <c r="BG283" s="104" t="n"/>
      <c r="BH283" s="104" t="n"/>
      <c r="BI283" s="104" t="n"/>
      <c r="BJ283" s="104" t="n"/>
      <c r="BK283" s="104" t="n"/>
      <c r="BL283" s="104" t="n"/>
      <c r="BM283" s="104" t="n"/>
      <c r="BN283" s="104" t="n"/>
      <c r="BO283" s="104" t="n"/>
      <c r="BP283" s="104" t="n"/>
      <c r="BQ283" s="104" t="n"/>
      <c r="BR283" s="104" t="n"/>
      <c r="BS283" s="104" t="n"/>
      <c r="BT283" s="104" t="n"/>
      <c r="BU283" s="104" t="n"/>
      <c r="BV283" s="104" t="n"/>
      <c r="BW283" s="104" t="n"/>
      <c r="BX283" s="104" t="n"/>
    </row>
    <row r="284">
      <c r="AC284" s="104" t="n"/>
      <c r="AD284" s="104" t="n"/>
      <c r="AE284" s="104" t="n"/>
      <c r="AF284" s="104" t="n"/>
      <c r="AG284" s="104" t="n"/>
      <c r="AH284" s="104" t="n"/>
      <c r="AI284" s="104" t="n"/>
      <c r="AJ284" s="104" t="n"/>
      <c r="AK284" s="104" t="n"/>
      <c r="AL284" s="104" t="n"/>
      <c r="AM284" s="104" t="n"/>
      <c r="AN284" s="104" t="n"/>
      <c r="AO284" s="104" t="n"/>
      <c r="AP284" s="104" t="n"/>
      <c r="AQ284" s="104" t="n"/>
      <c r="AR284" s="104" t="n"/>
      <c r="AS284" s="104" t="n"/>
      <c r="AT284" s="104" t="n"/>
      <c r="AU284" s="104" t="n"/>
      <c r="AV284" s="104" t="n"/>
      <c r="AW284" s="104" t="n"/>
      <c r="AX284" s="104" t="n"/>
      <c r="AY284" s="104" t="n"/>
      <c r="AZ284" s="104" t="n"/>
      <c r="BA284" s="104" t="n"/>
      <c r="BB284" s="104" t="n"/>
      <c r="BC284" s="104" t="n"/>
      <c r="BD284" s="104" t="n"/>
      <c r="BE284" s="104" t="n"/>
      <c r="BF284" s="104" t="n"/>
      <c r="BG284" s="104" t="n"/>
      <c r="BH284" s="104" t="n"/>
      <c r="BI284" s="104" t="n"/>
      <c r="BJ284" s="104" t="n"/>
      <c r="BK284" s="104" t="n"/>
      <c r="BL284" s="104" t="n"/>
      <c r="BM284" s="104" t="n"/>
      <c r="BN284" s="104" t="n"/>
      <c r="BO284" s="104" t="n"/>
      <c r="BP284" s="104" t="n"/>
      <c r="BQ284" s="104" t="n"/>
      <c r="BR284" s="104" t="n"/>
      <c r="BS284" s="104" t="n"/>
      <c r="BT284" s="104" t="n"/>
      <c r="BU284" s="104" t="n"/>
      <c r="BV284" s="104" t="n"/>
      <c r="BW284" s="104" t="n"/>
      <c r="BX284" s="104" t="n"/>
    </row>
    <row r="285">
      <c r="AC285" s="104" t="n"/>
      <c r="AD285" s="104" t="n"/>
      <c r="AE285" s="104" t="n"/>
      <c r="AF285" s="104" t="n"/>
      <c r="AG285" s="104" t="n"/>
      <c r="AH285" s="104" t="n"/>
      <c r="AI285" s="104" t="n"/>
      <c r="AJ285" s="104" t="n"/>
      <c r="AK285" s="104" t="n"/>
      <c r="AL285" s="104" t="n"/>
      <c r="AM285" s="104" t="n"/>
      <c r="AN285" s="104" t="n"/>
      <c r="AO285" s="104" t="n"/>
      <c r="AP285" s="104" t="n"/>
      <c r="AQ285" s="104" t="n"/>
      <c r="AR285" s="104" t="n"/>
      <c r="AS285" s="104" t="n"/>
      <c r="AT285" s="104" t="n"/>
      <c r="AU285" s="104" t="n"/>
      <c r="AV285" s="104" t="n"/>
      <c r="AW285" s="104" t="n"/>
      <c r="AX285" s="104" t="n"/>
      <c r="AY285" s="104" t="n"/>
      <c r="AZ285" s="104" t="n"/>
      <c r="BA285" s="104" t="n"/>
      <c r="BB285" s="104" t="n"/>
      <c r="BC285" s="104" t="n"/>
      <c r="BD285" s="104" t="n"/>
      <c r="BE285" s="104" t="n"/>
      <c r="BF285" s="104" t="n"/>
      <c r="BG285" s="104" t="n"/>
      <c r="BH285" s="104" t="n"/>
      <c r="BI285" s="104" t="n"/>
      <c r="BJ285" s="104" t="n"/>
      <c r="BK285" s="104" t="n"/>
      <c r="BL285" s="104" t="n"/>
      <c r="BM285" s="104" t="n"/>
      <c r="BN285" s="104" t="n"/>
      <c r="BO285" s="104" t="n"/>
      <c r="BP285" s="104" t="n"/>
      <c r="BQ285" s="104" t="n"/>
      <c r="BR285" s="104" t="n"/>
      <c r="BS285" s="104" t="n"/>
      <c r="BT285" s="104" t="n"/>
      <c r="BU285" s="104" t="n"/>
      <c r="BV285" s="104" t="n"/>
      <c r="BW285" s="104" t="n"/>
      <c r="BX285" s="104" t="n"/>
    </row>
    <row r="286">
      <c r="AC286" s="104" t="n"/>
      <c r="AD286" s="104" t="n"/>
      <c r="AE286" s="104" t="n"/>
      <c r="AF286" s="104" t="n"/>
      <c r="AG286" s="104" t="n"/>
      <c r="AH286" s="104" t="n"/>
      <c r="AI286" s="104" t="n"/>
      <c r="AJ286" s="104" t="n"/>
      <c r="AK286" s="104" t="n"/>
      <c r="AL286" s="104" t="n"/>
      <c r="AM286" s="104" t="n"/>
      <c r="AN286" s="104" t="n"/>
      <c r="AO286" s="104" t="n"/>
      <c r="AP286" s="104" t="n"/>
      <c r="AQ286" s="104" t="n"/>
      <c r="AR286" s="104" t="n"/>
      <c r="AS286" s="104" t="n"/>
      <c r="AT286" s="104" t="n"/>
      <c r="AU286" s="104" t="n"/>
      <c r="AV286" s="104" t="n"/>
      <c r="AW286" s="104" t="n"/>
      <c r="AX286" s="104" t="n"/>
      <c r="AY286" s="104" t="n"/>
      <c r="AZ286" s="104" t="n"/>
      <c r="BA286" s="104" t="n"/>
      <c r="BB286" s="104" t="n"/>
      <c r="BC286" s="104" t="n"/>
      <c r="BD286" s="104" t="n"/>
      <c r="BE286" s="104" t="n"/>
      <c r="BF286" s="104" t="n"/>
      <c r="BG286" s="104" t="n"/>
      <c r="BH286" s="104" t="n"/>
      <c r="BI286" s="104" t="n"/>
      <c r="BJ286" s="104" t="n"/>
      <c r="BK286" s="104" t="n"/>
      <c r="BL286" s="104" t="n"/>
      <c r="BM286" s="104" t="n"/>
      <c r="BN286" s="104" t="n"/>
      <c r="BO286" s="104" t="n"/>
      <c r="BP286" s="104" t="n"/>
      <c r="BQ286" s="104" t="n"/>
      <c r="BR286" s="104" t="n"/>
      <c r="BS286" s="104" t="n"/>
      <c r="BT286" s="104" t="n"/>
      <c r="BU286" s="104" t="n"/>
      <c r="BV286" s="104" t="n"/>
      <c r="BW286" s="104" t="n"/>
      <c r="BX286" s="104" t="n"/>
    </row>
    <row r="287">
      <c r="AC287" s="104" t="n"/>
      <c r="AD287" s="104" t="n"/>
      <c r="AE287" s="104" t="n"/>
      <c r="AF287" s="104" t="n"/>
      <c r="AG287" s="104" t="n"/>
      <c r="AH287" s="104" t="n"/>
      <c r="AI287" s="104" t="n"/>
      <c r="AJ287" s="104" t="n"/>
      <c r="AK287" s="104" t="n"/>
      <c r="AL287" s="104" t="n"/>
      <c r="AM287" s="104" t="n"/>
      <c r="AN287" s="104" t="n"/>
      <c r="AO287" s="104" t="n"/>
      <c r="AP287" s="104" t="n"/>
      <c r="AQ287" s="104" t="n"/>
      <c r="AR287" s="104" t="n"/>
      <c r="AS287" s="104" t="n"/>
      <c r="AT287" s="104" t="n"/>
      <c r="AU287" s="104" t="n"/>
      <c r="AV287" s="104" t="n"/>
      <c r="AW287" s="104" t="n"/>
      <c r="AX287" s="104" t="n"/>
      <c r="AY287" s="104" t="n"/>
      <c r="AZ287" s="104" t="n"/>
      <c r="BA287" s="104" t="n"/>
      <c r="BB287" s="104" t="n"/>
      <c r="BC287" s="104" t="n"/>
      <c r="BD287" s="104" t="n"/>
      <c r="BE287" s="104" t="n"/>
      <c r="BF287" s="104" t="n"/>
      <c r="BG287" s="104" t="n"/>
      <c r="BH287" s="104" t="n"/>
      <c r="BI287" s="104" t="n"/>
      <c r="BJ287" s="104" t="n"/>
      <c r="BK287" s="104" t="n"/>
      <c r="BL287" s="104" t="n"/>
      <c r="BM287" s="104" t="n"/>
      <c r="BN287" s="104" t="n"/>
      <c r="BO287" s="104" t="n"/>
      <c r="BP287" s="104" t="n"/>
      <c r="BQ287" s="104" t="n"/>
      <c r="BR287" s="104" t="n"/>
      <c r="BS287" s="104" t="n"/>
      <c r="BT287" s="104" t="n"/>
      <c r="BU287" s="104" t="n"/>
      <c r="BV287" s="104" t="n"/>
      <c r="BW287" s="104" t="n"/>
      <c r="BX287" s="104" t="n"/>
    </row>
    <row r="288">
      <c r="AC288" s="104" t="n"/>
      <c r="AD288" s="104" t="n"/>
      <c r="AE288" s="104" t="n"/>
      <c r="AF288" s="104" t="n"/>
      <c r="AG288" s="104" t="n"/>
      <c r="AH288" s="104" t="n"/>
      <c r="AI288" s="104" t="n"/>
      <c r="AJ288" s="104" t="n"/>
      <c r="AK288" s="104" t="n"/>
      <c r="AL288" s="104" t="n"/>
      <c r="AM288" s="104" t="n"/>
      <c r="AN288" s="104" t="n"/>
      <c r="AO288" s="104" t="n"/>
      <c r="AP288" s="104" t="n"/>
      <c r="AQ288" s="104" t="n"/>
      <c r="AR288" s="104" t="n"/>
      <c r="AS288" s="104" t="n"/>
      <c r="AT288" s="104" t="n"/>
      <c r="AU288" s="104" t="n"/>
      <c r="AV288" s="104" t="n"/>
      <c r="AW288" s="104" t="n"/>
      <c r="AX288" s="104" t="n"/>
      <c r="AY288" s="104" t="n"/>
      <c r="AZ288" s="104" t="n"/>
      <c r="BA288" s="104" t="n"/>
      <c r="BB288" s="104" t="n"/>
      <c r="BC288" s="104" t="n"/>
      <c r="BD288" s="104" t="n"/>
      <c r="BE288" s="104" t="n"/>
      <c r="BF288" s="104" t="n"/>
      <c r="BG288" s="104" t="n"/>
      <c r="BH288" s="104" t="n"/>
      <c r="BI288" s="104" t="n"/>
      <c r="BJ288" s="104" t="n"/>
      <c r="BK288" s="104" t="n"/>
      <c r="BL288" s="104" t="n"/>
      <c r="BM288" s="104" t="n"/>
      <c r="BN288" s="104" t="n"/>
      <c r="BO288" s="104" t="n"/>
      <c r="BP288" s="104" t="n"/>
      <c r="BQ288" s="104" t="n"/>
      <c r="BR288" s="104" t="n"/>
      <c r="BS288" s="104" t="n"/>
      <c r="BT288" s="104" t="n"/>
      <c r="BU288" s="104" t="n"/>
      <c r="BV288" s="104" t="n"/>
      <c r="BW288" s="104" t="n"/>
      <c r="BX288" s="104" t="n"/>
    </row>
    <row r="289">
      <c r="AC289" s="104" t="n"/>
      <c r="AD289" s="104" t="n"/>
      <c r="AE289" s="104" t="n"/>
      <c r="AF289" s="104" t="n"/>
      <c r="AG289" s="104" t="n"/>
      <c r="AH289" s="104" t="n"/>
      <c r="AI289" s="104" t="n"/>
      <c r="AJ289" s="104" t="n"/>
      <c r="AK289" s="104" t="n"/>
      <c r="AL289" s="104" t="n"/>
      <c r="AM289" s="104" t="n"/>
      <c r="AN289" s="104" t="n"/>
      <c r="AO289" s="104" t="n"/>
      <c r="AP289" s="104" t="n"/>
      <c r="AQ289" s="104" t="n"/>
      <c r="AR289" s="104" t="n"/>
      <c r="AS289" s="104" t="n"/>
      <c r="AT289" s="104" t="n"/>
      <c r="AU289" s="104" t="n"/>
      <c r="AV289" s="104" t="n"/>
      <c r="AW289" s="104" t="n"/>
      <c r="AX289" s="104" t="n"/>
      <c r="AY289" s="104" t="n"/>
      <c r="AZ289" s="104" t="n"/>
      <c r="BA289" s="104" t="n"/>
      <c r="BB289" s="104" t="n"/>
      <c r="BC289" s="104" t="n"/>
      <c r="BD289" s="104" t="n"/>
      <c r="BE289" s="104" t="n"/>
      <c r="BF289" s="104" t="n"/>
      <c r="BG289" s="104" t="n"/>
      <c r="BH289" s="104" t="n"/>
      <c r="BI289" s="104" t="n"/>
      <c r="BJ289" s="104" t="n"/>
      <c r="BK289" s="104" t="n"/>
      <c r="BL289" s="104" t="n"/>
      <c r="BM289" s="104" t="n"/>
      <c r="BN289" s="104" t="n"/>
      <c r="BO289" s="104" t="n"/>
      <c r="BP289" s="104" t="n"/>
      <c r="BQ289" s="104" t="n"/>
      <c r="BR289" s="104" t="n"/>
      <c r="BS289" s="104" t="n"/>
      <c r="BT289" s="104" t="n"/>
      <c r="BU289" s="104" t="n"/>
      <c r="BV289" s="104" t="n"/>
      <c r="BW289" s="104" t="n"/>
      <c r="BX289" s="104" t="n"/>
    </row>
    <row r="290">
      <c r="AC290" s="104" t="n"/>
      <c r="AD290" s="104" t="n"/>
      <c r="AE290" s="104" t="n"/>
      <c r="AF290" s="104" t="n"/>
      <c r="AG290" s="104" t="n"/>
      <c r="AH290" s="104" t="n"/>
      <c r="AI290" s="104" t="n"/>
      <c r="AJ290" s="104" t="n"/>
      <c r="AK290" s="104" t="n"/>
      <c r="AL290" s="104" t="n"/>
      <c r="AM290" s="104" t="n"/>
      <c r="AN290" s="104" t="n"/>
      <c r="AO290" s="104" t="n"/>
      <c r="AP290" s="104" t="n"/>
      <c r="AQ290" s="104" t="n"/>
      <c r="AR290" s="104" t="n"/>
      <c r="AS290" s="104" t="n"/>
      <c r="AT290" s="104" t="n"/>
      <c r="AU290" s="104" t="n"/>
      <c r="AV290" s="104" t="n"/>
      <c r="AW290" s="104" t="n"/>
      <c r="AX290" s="104" t="n"/>
      <c r="AY290" s="104" t="n"/>
      <c r="AZ290" s="104" t="n"/>
      <c r="BA290" s="104" t="n"/>
      <c r="BB290" s="104" t="n"/>
      <c r="BC290" s="104" t="n"/>
      <c r="BD290" s="104" t="n"/>
      <c r="BE290" s="104" t="n"/>
      <c r="BF290" s="104" t="n"/>
      <c r="BG290" s="104" t="n"/>
      <c r="BH290" s="104" t="n"/>
      <c r="BI290" s="104" t="n"/>
      <c r="BJ290" s="104" t="n"/>
      <c r="BK290" s="104" t="n"/>
      <c r="BL290" s="104" t="n"/>
      <c r="BM290" s="104" t="n"/>
      <c r="BN290" s="104" t="n"/>
      <c r="BO290" s="104" t="n"/>
      <c r="BP290" s="104" t="n"/>
      <c r="BQ290" s="104" t="n"/>
      <c r="BR290" s="104" t="n"/>
      <c r="BS290" s="104" t="n"/>
      <c r="BT290" s="104" t="n"/>
      <c r="BU290" s="104" t="n"/>
      <c r="BV290" s="104" t="n"/>
      <c r="BW290" s="104" t="n"/>
      <c r="BX290" s="104" t="n"/>
    </row>
    <row r="291">
      <c r="AC291" s="104" t="n"/>
      <c r="AD291" s="104" t="n"/>
      <c r="AE291" s="104" t="n"/>
      <c r="AF291" s="104" t="n"/>
      <c r="AG291" s="104" t="n"/>
      <c r="AH291" s="104" t="n"/>
      <c r="AI291" s="104" t="n"/>
      <c r="AJ291" s="104" t="n"/>
      <c r="AK291" s="104" t="n"/>
      <c r="AL291" s="104" t="n"/>
      <c r="AM291" s="104" t="n"/>
      <c r="AN291" s="104" t="n"/>
      <c r="AO291" s="104" t="n"/>
      <c r="AP291" s="104" t="n"/>
      <c r="AQ291" s="104" t="n"/>
      <c r="AR291" s="104" t="n"/>
      <c r="AS291" s="104" t="n"/>
      <c r="AT291" s="104" t="n"/>
      <c r="AU291" s="104" t="n"/>
      <c r="AV291" s="104" t="n"/>
      <c r="AW291" s="104" t="n"/>
      <c r="AX291" s="104" t="n"/>
      <c r="AY291" s="104" t="n"/>
      <c r="AZ291" s="104" t="n"/>
      <c r="BA291" s="104" t="n"/>
      <c r="BB291" s="104" t="n"/>
      <c r="BC291" s="104" t="n"/>
      <c r="BD291" s="104" t="n"/>
      <c r="BE291" s="104" t="n"/>
      <c r="BF291" s="104" t="n"/>
      <c r="BG291" s="104" t="n"/>
      <c r="BH291" s="104" t="n"/>
      <c r="BI291" s="104" t="n"/>
      <c r="BJ291" s="104" t="n"/>
      <c r="BK291" s="104" t="n"/>
      <c r="BL291" s="104" t="n"/>
      <c r="BM291" s="104" t="n"/>
      <c r="BN291" s="104" t="n"/>
      <c r="BO291" s="104" t="n"/>
      <c r="BP291" s="104" t="n"/>
      <c r="BQ291" s="104" t="n"/>
      <c r="BR291" s="104" t="n"/>
      <c r="BS291" s="104" t="n"/>
      <c r="BT291" s="104" t="n"/>
      <c r="BU291" s="104" t="n"/>
      <c r="BV291" s="104" t="n"/>
      <c r="BW291" s="104" t="n"/>
      <c r="BX291" s="104" t="n"/>
    </row>
    <row r="292">
      <c r="AC292" s="104" t="n"/>
      <c r="AD292" s="104" t="n"/>
      <c r="AE292" s="104" t="n"/>
      <c r="AF292" s="104" t="n"/>
      <c r="AG292" s="104" t="n"/>
      <c r="AH292" s="104" t="n"/>
      <c r="AI292" s="104" t="n"/>
      <c r="AJ292" s="104" t="n"/>
      <c r="AK292" s="104" t="n"/>
      <c r="AL292" s="104" t="n"/>
      <c r="AM292" s="104" t="n"/>
      <c r="AN292" s="104" t="n"/>
      <c r="AO292" s="104" t="n"/>
      <c r="AP292" s="104" t="n"/>
      <c r="AQ292" s="104" t="n"/>
      <c r="AR292" s="104" t="n"/>
      <c r="AS292" s="104" t="n"/>
      <c r="AT292" s="104" t="n"/>
      <c r="AU292" s="104" t="n"/>
      <c r="AV292" s="104" t="n"/>
      <c r="AW292" s="104" t="n"/>
      <c r="AX292" s="104" t="n"/>
      <c r="AY292" s="104" t="n"/>
      <c r="AZ292" s="104" t="n"/>
      <c r="BA292" s="104" t="n"/>
      <c r="BB292" s="104" t="n"/>
      <c r="BC292" s="104" t="n"/>
      <c r="BD292" s="104" t="n"/>
      <c r="BE292" s="104" t="n"/>
      <c r="BF292" s="104" t="n"/>
      <c r="BG292" s="104" t="n"/>
      <c r="BH292" s="104" t="n"/>
      <c r="BI292" s="104" t="n"/>
      <c r="BJ292" s="104" t="n"/>
      <c r="BK292" s="104" t="n"/>
      <c r="BL292" s="104" t="n"/>
      <c r="BM292" s="104" t="n"/>
      <c r="BN292" s="104" t="n"/>
      <c r="BO292" s="104" t="n"/>
      <c r="BP292" s="104" t="n"/>
      <c r="BQ292" s="104" t="n"/>
      <c r="BR292" s="104" t="n"/>
      <c r="BS292" s="104" t="n"/>
      <c r="BT292" s="104" t="n"/>
      <c r="BU292" s="104" t="n"/>
      <c r="BV292" s="104" t="n"/>
      <c r="BW292" s="104" t="n"/>
      <c r="BX292" s="104" t="n"/>
    </row>
    <row r="293">
      <c r="AC293" s="104" t="n"/>
      <c r="AD293" s="104" t="n"/>
      <c r="AE293" s="104" t="n"/>
      <c r="AF293" s="104" t="n"/>
      <c r="AG293" s="104" t="n"/>
      <c r="AH293" s="104" t="n"/>
      <c r="AI293" s="104" t="n"/>
      <c r="AJ293" s="104" t="n"/>
      <c r="AK293" s="104" t="n"/>
      <c r="AL293" s="104" t="n"/>
      <c r="AM293" s="104" t="n"/>
      <c r="AN293" s="104" t="n"/>
      <c r="AO293" s="104" t="n"/>
      <c r="AP293" s="104" t="n"/>
      <c r="AQ293" s="104" t="n"/>
      <c r="AR293" s="104" t="n"/>
      <c r="AS293" s="104" t="n"/>
      <c r="AT293" s="104" t="n"/>
      <c r="AU293" s="104" t="n"/>
      <c r="AV293" s="104" t="n"/>
      <c r="AW293" s="104" t="n"/>
      <c r="AX293" s="104" t="n"/>
      <c r="AY293" s="104" t="n"/>
      <c r="AZ293" s="104" t="n"/>
      <c r="BA293" s="104" t="n"/>
      <c r="BB293" s="104" t="n"/>
      <c r="BC293" s="104" t="n"/>
      <c r="BD293" s="104" t="n"/>
      <c r="BE293" s="104" t="n"/>
      <c r="BF293" s="104" t="n"/>
      <c r="BG293" s="104" t="n"/>
      <c r="BH293" s="104" t="n"/>
      <c r="BI293" s="104" t="n"/>
      <c r="BJ293" s="104" t="n"/>
      <c r="BK293" s="104" t="n"/>
      <c r="BL293" s="104" t="n"/>
      <c r="BM293" s="104" t="n"/>
      <c r="BN293" s="104" t="n"/>
      <c r="BO293" s="104" t="n"/>
      <c r="BP293" s="104" t="n"/>
      <c r="BQ293" s="104" t="n"/>
      <c r="BR293" s="104" t="n"/>
      <c r="BS293" s="104" t="n"/>
      <c r="BT293" s="104" t="n"/>
      <c r="BU293" s="104" t="n"/>
      <c r="BV293" s="104" t="n"/>
      <c r="BW293" s="104" t="n"/>
      <c r="BX293" s="104" t="n"/>
    </row>
    <row r="294">
      <c r="AC294" s="104" t="n"/>
      <c r="AD294" s="104" t="n"/>
      <c r="AE294" s="104" t="n"/>
      <c r="AF294" s="104" t="n"/>
      <c r="AG294" s="104" t="n"/>
      <c r="AH294" s="104" t="n"/>
      <c r="AI294" s="104" t="n"/>
      <c r="AJ294" s="104" t="n"/>
      <c r="AK294" s="104" t="n"/>
      <c r="AL294" s="104" t="n"/>
      <c r="AM294" s="104" t="n"/>
      <c r="AN294" s="104" t="n"/>
      <c r="AO294" s="104" t="n"/>
      <c r="AP294" s="104" t="n"/>
      <c r="AQ294" s="104" t="n"/>
      <c r="AR294" s="104" t="n"/>
      <c r="AS294" s="104" t="n"/>
      <c r="AT294" s="104" t="n"/>
      <c r="AU294" s="104" t="n"/>
      <c r="AV294" s="104" t="n"/>
      <c r="AW294" s="104" t="n"/>
      <c r="AX294" s="104" t="n"/>
      <c r="AY294" s="104" t="n"/>
      <c r="AZ294" s="104" t="n"/>
      <c r="BA294" s="104" t="n"/>
      <c r="BB294" s="104" t="n"/>
      <c r="BC294" s="104" t="n"/>
      <c r="BD294" s="104" t="n"/>
      <c r="BE294" s="104" t="n"/>
      <c r="BF294" s="104" t="n"/>
      <c r="BG294" s="104" t="n"/>
      <c r="BH294" s="104" t="n"/>
      <c r="BI294" s="104" t="n"/>
      <c r="BJ294" s="104" t="n"/>
      <c r="BK294" s="104" t="n"/>
      <c r="BL294" s="104" t="n"/>
      <c r="BM294" s="104" t="n"/>
      <c r="BN294" s="104" t="n"/>
      <c r="BO294" s="104" t="n"/>
      <c r="BP294" s="104" t="n"/>
      <c r="BQ294" s="104" t="n"/>
      <c r="BR294" s="104" t="n"/>
      <c r="BS294" s="104" t="n"/>
      <c r="BT294" s="104" t="n"/>
      <c r="BU294" s="104" t="n"/>
      <c r="BV294" s="104" t="n"/>
      <c r="BW294" s="104" t="n"/>
      <c r="BX294" s="104" t="n"/>
    </row>
    <row r="295">
      <c r="AC295" s="104" t="n"/>
      <c r="AD295" s="104" t="n"/>
      <c r="AE295" s="104" t="n"/>
      <c r="AF295" s="104" t="n"/>
      <c r="AG295" s="104" t="n"/>
      <c r="AH295" s="104" t="n"/>
      <c r="AI295" s="104" t="n"/>
      <c r="AJ295" s="104" t="n"/>
      <c r="AK295" s="104" t="n"/>
      <c r="AL295" s="104" t="n"/>
      <c r="AM295" s="104" t="n"/>
      <c r="AN295" s="104" t="n"/>
      <c r="AO295" s="104" t="n"/>
      <c r="AP295" s="104" t="n"/>
      <c r="AQ295" s="104" t="n"/>
      <c r="AR295" s="104" t="n"/>
      <c r="AS295" s="104" t="n"/>
      <c r="AT295" s="104" t="n"/>
      <c r="AU295" s="104" t="n"/>
      <c r="AV295" s="104" t="n"/>
      <c r="AW295" s="104" t="n"/>
      <c r="AX295" s="104" t="n"/>
      <c r="AY295" s="104" t="n"/>
      <c r="AZ295" s="104" t="n"/>
      <c r="BA295" s="104" t="n"/>
      <c r="BB295" s="104" t="n"/>
      <c r="BC295" s="104" t="n"/>
      <c r="BD295" s="104" t="n"/>
      <c r="BE295" s="104" t="n"/>
      <c r="BF295" s="104" t="n"/>
      <c r="BG295" s="104" t="n"/>
      <c r="BH295" s="104" t="n"/>
      <c r="BI295" s="104" t="n"/>
      <c r="BJ295" s="104" t="n"/>
      <c r="BK295" s="104" t="n"/>
      <c r="BL295" s="104" t="n"/>
      <c r="BM295" s="104" t="n"/>
      <c r="BN295" s="104" t="n"/>
      <c r="BO295" s="104" t="n"/>
      <c r="BP295" s="104" t="n"/>
      <c r="BQ295" s="104" t="n"/>
      <c r="BR295" s="104" t="n"/>
      <c r="BS295" s="104" t="n"/>
      <c r="BT295" s="104" t="n"/>
      <c r="BU295" s="104" t="n"/>
      <c r="BV295" s="104" t="n"/>
      <c r="BW295" s="104" t="n"/>
      <c r="BX295" s="104" t="n"/>
    </row>
    <row r="296">
      <c r="AC296" s="104" t="n"/>
      <c r="AD296" s="104" t="n"/>
      <c r="AE296" s="104" t="n"/>
      <c r="AF296" s="104" t="n"/>
      <c r="AG296" s="104" t="n"/>
      <c r="AH296" s="104" t="n"/>
      <c r="AI296" s="104" t="n"/>
      <c r="AJ296" s="104" t="n"/>
      <c r="AK296" s="104" t="n"/>
      <c r="AL296" s="104" t="n"/>
      <c r="AM296" s="104" t="n"/>
      <c r="AN296" s="104" t="n"/>
      <c r="AO296" s="104" t="n"/>
      <c r="AP296" s="104" t="n"/>
      <c r="AQ296" s="104" t="n"/>
      <c r="AR296" s="104" t="n"/>
      <c r="AS296" s="104" t="n"/>
      <c r="AT296" s="104" t="n"/>
      <c r="AU296" s="104" t="n"/>
      <c r="AV296" s="104" t="n"/>
      <c r="AW296" s="104" t="n"/>
      <c r="AX296" s="104" t="n"/>
      <c r="AY296" s="104" t="n"/>
      <c r="AZ296" s="104" t="n"/>
      <c r="BA296" s="104" t="n"/>
      <c r="BB296" s="104" t="n"/>
      <c r="BC296" s="104" t="n"/>
      <c r="BD296" s="104" t="n"/>
      <c r="BE296" s="104" t="n"/>
      <c r="BF296" s="104" t="n"/>
      <c r="BG296" s="104" t="n"/>
      <c r="BH296" s="104" t="n"/>
      <c r="BI296" s="104" t="n"/>
      <c r="BJ296" s="104" t="n"/>
      <c r="BK296" s="104" t="n"/>
      <c r="BL296" s="104" t="n"/>
      <c r="BM296" s="104" t="n"/>
      <c r="BN296" s="104" t="n"/>
      <c r="BO296" s="104" t="n"/>
      <c r="BP296" s="104" t="n"/>
      <c r="BQ296" s="104" t="n"/>
      <c r="BR296" s="104" t="n"/>
      <c r="BS296" s="104" t="n"/>
      <c r="BT296" s="104" t="n"/>
      <c r="BU296" s="104" t="n"/>
      <c r="BV296" s="104" t="n"/>
      <c r="BW296" s="104" t="n"/>
      <c r="BX296" s="104" t="n"/>
    </row>
    <row r="297">
      <c r="AC297" s="104" t="n"/>
      <c r="AD297" s="104" t="n"/>
      <c r="AE297" s="104" t="n"/>
      <c r="AF297" s="104" t="n"/>
      <c r="AG297" s="104" t="n"/>
      <c r="AH297" s="104" t="n"/>
      <c r="AI297" s="104" t="n"/>
      <c r="AJ297" s="104" t="n"/>
      <c r="AK297" s="104" t="n"/>
      <c r="AL297" s="104" t="n"/>
      <c r="AM297" s="104" t="n"/>
      <c r="AN297" s="104" t="n"/>
      <c r="AO297" s="104" t="n"/>
      <c r="AP297" s="104" t="n"/>
      <c r="AQ297" s="104" t="n"/>
      <c r="AR297" s="104" t="n"/>
      <c r="AS297" s="104" t="n"/>
      <c r="AT297" s="104" t="n"/>
      <c r="AU297" s="104" t="n"/>
      <c r="AV297" s="104" t="n"/>
      <c r="AW297" s="104" t="n"/>
      <c r="AX297" s="104" t="n"/>
      <c r="AY297" s="104" t="n"/>
      <c r="AZ297" s="104" t="n"/>
      <c r="BA297" s="104" t="n"/>
      <c r="BB297" s="104" t="n"/>
      <c r="BC297" s="104" t="n"/>
      <c r="BD297" s="104" t="n"/>
      <c r="BE297" s="104" t="n"/>
      <c r="BF297" s="104" t="n"/>
      <c r="BG297" s="104" t="n"/>
      <c r="BH297" s="104" t="n"/>
      <c r="BI297" s="104" t="n"/>
      <c r="BJ297" s="104" t="n"/>
      <c r="BK297" s="104" t="n"/>
      <c r="BL297" s="104" t="n"/>
      <c r="BM297" s="104" t="n"/>
      <c r="BN297" s="104" t="n"/>
      <c r="BO297" s="104" t="n"/>
      <c r="BP297" s="104" t="n"/>
      <c r="BQ297" s="104" t="n"/>
      <c r="BR297" s="104" t="n"/>
      <c r="BS297" s="104" t="n"/>
      <c r="BT297" s="104" t="n"/>
      <c r="BU297" s="104" t="n"/>
      <c r="BV297" s="104" t="n"/>
      <c r="BW297" s="104" t="n"/>
      <c r="BX297" s="104" t="n"/>
    </row>
    <row r="298">
      <c r="AC298" s="104" t="n"/>
      <c r="AD298" s="104" t="n"/>
      <c r="AE298" s="104" t="n"/>
      <c r="AF298" s="104" t="n"/>
      <c r="AG298" s="104" t="n"/>
      <c r="AH298" s="104" t="n"/>
      <c r="AI298" s="104" t="n"/>
      <c r="AJ298" s="104" t="n"/>
      <c r="AK298" s="104" t="n"/>
      <c r="AL298" s="104" t="n"/>
      <c r="AM298" s="104" t="n"/>
      <c r="AN298" s="104" t="n"/>
      <c r="AO298" s="104" t="n"/>
      <c r="AP298" s="104" t="n"/>
      <c r="AQ298" s="104" t="n"/>
      <c r="AR298" s="104" t="n"/>
      <c r="AS298" s="104" t="n"/>
      <c r="AT298" s="104" t="n"/>
      <c r="AU298" s="104" t="n"/>
      <c r="AV298" s="104" t="n"/>
      <c r="AW298" s="104" t="n"/>
      <c r="AX298" s="104" t="n"/>
      <c r="AY298" s="104" t="n"/>
      <c r="AZ298" s="104" t="n"/>
      <c r="BA298" s="104" t="n"/>
      <c r="BB298" s="104" t="n"/>
      <c r="BC298" s="104" t="n"/>
      <c r="BD298" s="104" t="n"/>
      <c r="BE298" s="104" t="n"/>
      <c r="BF298" s="104" t="n"/>
      <c r="BG298" s="104" t="n"/>
      <c r="BH298" s="104" t="n"/>
      <c r="BI298" s="104" t="n"/>
      <c r="BJ298" s="104" t="n"/>
      <c r="BK298" s="104" t="n"/>
      <c r="BL298" s="104" t="n"/>
      <c r="BM298" s="104" t="n"/>
      <c r="BN298" s="104" t="n"/>
      <c r="BO298" s="104" t="n"/>
      <c r="BP298" s="104" t="n"/>
      <c r="BQ298" s="104" t="n"/>
      <c r="BR298" s="104" t="n"/>
      <c r="BS298" s="104" t="n"/>
      <c r="BT298" s="104" t="n"/>
      <c r="BU298" s="104" t="n"/>
      <c r="BV298" s="104" t="n"/>
      <c r="BW298" s="104" t="n"/>
      <c r="BX298" s="104" t="n"/>
    </row>
    <row r="299">
      <c r="AC299" s="104" t="n"/>
      <c r="AD299" s="104" t="n"/>
      <c r="AE299" s="104" t="n"/>
      <c r="AF299" s="104" t="n"/>
      <c r="AG299" s="104" t="n"/>
      <c r="AH299" s="104" t="n"/>
      <c r="AI299" s="104" t="n"/>
      <c r="AJ299" s="104" t="n"/>
      <c r="AK299" s="104" t="n"/>
      <c r="AL299" s="104" t="n"/>
      <c r="AM299" s="104" t="n"/>
      <c r="AN299" s="104" t="n"/>
      <c r="AO299" s="104" t="n"/>
      <c r="AP299" s="104" t="n"/>
      <c r="AQ299" s="104" t="n"/>
      <c r="AR299" s="104" t="n"/>
      <c r="AS299" s="104" t="n"/>
      <c r="AT299" s="104" t="n"/>
      <c r="AU299" s="104" t="n"/>
      <c r="AV299" s="104" t="n"/>
      <c r="AW299" s="104" t="n"/>
      <c r="AX299" s="104" t="n"/>
      <c r="AY299" s="104" t="n"/>
      <c r="AZ299" s="104" t="n"/>
      <c r="BA299" s="104" t="n"/>
      <c r="BB299" s="104" t="n"/>
      <c r="BC299" s="104" t="n"/>
      <c r="BD299" s="104" t="n"/>
      <c r="BE299" s="104" t="n"/>
      <c r="BF299" s="104" t="n"/>
      <c r="BG299" s="104" t="n"/>
      <c r="BH299" s="104" t="n"/>
      <c r="BI299" s="104" t="n"/>
      <c r="BJ299" s="104" t="n"/>
      <c r="BK299" s="104" t="n"/>
      <c r="BL299" s="104" t="n"/>
      <c r="BM299" s="104" t="n"/>
      <c r="BN299" s="104" t="n"/>
      <c r="BO299" s="104" t="n"/>
      <c r="BP299" s="104" t="n"/>
      <c r="BQ299" s="104" t="n"/>
      <c r="BR299" s="104" t="n"/>
      <c r="BS299" s="104" t="n"/>
      <c r="BT299" s="104" t="n"/>
      <c r="BU299" s="104" t="n"/>
      <c r="BV299" s="104" t="n"/>
      <c r="BW299" s="104" t="n"/>
      <c r="BX299" s="104" t="n"/>
    </row>
    <row r="300">
      <c r="AC300" s="104" t="n"/>
      <c r="AD300" s="104" t="n"/>
      <c r="AE300" s="104" t="n"/>
      <c r="AF300" s="104" t="n"/>
      <c r="AG300" s="104" t="n"/>
      <c r="AH300" s="104" t="n"/>
      <c r="AI300" s="104" t="n"/>
      <c r="AJ300" s="104" t="n"/>
      <c r="AK300" s="104" t="n"/>
      <c r="AL300" s="104" t="n"/>
      <c r="AM300" s="104" t="n"/>
      <c r="AN300" s="104" t="n"/>
      <c r="AO300" s="104" t="n"/>
      <c r="AP300" s="104" t="n"/>
      <c r="AQ300" s="104" t="n"/>
      <c r="AR300" s="104" t="n"/>
      <c r="AS300" s="104" t="n"/>
      <c r="AT300" s="104" t="n"/>
      <c r="AU300" s="104" t="n"/>
      <c r="AV300" s="104" t="n"/>
      <c r="AW300" s="104" t="n"/>
      <c r="AX300" s="104" t="n"/>
      <c r="AY300" s="104" t="n"/>
      <c r="AZ300" s="104" t="n"/>
      <c r="BA300" s="104" t="n"/>
      <c r="BB300" s="104" t="n"/>
      <c r="BC300" s="104" t="n"/>
      <c r="BD300" s="104" t="n"/>
      <c r="BE300" s="104" t="n"/>
      <c r="BF300" s="104" t="n"/>
      <c r="BG300" s="104" t="n"/>
      <c r="BH300" s="104" t="n"/>
      <c r="BI300" s="104" t="n"/>
      <c r="BJ300" s="104" t="n"/>
      <c r="BK300" s="104" t="n"/>
      <c r="BL300" s="104" t="n"/>
      <c r="BM300" s="104" t="n"/>
      <c r="BN300" s="104" t="n"/>
      <c r="BO300" s="104" t="n"/>
      <c r="BP300" s="104" t="n"/>
      <c r="BQ300" s="104" t="n"/>
      <c r="BR300" s="104" t="n"/>
      <c r="BS300" s="104" t="n"/>
      <c r="BT300" s="104" t="n"/>
      <c r="BU300" s="104" t="n"/>
      <c r="BV300" s="104" t="n"/>
      <c r="BW300" s="104" t="n"/>
      <c r="BX300" s="104" t="n"/>
    </row>
    <row r="301">
      <c r="AC301" s="104" t="n"/>
      <c r="AD301" s="104" t="n"/>
      <c r="AE301" s="104" t="n"/>
      <c r="AF301" s="104" t="n"/>
      <c r="AG301" s="104" t="n"/>
      <c r="AH301" s="104" t="n"/>
      <c r="AI301" s="104" t="n"/>
      <c r="AJ301" s="104" t="n"/>
      <c r="AK301" s="104" t="n"/>
      <c r="AL301" s="104" t="n"/>
      <c r="AM301" s="104" t="n"/>
      <c r="AN301" s="104" t="n"/>
      <c r="AO301" s="104" t="n"/>
      <c r="AP301" s="104" t="n"/>
      <c r="AQ301" s="104" t="n"/>
      <c r="AR301" s="104" t="n"/>
      <c r="AS301" s="104" t="n"/>
      <c r="AT301" s="104" t="n"/>
      <c r="AU301" s="104" t="n"/>
      <c r="AV301" s="104" t="n"/>
      <c r="AW301" s="104" t="n"/>
      <c r="AX301" s="104" t="n"/>
      <c r="AY301" s="104" t="n"/>
      <c r="AZ301" s="104" t="n"/>
      <c r="BA301" s="104" t="n"/>
      <c r="BB301" s="104" t="n"/>
      <c r="BC301" s="104" t="n"/>
      <c r="BD301" s="104" t="n"/>
      <c r="BE301" s="104" t="n"/>
      <c r="BF301" s="104" t="n"/>
      <c r="BG301" s="104" t="n"/>
      <c r="BH301" s="104" t="n"/>
      <c r="BI301" s="104" t="n"/>
      <c r="BJ301" s="104" t="n"/>
      <c r="BK301" s="104" t="n"/>
      <c r="BL301" s="104" t="n"/>
      <c r="BM301" s="104" t="n"/>
      <c r="BN301" s="104" t="n"/>
      <c r="BO301" s="104" t="n"/>
      <c r="BP301" s="104" t="n"/>
      <c r="BQ301" s="104" t="n"/>
      <c r="BR301" s="104" t="n"/>
      <c r="BS301" s="104" t="n"/>
      <c r="BT301" s="104" t="n"/>
      <c r="BU301" s="104" t="n"/>
      <c r="BV301" s="104" t="n"/>
      <c r="BW301" s="104" t="n"/>
      <c r="BX301" s="104" t="n"/>
    </row>
    <row r="302">
      <c r="AC302" s="104" t="n"/>
      <c r="AD302" s="104" t="n"/>
      <c r="AE302" s="104" t="n"/>
      <c r="AF302" s="104" t="n"/>
      <c r="AG302" s="104" t="n"/>
      <c r="AH302" s="104" t="n"/>
      <c r="AI302" s="104" t="n"/>
      <c r="AJ302" s="104" t="n"/>
      <c r="AK302" s="104" t="n"/>
      <c r="AL302" s="104" t="n"/>
      <c r="AM302" s="104" t="n"/>
      <c r="AN302" s="104" t="n"/>
      <c r="AO302" s="104" t="n"/>
      <c r="AP302" s="104" t="n"/>
      <c r="AQ302" s="104" t="n"/>
      <c r="AR302" s="104" t="n"/>
      <c r="AS302" s="104" t="n"/>
      <c r="AT302" s="104" t="n"/>
      <c r="AU302" s="104" t="n"/>
      <c r="AV302" s="104" t="n"/>
      <c r="AW302" s="104" t="n"/>
      <c r="AX302" s="104" t="n"/>
      <c r="AY302" s="104" t="n"/>
      <c r="AZ302" s="104" t="n"/>
      <c r="BA302" s="104" t="n"/>
      <c r="BB302" s="104" t="n"/>
      <c r="BC302" s="104" t="n"/>
      <c r="BD302" s="104" t="n"/>
      <c r="BE302" s="104" t="n"/>
      <c r="BF302" s="104" t="n"/>
      <c r="BG302" s="104" t="n"/>
      <c r="BH302" s="104" t="n"/>
      <c r="BI302" s="104" t="n"/>
      <c r="BJ302" s="104" t="n"/>
      <c r="BK302" s="104" t="n"/>
      <c r="BL302" s="104" t="n"/>
      <c r="BM302" s="104" t="n"/>
      <c r="BN302" s="104" t="n"/>
      <c r="BO302" s="104" t="n"/>
      <c r="BP302" s="104" t="n"/>
      <c r="BQ302" s="104" t="n"/>
      <c r="BR302" s="104" t="n"/>
      <c r="BS302" s="104" t="n"/>
      <c r="BT302" s="104" t="n"/>
      <c r="BU302" s="104" t="n"/>
      <c r="BV302" s="104" t="n"/>
      <c r="BW302" s="104" t="n"/>
      <c r="BX302" s="104" t="n"/>
    </row>
    <row r="303">
      <c r="AC303" s="104" t="n"/>
      <c r="AD303" s="104" t="n"/>
      <c r="AE303" s="104" t="n"/>
      <c r="AF303" s="104" t="n"/>
      <c r="AG303" s="104" t="n"/>
      <c r="AH303" s="104" t="n"/>
      <c r="AI303" s="104" t="n"/>
      <c r="AJ303" s="104" t="n"/>
      <c r="AK303" s="104" t="n"/>
      <c r="AL303" s="104" t="n"/>
      <c r="AM303" s="104" t="n"/>
      <c r="AN303" s="104" t="n"/>
      <c r="AO303" s="104" t="n"/>
      <c r="AP303" s="104" t="n"/>
      <c r="AQ303" s="104" t="n"/>
      <c r="AR303" s="104" t="n"/>
      <c r="AS303" s="104" t="n"/>
      <c r="AT303" s="104" t="n"/>
      <c r="AU303" s="104" t="n"/>
      <c r="AV303" s="104" t="n"/>
      <c r="AW303" s="104" t="n"/>
      <c r="AX303" s="104" t="n"/>
      <c r="AY303" s="104" t="n"/>
      <c r="AZ303" s="104" t="n"/>
      <c r="BA303" s="104" t="n"/>
      <c r="BB303" s="104" t="n"/>
      <c r="BC303" s="104" t="n"/>
      <c r="BD303" s="104" t="n"/>
      <c r="BE303" s="104" t="n"/>
      <c r="BF303" s="104" t="n"/>
      <c r="BG303" s="104" t="n"/>
      <c r="BH303" s="104" t="n"/>
      <c r="BI303" s="104" t="n"/>
      <c r="BJ303" s="104" t="n"/>
      <c r="BK303" s="104" t="n"/>
      <c r="BL303" s="104" t="n"/>
      <c r="BM303" s="104" t="n"/>
      <c r="BN303" s="104" t="n"/>
      <c r="BO303" s="104" t="n"/>
      <c r="BP303" s="104" t="n"/>
      <c r="BQ303" s="104" t="n"/>
      <c r="BR303" s="104" t="n"/>
      <c r="BS303" s="104" t="n"/>
      <c r="BT303" s="104" t="n"/>
      <c r="BU303" s="104" t="n"/>
      <c r="BV303" s="104" t="n"/>
      <c r="BW303" s="104" t="n"/>
      <c r="BX303" s="104" t="n"/>
    </row>
    <row r="304">
      <c r="AC304" s="104" t="n"/>
      <c r="AD304" s="104" t="n"/>
      <c r="AE304" s="104" t="n"/>
      <c r="AF304" s="104" t="n"/>
      <c r="AG304" s="104" t="n"/>
      <c r="AH304" s="104" t="n"/>
      <c r="AI304" s="104" t="n"/>
      <c r="AJ304" s="104" t="n"/>
      <c r="AK304" s="104" t="n"/>
      <c r="AL304" s="104" t="n"/>
      <c r="AM304" s="104" t="n"/>
      <c r="AN304" s="104" t="n"/>
      <c r="AO304" s="104" t="n"/>
      <c r="AP304" s="104" t="n"/>
      <c r="AQ304" s="104" t="n"/>
      <c r="AR304" s="104" t="n"/>
      <c r="AS304" s="104" t="n"/>
      <c r="AT304" s="104" t="n"/>
      <c r="AU304" s="104" t="n"/>
      <c r="AV304" s="104" t="n"/>
      <c r="AW304" s="104" t="n"/>
      <c r="AX304" s="104" t="n"/>
      <c r="AY304" s="104" t="n"/>
      <c r="AZ304" s="104" t="n"/>
      <c r="BA304" s="104" t="n"/>
      <c r="BB304" s="104" t="n"/>
      <c r="BC304" s="104" t="n"/>
      <c r="BD304" s="104" t="n"/>
      <c r="BE304" s="104" t="n"/>
      <c r="BF304" s="104" t="n"/>
      <c r="BG304" s="104" t="n"/>
      <c r="BH304" s="104" t="n"/>
      <c r="BI304" s="104" t="n"/>
      <c r="BJ304" s="104" t="n"/>
      <c r="BK304" s="104" t="n"/>
      <c r="BL304" s="104" t="n"/>
      <c r="BM304" s="104" t="n"/>
      <c r="BN304" s="104" t="n"/>
      <c r="BO304" s="104" t="n"/>
      <c r="BP304" s="104" t="n"/>
      <c r="BQ304" s="104" t="n"/>
      <c r="BR304" s="104" t="n"/>
      <c r="BS304" s="104" t="n"/>
      <c r="BT304" s="104" t="n"/>
      <c r="BU304" s="104" t="n"/>
      <c r="BV304" s="104" t="n"/>
      <c r="BW304" s="104" t="n"/>
      <c r="BX304" s="104" t="n"/>
    </row>
    <row r="305">
      <c r="AC305" s="104" t="n"/>
      <c r="AD305" s="104" t="n"/>
      <c r="AE305" s="104" t="n"/>
      <c r="AF305" s="104" t="n"/>
      <c r="AG305" s="104" t="n"/>
      <c r="AH305" s="104" t="n"/>
      <c r="AI305" s="104" t="n"/>
      <c r="AJ305" s="104" t="n"/>
      <c r="AK305" s="104" t="n"/>
      <c r="AL305" s="104" t="n"/>
      <c r="AM305" s="104" t="n"/>
      <c r="AN305" s="104" t="n"/>
      <c r="AO305" s="104" t="n"/>
      <c r="AP305" s="104" t="n"/>
      <c r="AQ305" s="104" t="n"/>
      <c r="AR305" s="104" t="n"/>
      <c r="AS305" s="104" t="n"/>
      <c r="AT305" s="104" t="n"/>
      <c r="AU305" s="104" t="n"/>
      <c r="AV305" s="104" t="n"/>
      <c r="AW305" s="104" t="n"/>
      <c r="AX305" s="104" t="n"/>
      <c r="AY305" s="104" t="n"/>
      <c r="AZ305" s="104" t="n"/>
      <c r="BA305" s="104" t="n"/>
      <c r="BB305" s="104" t="n"/>
      <c r="BC305" s="104" t="n"/>
      <c r="BD305" s="104" t="n"/>
      <c r="BE305" s="104" t="n"/>
      <c r="BF305" s="104" t="n"/>
      <c r="BG305" s="104" t="n"/>
      <c r="BH305" s="104" t="n"/>
      <c r="BI305" s="104" t="n"/>
      <c r="BJ305" s="104" t="n"/>
      <c r="BK305" s="104" t="n"/>
      <c r="BL305" s="104" t="n"/>
      <c r="BM305" s="104" t="n"/>
      <c r="BN305" s="104" t="n"/>
      <c r="BO305" s="104" t="n"/>
      <c r="BP305" s="104" t="n"/>
      <c r="BQ305" s="104" t="n"/>
      <c r="BR305" s="104" t="n"/>
      <c r="BS305" s="104" t="n"/>
      <c r="BT305" s="104" t="n"/>
      <c r="BU305" s="104" t="n"/>
      <c r="BV305" s="104" t="n"/>
      <c r="BW305" s="104" t="n"/>
      <c r="BX305" s="104" t="n"/>
    </row>
    <row r="306">
      <c r="AC306" s="104" t="n"/>
      <c r="AD306" s="104" t="n"/>
      <c r="AE306" s="104" t="n"/>
      <c r="AF306" s="104" t="n"/>
      <c r="AG306" s="104" t="n"/>
      <c r="AH306" s="104" t="n"/>
      <c r="AI306" s="104" t="n"/>
      <c r="AJ306" s="104" t="n"/>
      <c r="AK306" s="104" t="n"/>
      <c r="AL306" s="104" t="n"/>
      <c r="AM306" s="104" t="n"/>
      <c r="AN306" s="104" t="n"/>
      <c r="AO306" s="104" t="n"/>
      <c r="AP306" s="104" t="n"/>
      <c r="AQ306" s="104" t="n"/>
      <c r="AR306" s="104" t="n"/>
      <c r="AS306" s="104" t="n"/>
      <c r="AT306" s="104" t="n"/>
      <c r="AU306" s="104" t="n"/>
      <c r="AV306" s="104" t="n"/>
      <c r="AW306" s="104" t="n"/>
      <c r="AX306" s="104" t="n"/>
      <c r="AY306" s="104" t="n"/>
      <c r="AZ306" s="104" t="n"/>
      <c r="BA306" s="104" t="n"/>
      <c r="BB306" s="104" t="n"/>
      <c r="BC306" s="104" t="n"/>
      <c r="BD306" s="104" t="n"/>
      <c r="BE306" s="104" t="n"/>
      <c r="BF306" s="104" t="n"/>
      <c r="BG306" s="104" t="n"/>
      <c r="BH306" s="104" t="n"/>
      <c r="BI306" s="104" t="n"/>
      <c r="BJ306" s="104" t="n"/>
      <c r="BK306" s="104" t="n"/>
      <c r="BL306" s="104" t="n"/>
      <c r="BM306" s="104" t="n"/>
      <c r="BN306" s="104" t="n"/>
      <c r="BO306" s="104" t="n"/>
      <c r="BP306" s="104" t="n"/>
      <c r="BQ306" s="104" t="n"/>
      <c r="BR306" s="104" t="n"/>
      <c r="BS306" s="104" t="n"/>
      <c r="BT306" s="104" t="n"/>
      <c r="BU306" s="104" t="n"/>
      <c r="BV306" s="104" t="n"/>
      <c r="BW306" s="104" t="n"/>
      <c r="BX306" s="104" t="n"/>
    </row>
    <row r="307">
      <c r="AC307" s="104" t="n"/>
      <c r="AD307" s="104" t="n"/>
      <c r="AE307" s="104" t="n"/>
      <c r="AF307" s="104" t="n"/>
      <c r="AG307" s="104" t="n"/>
      <c r="AH307" s="104" t="n"/>
      <c r="AI307" s="104" t="n"/>
      <c r="AJ307" s="104" t="n"/>
      <c r="AK307" s="104" t="n"/>
      <c r="AL307" s="104" t="n"/>
      <c r="AM307" s="104" t="n"/>
      <c r="AN307" s="104" t="n"/>
      <c r="AO307" s="104" t="n"/>
      <c r="AP307" s="104" t="n"/>
      <c r="AQ307" s="104" t="n"/>
      <c r="AR307" s="104" t="n"/>
      <c r="AS307" s="104" t="n"/>
      <c r="AT307" s="104" t="n"/>
      <c r="AU307" s="104" t="n"/>
      <c r="AV307" s="104" t="n"/>
      <c r="AW307" s="104" t="n"/>
      <c r="AX307" s="104" t="n"/>
      <c r="AY307" s="104" t="n"/>
      <c r="AZ307" s="104" t="n"/>
      <c r="BA307" s="104" t="n"/>
      <c r="BB307" s="104" t="n"/>
      <c r="BC307" s="104" t="n"/>
      <c r="BD307" s="104" t="n"/>
      <c r="BE307" s="104" t="n"/>
      <c r="BF307" s="104" t="n"/>
      <c r="BG307" s="104" t="n"/>
      <c r="BH307" s="104" t="n"/>
      <c r="BI307" s="104" t="n"/>
      <c r="BJ307" s="104" t="n"/>
      <c r="BK307" s="104" t="n"/>
      <c r="BL307" s="104" t="n"/>
      <c r="BM307" s="104" t="n"/>
      <c r="BN307" s="104" t="n"/>
      <c r="BO307" s="104" t="n"/>
      <c r="BP307" s="104" t="n"/>
      <c r="BQ307" s="104" t="n"/>
      <c r="BR307" s="104" t="n"/>
      <c r="BS307" s="104" t="n"/>
      <c r="BT307" s="104" t="n"/>
      <c r="BU307" s="104" t="n"/>
      <c r="BV307" s="104" t="n"/>
      <c r="BW307" s="104" t="n"/>
      <c r="BX307" s="104" t="n"/>
    </row>
    <row r="308">
      <c r="AC308" s="104" t="n"/>
      <c r="AD308" s="104" t="n"/>
      <c r="AE308" s="104" t="n"/>
      <c r="AF308" s="104" t="n"/>
      <c r="AG308" s="104" t="n"/>
      <c r="AH308" s="104" t="n"/>
      <c r="AI308" s="104" t="n"/>
      <c r="AJ308" s="104" t="n"/>
      <c r="AK308" s="104" t="n"/>
      <c r="AL308" s="104" t="n"/>
      <c r="AM308" s="104" t="n"/>
      <c r="AN308" s="104" t="n"/>
      <c r="AO308" s="104" t="n"/>
      <c r="AP308" s="104" t="n"/>
      <c r="AQ308" s="104" t="n"/>
      <c r="AR308" s="104" t="n"/>
      <c r="AS308" s="104" t="n"/>
      <c r="AT308" s="104" t="n"/>
      <c r="AU308" s="104" t="n"/>
      <c r="AV308" s="104" t="n"/>
      <c r="AW308" s="104" t="n"/>
      <c r="AX308" s="104" t="n"/>
      <c r="AY308" s="104" t="n"/>
      <c r="AZ308" s="104" t="n"/>
      <c r="BA308" s="104" t="n"/>
      <c r="BB308" s="104" t="n"/>
      <c r="BC308" s="104" t="n"/>
      <c r="BD308" s="104" t="n"/>
      <c r="BE308" s="104" t="n"/>
      <c r="BF308" s="104" t="n"/>
      <c r="BG308" s="104" t="n"/>
      <c r="BH308" s="104" t="n"/>
      <c r="BI308" s="104" t="n"/>
      <c r="BJ308" s="104" t="n"/>
      <c r="BK308" s="104" t="n"/>
      <c r="BL308" s="104" t="n"/>
      <c r="BM308" s="104" t="n"/>
      <c r="BN308" s="104" t="n"/>
      <c r="BO308" s="104" t="n"/>
      <c r="BP308" s="104" t="n"/>
      <c r="BQ308" s="104" t="n"/>
      <c r="BR308" s="104" t="n"/>
      <c r="BS308" s="104" t="n"/>
      <c r="BT308" s="104" t="n"/>
      <c r="BU308" s="104" t="n"/>
      <c r="BV308" s="104" t="n"/>
      <c r="BW308" s="104" t="n"/>
      <c r="BX308" s="104" t="n"/>
    </row>
    <row r="309">
      <c r="AC309" s="104" t="n"/>
      <c r="AD309" s="104" t="n"/>
      <c r="AE309" s="104" t="n"/>
      <c r="AF309" s="104" t="n"/>
      <c r="AG309" s="104" t="n"/>
      <c r="AH309" s="104" t="n"/>
      <c r="AI309" s="104" t="n"/>
      <c r="AJ309" s="104" t="n"/>
      <c r="AK309" s="104" t="n"/>
      <c r="AL309" s="104" t="n"/>
      <c r="AM309" s="104" t="n"/>
      <c r="AN309" s="104" t="n"/>
      <c r="AO309" s="104" t="n"/>
      <c r="AP309" s="104" t="n"/>
      <c r="AQ309" s="104" t="n"/>
      <c r="AR309" s="104" t="n"/>
      <c r="AS309" s="104" t="n"/>
      <c r="AT309" s="104" t="n"/>
      <c r="AU309" s="104" t="n"/>
      <c r="AV309" s="104" t="n"/>
      <c r="AW309" s="104" t="n"/>
      <c r="AX309" s="104" t="n"/>
      <c r="AY309" s="104" t="n"/>
      <c r="AZ309" s="104" t="n"/>
      <c r="BA309" s="104" t="n"/>
      <c r="BB309" s="104" t="n"/>
      <c r="BC309" s="104" t="n"/>
      <c r="BD309" s="104" t="n"/>
      <c r="BE309" s="104" t="n"/>
      <c r="BF309" s="104" t="n"/>
      <c r="BG309" s="104" t="n"/>
      <c r="BH309" s="104" t="n"/>
      <c r="BI309" s="104" t="n"/>
      <c r="BJ309" s="104" t="n"/>
      <c r="BK309" s="104" t="n"/>
      <c r="BL309" s="104" t="n"/>
      <c r="BM309" s="104" t="n"/>
      <c r="BN309" s="104" t="n"/>
      <c r="BO309" s="104" t="n"/>
      <c r="BP309" s="104" t="n"/>
      <c r="BQ309" s="104" t="n"/>
      <c r="BR309" s="104" t="n"/>
      <c r="BS309" s="104" t="n"/>
      <c r="BT309" s="104" t="n"/>
      <c r="BU309" s="104" t="n"/>
      <c r="BV309" s="104" t="n"/>
      <c r="BW309" s="104" t="n"/>
      <c r="BX309" s="104" t="n"/>
    </row>
    <row r="310">
      <c r="AC310" s="104" t="n"/>
      <c r="AD310" s="104" t="n"/>
      <c r="AE310" s="104" t="n"/>
      <c r="AF310" s="104" t="n"/>
      <c r="AG310" s="104" t="n"/>
      <c r="AH310" s="104" t="n"/>
      <c r="AI310" s="104" t="n"/>
      <c r="AJ310" s="104" t="n"/>
      <c r="AK310" s="104" t="n"/>
      <c r="AL310" s="104" t="n"/>
      <c r="AM310" s="104" t="n"/>
      <c r="AN310" s="104" t="n"/>
      <c r="AO310" s="104" t="n"/>
      <c r="AP310" s="104" t="n"/>
      <c r="AQ310" s="104" t="n"/>
      <c r="AR310" s="104" t="n"/>
      <c r="AS310" s="104" t="n"/>
      <c r="AT310" s="104" t="n"/>
      <c r="AU310" s="104" t="n"/>
      <c r="AV310" s="104" t="n"/>
      <c r="AW310" s="104" t="n"/>
      <c r="AX310" s="104" t="n"/>
      <c r="AY310" s="104" t="n"/>
      <c r="AZ310" s="104" t="n"/>
      <c r="BA310" s="104" t="n"/>
      <c r="BB310" s="104" t="n"/>
      <c r="BC310" s="104" t="n"/>
      <c r="BD310" s="104" t="n"/>
      <c r="BE310" s="104" t="n"/>
      <c r="BF310" s="104" t="n"/>
      <c r="BG310" s="104" t="n"/>
      <c r="BH310" s="104" t="n"/>
      <c r="BI310" s="104" t="n"/>
      <c r="BJ310" s="104" t="n"/>
      <c r="BK310" s="104" t="n"/>
      <c r="BL310" s="104" t="n"/>
      <c r="BM310" s="104" t="n"/>
      <c r="BN310" s="104" t="n"/>
      <c r="BO310" s="104" t="n"/>
      <c r="BP310" s="104" t="n"/>
      <c r="BQ310" s="104" t="n"/>
      <c r="BR310" s="104" t="n"/>
      <c r="BS310" s="104" t="n"/>
      <c r="BT310" s="104" t="n"/>
      <c r="BU310" s="104" t="n"/>
      <c r="BV310" s="104" t="n"/>
      <c r="BW310" s="104" t="n"/>
      <c r="BX310" s="104" t="n"/>
    </row>
    <row r="311">
      <c r="AC311" s="104" t="n"/>
      <c r="AD311" s="104" t="n"/>
      <c r="AE311" s="104" t="n"/>
      <c r="AF311" s="104" t="n"/>
      <c r="AG311" s="104" t="n"/>
      <c r="AH311" s="104" t="n"/>
      <c r="AI311" s="104" t="n"/>
      <c r="AJ311" s="104" t="n"/>
      <c r="AK311" s="104" t="n"/>
      <c r="AL311" s="104" t="n"/>
      <c r="AM311" s="104" t="n"/>
      <c r="AN311" s="104" t="n"/>
      <c r="AO311" s="104" t="n"/>
      <c r="AP311" s="104" t="n"/>
      <c r="AQ311" s="104" t="n"/>
      <c r="AR311" s="104" t="n"/>
      <c r="AS311" s="104" t="n"/>
      <c r="AT311" s="104" t="n"/>
      <c r="AU311" s="104" t="n"/>
      <c r="AV311" s="104" t="n"/>
      <c r="AW311" s="104" t="n"/>
      <c r="AX311" s="104" t="n"/>
      <c r="AY311" s="104" t="n"/>
      <c r="AZ311" s="104" t="n"/>
      <c r="BA311" s="104" t="n"/>
      <c r="BB311" s="104" t="n"/>
      <c r="BC311" s="104" t="n"/>
      <c r="BD311" s="104" t="n"/>
      <c r="BE311" s="104" t="n"/>
      <c r="BF311" s="104" t="n"/>
      <c r="BG311" s="104" t="n"/>
      <c r="BH311" s="104" t="n"/>
      <c r="BI311" s="104" t="n"/>
      <c r="BJ311" s="104" t="n"/>
      <c r="BK311" s="104" t="n"/>
      <c r="BL311" s="104" t="n"/>
      <c r="BM311" s="104" t="n"/>
      <c r="BN311" s="104" t="n"/>
      <c r="BO311" s="104" t="n"/>
      <c r="BP311" s="104" t="n"/>
      <c r="BQ311" s="104" t="n"/>
      <c r="BR311" s="104" t="n"/>
      <c r="BS311" s="104" t="n"/>
      <c r="BT311" s="104" t="n"/>
      <c r="BU311" s="104" t="n"/>
      <c r="BV311" s="104" t="n"/>
      <c r="BW311" s="104" t="n"/>
      <c r="BX311" s="104" t="n"/>
    </row>
    <row r="312">
      <c r="AC312" s="104" t="n"/>
      <c r="AD312" s="104" t="n"/>
      <c r="AE312" s="104" t="n"/>
      <c r="AF312" s="104" t="n"/>
      <c r="AG312" s="104" t="n"/>
      <c r="AH312" s="104" t="n"/>
      <c r="AI312" s="104" t="n"/>
      <c r="AJ312" s="104" t="n"/>
      <c r="AK312" s="104" t="n"/>
      <c r="AL312" s="104" t="n"/>
      <c r="AM312" s="104" t="n"/>
      <c r="AN312" s="104" t="n"/>
      <c r="AO312" s="104" t="n"/>
      <c r="AP312" s="104" t="n"/>
      <c r="AQ312" s="104" t="n"/>
      <c r="AR312" s="104" t="n"/>
      <c r="AS312" s="104" t="n"/>
      <c r="AT312" s="104" t="n"/>
      <c r="AU312" s="104" t="n"/>
      <c r="AV312" s="104" t="n"/>
      <c r="AW312" s="104" t="n"/>
      <c r="AX312" s="104" t="n"/>
      <c r="AY312" s="104" t="n"/>
      <c r="AZ312" s="104" t="n"/>
      <c r="BA312" s="104" t="n"/>
      <c r="BB312" s="104" t="n"/>
      <c r="BC312" s="104" t="n"/>
      <c r="BD312" s="104" t="n"/>
      <c r="BE312" s="104" t="n"/>
      <c r="BF312" s="104" t="n"/>
      <c r="BG312" s="104" t="n"/>
      <c r="BH312" s="104" t="n"/>
      <c r="BI312" s="104" t="n"/>
      <c r="BJ312" s="104" t="n"/>
      <c r="BK312" s="104" t="n"/>
      <c r="BL312" s="104" t="n"/>
      <c r="BM312" s="104" t="n"/>
      <c r="BN312" s="104" t="n"/>
      <c r="BO312" s="104" t="n"/>
      <c r="BP312" s="104" t="n"/>
      <c r="BQ312" s="104" t="n"/>
      <c r="BR312" s="104" t="n"/>
      <c r="BS312" s="104" t="n"/>
      <c r="BT312" s="104" t="n"/>
      <c r="BU312" s="104" t="n"/>
      <c r="BV312" s="104" t="n"/>
      <c r="BW312" s="104" t="n"/>
      <c r="BX312" s="104" t="n"/>
    </row>
    <row r="313">
      <c r="AC313" s="104" t="n"/>
      <c r="AD313" s="104" t="n"/>
      <c r="AE313" s="104" t="n"/>
      <c r="AF313" s="104" t="n"/>
      <c r="AG313" s="104" t="n"/>
      <c r="AH313" s="104" t="n"/>
      <c r="AI313" s="104" t="n"/>
      <c r="AJ313" s="104" t="n"/>
      <c r="AK313" s="104" t="n"/>
      <c r="AL313" s="104" t="n"/>
      <c r="AM313" s="104" t="n"/>
      <c r="AN313" s="104" t="n"/>
      <c r="AO313" s="104" t="n"/>
      <c r="AP313" s="104" t="n"/>
      <c r="AQ313" s="104" t="n"/>
      <c r="AR313" s="104" t="n"/>
      <c r="AS313" s="104" t="n"/>
      <c r="AT313" s="104" t="n"/>
      <c r="AU313" s="104" t="n"/>
      <c r="AV313" s="104" t="n"/>
      <c r="AW313" s="104" t="n"/>
      <c r="AX313" s="104" t="n"/>
      <c r="AY313" s="104" t="n"/>
      <c r="AZ313" s="104" t="n"/>
      <c r="BA313" s="104" t="n"/>
      <c r="BB313" s="104" t="n"/>
      <c r="BC313" s="104" t="n"/>
      <c r="BD313" s="104" t="n"/>
      <c r="BE313" s="104" t="n"/>
      <c r="BF313" s="104" t="n"/>
      <c r="BG313" s="104" t="n"/>
      <c r="BH313" s="104" t="n"/>
      <c r="BI313" s="104" t="n"/>
      <c r="BJ313" s="104" t="n"/>
      <c r="BK313" s="104" t="n"/>
      <c r="BL313" s="104" t="n"/>
      <c r="BM313" s="104" t="n"/>
      <c r="BN313" s="104" t="n"/>
      <c r="BO313" s="104" t="n"/>
      <c r="BP313" s="104" t="n"/>
      <c r="BQ313" s="104" t="n"/>
      <c r="BR313" s="104" t="n"/>
      <c r="BS313" s="104" t="n"/>
      <c r="BT313" s="104" t="n"/>
      <c r="BU313" s="104" t="n"/>
      <c r="BV313" s="104" t="n"/>
      <c r="BW313" s="104" t="n"/>
      <c r="BX313" s="104" t="n"/>
    </row>
    <row r="314">
      <c r="AC314" s="104" t="n"/>
      <c r="AD314" s="104" t="n"/>
      <c r="AE314" s="104" t="n"/>
      <c r="AF314" s="104" t="n"/>
      <c r="AG314" s="104" t="n"/>
      <c r="AH314" s="104" t="n"/>
      <c r="AI314" s="104" t="n"/>
      <c r="AJ314" s="104" t="n"/>
      <c r="AK314" s="104" t="n"/>
      <c r="AL314" s="104" t="n"/>
      <c r="AM314" s="104" t="n"/>
      <c r="AN314" s="104" t="n"/>
      <c r="AO314" s="104" t="n"/>
      <c r="AP314" s="104" t="n"/>
      <c r="AQ314" s="104" t="n"/>
      <c r="AR314" s="104" t="n"/>
      <c r="AS314" s="104" t="n"/>
      <c r="AT314" s="104" t="n"/>
      <c r="AU314" s="104" t="n"/>
      <c r="AV314" s="104" t="n"/>
      <c r="AW314" s="104" t="n"/>
      <c r="AX314" s="104" t="n"/>
      <c r="AY314" s="104" t="n"/>
      <c r="AZ314" s="104" t="n"/>
      <c r="BA314" s="104" t="n"/>
      <c r="BB314" s="104" t="n"/>
      <c r="BC314" s="104" t="n"/>
      <c r="BD314" s="104" t="n"/>
      <c r="BE314" s="104" t="n"/>
      <c r="BF314" s="104" t="n"/>
      <c r="BG314" s="104" t="n"/>
      <c r="BH314" s="104" t="n"/>
      <c r="BI314" s="104" t="n"/>
      <c r="BJ314" s="104" t="n"/>
      <c r="BK314" s="104" t="n"/>
      <c r="BL314" s="104" t="n"/>
      <c r="BM314" s="104" t="n"/>
      <c r="BN314" s="104" t="n"/>
      <c r="BO314" s="104" t="n"/>
      <c r="BP314" s="104" t="n"/>
      <c r="BQ314" s="104" t="n"/>
      <c r="BR314" s="104" t="n"/>
      <c r="BS314" s="104" t="n"/>
      <c r="BT314" s="104" t="n"/>
      <c r="BU314" s="104" t="n"/>
      <c r="BV314" s="104" t="n"/>
      <c r="BW314" s="104" t="n"/>
      <c r="BX314" s="104" t="n"/>
    </row>
    <row r="315">
      <c r="AC315" s="104" t="n"/>
      <c r="AD315" s="104" t="n"/>
      <c r="AE315" s="104" t="n"/>
      <c r="AF315" s="104" t="n"/>
      <c r="AG315" s="104" t="n"/>
      <c r="AH315" s="104" t="n"/>
      <c r="AI315" s="104" t="n"/>
      <c r="AJ315" s="104" t="n"/>
      <c r="AK315" s="104" t="n"/>
      <c r="AL315" s="104" t="n"/>
      <c r="AM315" s="104" t="n"/>
      <c r="AN315" s="104" t="n"/>
      <c r="AO315" s="104" t="n"/>
      <c r="AP315" s="104" t="n"/>
      <c r="AQ315" s="104" t="n"/>
      <c r="AR315" s="104" t="n"/>
      <c r="AS315" s="104" t="n"/>
      <c r="AT315" s="104" t="n"/>
      <c r="AU315" s="104" t="n"/>
      <c r="AV315" s="104" t="n"/>
      <c r="AW315" s="104" t="n"/>
      <c r="AX315" s="104" t="n"/>
      <c r="AY315" s="104" t="n"/>
      <c r="AZ315" s="104" t="n"/>
      <c r="BA315" s="104" t="n"/>
      <c r="BB315" s="104" t="n"/>
      <c r="BC315" s="104" t="n"/>
      <c r="BD315" s="104" t="n"/>
      <c r="BE315" s="104" t="n"/>
      <c r="BF315" s="104" t="n"/>
      <c r="BG315" s="104" t="n"/>
      <c r="BH315" s="104" t="n"/>
      <c r="BI315" s="104" t="n"/>
      <c r="BJ315" s="104" t="n"/>
      <c r="BK315" s="104" t="n"/>
      <c r="BL315" s="104" t="n"/>
      <c r="BM315" s="104" t="n"/>
      <c r="BN315" s="104" t="n"/>
      <c r="BO315" s="104" t="n"/>
      <c r="BP315" s="104" t="n"/>
      <c r="BQ315" s="104" t="n"/>
      <c r="BR315" s="104" t="n"/>
      <c r="BS315" s="104" t="n"/>
      <c r="BT315" s="104" t="n"/>
      <c r="BU315" s="104" t="n"/>
      <c r="BV315" s="104" t="n"/>
      <c r="BW315" s="104" t="n"/>
      <c r="BX315" s="104" t="n"/>
    </row>
    <row r="316">
      <c r="AC316" s="104" t="n"/>
      <c r="AD316" s="104" t="n"/>
      <c r="AE316" s="104" t="n"/>
      <c r="AF316" s="104" t="n"/>
      <c r="AG316" s="104" t="n"/>
      <c r="AH316" s="104" t="n"/>
      <c r="AI316" s="104" t="n"/>
      <c r="AJ316" s="104" t="n"/>
      <c r="AK316" s="104" t="n"/>
      <c r="AL316" s="104" t="n"/>
      <c r="AM316" s="104" t="n"/>
      <c r="AN316" s="104" t="n"/>
      <c r="AO316" s="104" t="n"/>
      <c r="AP316" s="104" t="n"/>
      <c r="AQ316" s="104" t="n"/>
      <c r="AR316" s="104" t="n"/>
      <c r="AS316" s="104" t="n"/>
      <c r="AT316" s="104" t="n"/>
      <c r="AU316" s="104" t="n"/>
      <c r="AV316" s="104" t="n"/>
      <c r="AW316" s="104" t="n"/>
      <c r="AX316" s="104" t="n"/>
      <c r="AY316" s="104" t="n"/>
      <c r="AZ316" s="104" t="n"/>
      <c r="BA316" s="104" t="n"/>
      <c r="BB316" s="104" t="n"/>
      <c r="BC316" s="104" t="n"/>
      <c r="BD316" s="104" t="n"/>
      <c r="BE316" s="104" t="n"/>
      <c r="BF316" s="104" t="n"/>
      <c r="BG316" s="104" t="n"/>
      <c r="BH316" s="104" t="n"/>
      <c r="BI316" s="104" t="n"/>
      <c r="BJ316" s="104" t="n"/>
      <c r="BK316" s="104" t="n"/>
      <c r="BL316" s="104" t="n"/>
      <c r="BM316" s="104" t="n"/>
      <c r="BN316" s="104" t="n"/>
      <c r="BO316" s="104" t="n"/>
      <c r="BP316" s="104" t="n"/>
      <c r="BQ316" s="104" t="n"/>
      <c r="BR316" s="104" t="n"/>
      <c r="BS316" s="104" t="n"/>
      <c r="BT316" s="104" t="n"/>
      <c r="BU316" s="104" t="n"/>
      <c r="BV316" s="104" t="n"/>
      <c r="BW316" s="104" t="n"/>
      <c r="BX316" s="104" t="n"/>
    </row>
    <row r="317">
      <c r="AC317" s="104" t="n"/>
      <c r="AD317" s="104" t="n"/>
      <c r="AE317" s="104" t="n"/>
      <c r="AF317" s="104" t="n"/>
      <c r="AG317" s="104" t="n"/>
      <c r="AH317" s="104" t="n"/>
      <c r="AI317" s="104" t="n"/>
      <c r="AJ317" s="104" t="n"/>
      <c r="AK317" s="104" t="n"/>
      <c r="AL317" s="104" t="n"/>
      <c r="AM317" s="104" t="n"/>
      <c r="AN317" s="104" t="n"/>
      <c r="AO317" s="104" t="n"/>
      <c r="AP317" s="104" t="n"/>
      <c r="AQ317" s="104" t="n"/>
      <c r="AR317" s="104" t="n"/>
      <c r="AS317" s="104" t="n"/>
      <c r="AT317" s="104" t="n"/>
      <c r="AU317" s="104" t="n"/>
      <c r="AV317" s="104" t="n"/>
      <c r="AW317" s="104" t="n"/>
      <c r="AX317" s="104" t="n"/>
      <c r="AY317" s="104" t="n"/>
      <c r="AZ317" s="104" t="n"/>
      <c r="BA317" s="104" t="n"/>
      <c r="BB317" s="104" t="n"/>
      <c r="BC317" s="104" t="n"/>
      <c r="BD317" s="104" t="n"/>
      <c r="BE317" s="104" t="n"/>
      <c r="BF317" s="104" t="n"/>
      <c r="BG317" s="104" t="n"/>
      <c r="BH317" s="104" t="n"/>
      <c r="BI317" s="104" t="n"/>
      <c r="BJ317" s="104" t="n"/>
      <c r="BK317" s="104" t="n"/>
      <c r="BL317" s="104" t="n"/>
      <c r="BM317" s="104" t="n"/>
      <c r="BN317" s="104" t="n"/>
      <c r="BO317" s="104" t="n"/>
      <c r="BP317" s="104" t="n"/>
      <c r="BQ317" s="104" t="n"/>
      <c r="BR317" s="104" t="n"/>
      <c r="BS317" s="104" t="n"/>
      <c r="BT317" s="104" t="n"/>
      <c r="BU317" s="104" t="n"/>
      <c r="BV317" s="104" t="n"/>
      <c r="BW317" s="104" t="n"/>
      <c r="BX317" s="104" t="n"/>
    </row>
    <row r="318">
      <c r="AC318" s="104" t="n"/>
      <c r="AD318" s="104" t="n"/>
      <c r="AE318" s="104" t="n"/>
      <c r="AF318" s="104" t="n"/>
      <c r="AG318" s="104" t="n"/>
      <c r="AH318" s="104" t="n"/>
      <c r="AI318" s="104" t="n"/>
      <c r="AJ318" s="104" t="n"/>
      <c r="AK318" s="104" t="n"/>
      <c r="AL318" s="104" t="n"/>
      <c r="AM318" s="104" t="n"/>
      <c r="AN318" s="104" t="n"/>
      <c r="AO318" s="104" t="n"/>
      <c r="AP318" s="104" t="n"/>
      <c r="AQ318" s="104" t="n"/>
      <c r="AR318" s="104" t="n"/>
      <c r="AS318" s="104" t="n"/>
      <c r="AT318" s="104" t="n"/>
      <c r="AU318" s="104" t="n"/>
      <c r="AV318" s="104" t="n"/>
      <c r="AW318" s="104" t="n"/>
      <c r="AX318" s="104" t="n"/>
      <c r="AY318" s="104" t="n"/>
      <c r="AZ318" s="104" t="n"/>
      <c r="BA318" s="104" t="n"/>
      <c r="BB318" s="104" t="n"/>
      <c r="BC318" s="104" t="n"/>
      <c r="BD318" s="104" t="n"/>
      <c r="BE318" s="104" t="n"/>
      <c r="BF318" s="104" t="n"/>
      <c r="BG318" s="104" t="n"/>
      <c r="BH318" s="104" t="n"/>
      <c r="BI318" s="104" t="n"/>
      <c r="BJ318" s="104" t="n"/>
      <c r="BK318" s="104" t="n"/>
      <c r="BL318" s="104" t="n"/>
      <c r="BM318" s="104" t="n"/>
      <c r="BN318" s="104" t="n"/>
      <c r="BO318" s="104" t="n"/>
      <c r="BP318" s="104" t="n"/>
      <c r="BQ318" s="104" t="n"/>
      <c r="BR318" s="104" t="n"/>
      <c r="BS318" s="104" t="n"/>
      <c r="BT318" s="104" t="n"/>
      <c r="BU318" s="104" t="n"/>
      <c r="BV318" s="104" t="n"/>
      <c r="BW318" s="104" t="n"/>
      <c r="BX318" s="104" t="n"/>
    </row>
    <row r="319">
      <c r="AC319" s="104" t="n"/>
      <c r="AD319" s="104" t="n"/>
      <c r="AE319" s="104" t="n"/>
      <c r="AF319" s="104" t="n"/>
      <c r="AG319" s="104" t="n"/>
      <c r="AH319" s="104" t="n"/>
      <c r="AI319" s="104" t="n"/>
      <c r="AJ319" s="104" t="n"/>
      <c r="AK319" s="104" t="n"/>
      <c r="AL319" s="104" t="n"/>
      <c r="AM319" s="104" t="n"/>
      <c r="AN319" s="104" t="n"/>
      <c r="AO319" s="104" t="n"/>
      <c r="AP319" s="104" t="n"/>
      <c r="AQ319" s="104" t="n"/>
      <c r="AR319" s="104" t="n"/>
      <c r="AS319" s="104" t="n"/>
      <c r="AT319" s="104" t="n"/>
      <c r="AU319" s="104" t="n"/>
      <c r="AV319" s="104" t="n"/>
      <c r="AW319" s="104" t="n"/>
      <c r="AX319" s="104" t="n"/>
      <c r="AY319" s="104" t="n"/>
      <c r="AZ319" s="104" t="n"/>
      <c r="BA319" s="104" t="n"/>
      <c r="BB319" s="104" t="n"/>
      <c r="BC319" s="104" t="n"/>
      <c r="BD319" s="104" t="n"/>
      <c r="BE319" s="104" t="n"/>
      <c r="BF319" s="104" t="n"/>
      <c r="BG319" s="104" t="n"/>
      <c r="BH319" s="104" t="n"/>
      <c r="BI319" s="104" t="n"/>
      <c r="BJ319" s="104" t="n"/>
      <c r="BK319" s="104" t="n"/>
      <c r="BL319" s="104" t="n"/>
      <c r="BM319" s="104" t="n"/>
      <c r="BN319" s="104" t="n"/>
      <c r="BO319" s="104" t="n"/>
      <c r="BP319" s="104" t="n"/>
      <c r="BQ319" s="104" t="n"/>
      <c r="BR319" s="104" t="n"/>
      <c r="BS319" s="104" t="n"/>
      <c r="BT319" s="104" t="n"/>
      <c r="BU319" s="104" t="n"/>
      <c r="BV319" s="104" t="n"/>
      <c r="BW319" s="104" t="n"/>
      <c r="BX319" s="104" t="n"/>
    </row>
    <row r="320">
      <c r="AC320" s="104" t="n"/>
      <c r="AD320" s="104" t="n"/>
      <c r="AE320" s="104" t="n"/>
      <c r="AF320" s="104" t="n"/>
      <c r="AG320" s="104" t="n"/>
      <c r="AH320" s="104" t="n"/>
      <c r="AI320" s="104" t="n"/>
      <c r="AJ320" s="104" t="n"/>
      <c r="AK320" s="104" t="n"/>
      <c r="AL320" s="104" t="n"/>
      <c r="AM320" s="104" t="n"/>
      <c r="AN320" s="104" t="n"/>
      <c r="AO320" s="104" t="n"/>
      <c r="AP320" s="104" t="n"/>
      <c r="AQ320" s="104" t="n"/>
      <c r="AR320" s="104" t="n"/>
      <c r="AS320" s="104" t="n"/>
      <c r="AT320" s="104" t="n"/>
      <c r="AU320" s="104" t="n"/>
      <c r="AV320" s="104" t="n"/>
      <c r="AW320" s="104" t="n"/>
      <c r="AX320" s="104" t="n"/>
      <c r="AY320" s="104" t="n"/>
      <c r="AZ320" s="104" t="n"/>
      <c r="BA320" s="104" t="n"/>
      <c r="BB320" s="104" t="n"/>
      <c r="BC320" s="104" t="n"/>
      <c r="BD320" s="104" t="n"/>
      <c r="BE320" s="104" t="n"/>
      <c r="BF320" s="104" t="n"/>
      <c r="BG320" s="104" t="n"/>
      <c r="BH320" s="104" t="n"/>
      <c r="BI320" s="104" t="n"/>
      <c r="BJ320" s="104" t="n"/>
      <c r="BK320" s="104" t="n"/>
      <c r="BL320" s="104" t="n"/>
      <c r="BM320" s="104" t="n"/>
      <c r="BN320" s="104" t="n"/>
      <c r="BO320" s="104" t="n"/>
      <c r="BP320" s="104" t="n"/>
      <c r="BQ320" s="104" t="n"/>
      <c r="BR320" s="104" t="n"/>
      <c r="BS320" s="104" t="n"/>
      <c r="BT320" s="104" t="n"/>
      <c r="BU320" s="104" t="n"/>
      <c r="BV320" s="104" t="n"/>
      <c r="BW320" s="104" t="n"/>
      <c r="BX320" s="104" t="n"/>
    </row>
    <row r="321">
      <c r="AC321" s="104" t="n"/>
      <c r="AD321" s="104" t="n"/>
      <c r="AE321" s="104" t="n"/>
      <c r="AF321" s="104" t="n"/>
      <c r="AG321" s="104" t="n"/>
      <c r="AH321" s="104" t="n"/>
      <c r="AI321" s="104" t="n"/>
      <c r="AJ321" s="104" t="n"/>
      <c r="AK321" s="104" t="n"/>
      <c r="AL321" s="104" t="n"/>
      <c r="AM321" s="104" t="n"/>
      <c r="AN321" s="104" t="n"/>
      <c r="AO321" s="104" t="n"/>
      <c r="AP321" s="104" t="n"/>
      <c r="AQ321" s="104" t="n"/>
      <c r="AR321" s="104" t="n"/>
      <c r="AS321" s="104" t="n"/>
      <c r="AT321" s="104" t="n"/>
      <c r="AU321" s="104" t="n"/>
      <c r="AV321" s="104" t="n"/>
      <c r="AW321" s="104" t="n"/>
      <c r="AX321" s="104" t="n"/>
      <c r="AY321" s="104" t="n"/>
      <c r="AZ321" s="104" t="n"/>
      <c r="BA321" s="104" t="n"/>
      <c r="BB321" s="104" t="n"/>
      <c r="BC321" s="104" t="n"/>
      <c r="BD321" s="104" t="n"/>
      <c r="BE321" s="104" t="n"/>
      <c r="BF321" s="104" t="n"/>
      <c r="BG321" s="104" t="n"/>
      <c r="BH321" s="104" t="n"/>
      <c r="BI321" s="104" t="n"/>
      <c r="BJ321" s="104" t="n"/>
      <c r="BK321" s="104" t="n"/>
      <c r="BL321" s="104" t="n"/>
      <c r="BM321" s="104" t="n"/>
      <c r="BN321" s="104" t="n"/>
      <c r="BO321" s="104" t="n"/>
      <c r="BP321" s="104" t="n"/>
      <c r="BQ321" s="104" t="n"/>
      <c r="BR321" s="104" t="n"/>
      <c r="BS321" s="104" t="n"/>
      <c r="BT321" s="104" t="n"/>
      <c r="BU321" s="104" t="n"/>
      <c r="BV321" s="104" t="n"/>
      <c r="BW321" s="104" t="n"/>
      <c r="BX321" s="104" t="n"/>
    </row>
    <row r="322">
      <c r="AC322" s="104" t="n"/>
      <c r="AD322" s="104" t="n"/>
      <c r="AE322" s="104" t="n"/>
      <c r="AF322" s="104" t="n"/>
      <c r="AG322" s="104" t="n"/>
      <c r="AH322" s="104" t="n"/>
      <c r="AI322" s="104" t="n"/>
      <c r="AJ322" s="104" t="n"/>
      <c r="AK322" s="104" t="n"/>
      <c r="AL322" s="104" t="n"/>
      <c r="AM322" s="104" t="n"/>
      <c r="AN322" s="104" t="n"/>
      <c r="AO322" s="104" t="n"/>
      <c r="AP322" s="104" t="n"/>
      <c r="AQ322" s="104" t="n"/>
      <c r="AR322" s="104" t="n"/>
      <c r="AS322" s="104" t="n"/>
      <c r="AT322" s="104" t="n"/>
      <c r="AU322" s="104" t="n"/>
      <c r="AV322" s="104" t="n"/>
      <c r="AW322" s="104" t="n"/>
      <c r="AX322" s="104" t="n"/>
      <c r="AY322" s="104" t="n"/>
      <c r="AZ322" s="104" t="n"/>
      <c r="BA322" s="104" t="n"/>
      <c r="BB322" s="104" t="n"/>
      <c r="BC322" s="104" t="n"/>
      <c r="BD322" s="104" t="n"/>
      <c r="BE322" s="104" t="n"/>
      <c r="BF322" s="104" t="n"/>
      <c r="BG322" s="104" t="n"/>
      <c r="BH322" s="104" t="n"/>
      <c r="BI322" s="104" t="n"/>
      <c r="BJ322" s="104" t="n"/>
      <c r="BK322" s="104" t="n"/>
      <c r="BL322" s="104" t="n"/>
      <c r="BM322" s="104" t="n"/>
      <c r="BN322" s="104" t="n"/>
      <c r="BO322" s="104" t="n"/>
      <c r="BP322" s="104" t="n"/>
      <c r="BQ322" s="104" t="n"/>
      <c r="BR322" s="104" t="n"/>
      <c r="BS322" s="104" t="n"/>
      <c r="BT322" s="104" t="n"/>
      <c r="BU322" s="104" t="n"/>
      <c r="BV322" s="104" t="n"/>
      <c r="BW322" s="104" t="n"/>
      <c r="BX322" s="104" t="n"/>
    </row>
    <row r="323">
      <c r="AC323" s="104" t="n"/>
      <c r="AD323" s="104" t="n"/>
      <c r="AE323" s="104" t="n"/>
      <c r="AF323" s="104" t="n"/>
      <c r="AG323" s="104" t="n"/>
      <c r="AH323" s="104" t="n"/>
      <c r="AI323" s="104" t="n"/>
      <c r="AJ323" s="104" t="n"/>
      <c r="AK323" s="104" t="n"/>
      <c r="AL323" s="104" t="n"/>
      <c r="AM323" s="104" t="n"/>
      <c r="AN323" s="104" t="n"/>
      <c r="AO323" s="104" t="n"/>
      <c r="AP323" s="104" t="n"/>
      <c r="AQ323" s="104" t="n"/>
      <c r="AR323" s="104" t="n"/>
      <c r="AS323" s="104" t="n"/>
      <c r="AT323" s="104" t="n"/>
      <c r="AU323" s="104" t="n"/>
      <c r="AV323" s="104" t="n"/>
      <c r="AW323" s="104" t="n"/>
      <c r="AX323" s="104" t="n"/>
      <c r="AY323" s="104" t="n"/>
      <c r="AZ323" s="104" t="n"/>
      <c r="BA323" s="104" t="n"/>
      <c r="BB323" s="104" t="n"/>
      <c r="BC323" s="104" t="n"/>
      <c r="BD323" s="104" t="n"/>
      <c r="BE323" s="104" t="n"/>
      <c r="BF323" s="104" t="n"/>
      <c r="BG323" s="104" t="n"/>
      <c r="BH323" s="104" t="n"/>
      <c r="BI323" s="104" t="n"/>
      <c r="BJ323" s="104" t="n"/>
      <c r="BK323" s="104" t="n"/>
      <c r="BL323" s="104" t="n"/>
      <c r="BM323" s="104" t="n"/>
      <c r="BN323" s="104" t="n"/>
      <c r="BO323" s="104" t="n"/>
      <c r="BP323" s="104" t="n"/>
      <c r="BQ323" s="104" t="n"/>
      <c r="BR323" s="104" t="n"/>
      <c r="BS323" s="104" t="n"/>
      <c r="BT323" s="104" t="n"/>
      <c r="BU323" s="104" t="n"/>
      <c r="BV323" s="104" t="n"/>
      <c r="BW323" s="104" t="n"/>
      <c r="BX323" s="104" t="n"/>
    </row>
    <row r="324">
      <c r="AC324" s="104" t="n"/>
      <c r="AD324" s="104" t="n"/>
      <c r="AE324" s="104" t="n"/>
      <c r="AF324" s="104" t="n"/>
      <c r="AG324" s="104" t="n"/>
      <c r="AH324" s="104" t="n"/>
      <c r="AI324" s="104" t="n"/>
      <c r="AJ324" s="104" t="n"/>
      <c r="AK324" s="104" t="n"/>
      <c r="AL324" s="104" t="n"/>
      <c r="AM324" s="104" t="n"/>
      <c r="AN324" s="104" t="n"/>
      <c r="AO324" s="104" t="n"/>
      <c r="AP324" s="104" t="n"/>
      <c r="AQ324" s="104" t="n"/>
      <c r="AR324" s="104" t="n"/>
      <c r="AS324" s="104" t="n"/>
      <c r="AT324" s="104" t="n"/>
      <c r="AU324" s="104" t="n"/>
      <c r="AV324" s="104" t="n"/>
      <c r="AW324" s="104" t="n"/>
      <c r="AX324" s="104" t="n"/>
      <c r="AY324" s="104" t="n"/>
      <c r="AZ324" s="104" t="n"/>
      <c r="BA324" s="104" t="n"/>
      <c r="BB324" s="104" t="n"/>
      <c r="BC324" s="104" t="n"/>
      <c r="BD324" s="104" t="n"/>
      <c r="BE324" s="104" t="n"/>
      <c r="BF324" s="104" t="n"/>
      <c r="BG324" s="104" t="n"/>
      <c r="BH324" s="104" t="n"/>
      <c r="BI324" s="104" t="n"/>
      <c r="BJ324" s="104" t="n"/>
      <c r="BK324" s="104" t="n"/>
      <c r="BL324" s="104" t="n"/>
      <c r="BM324" s="104" t="n"/>
      <c r="BN324" s="104" t="n"/>
      <c r="BO324" s="104" t="n"/>
      <c r="BP324" s="104" t="n"/>
      <c r="BQ324" s="104" t="n"/>
      <c r="BR324" s="104" t="n"/>
      <c r="BS324" s="104" t="n"/>
      <c r="BT324" s="104" t="n"/>
      <c r="BU324" s="104" t="n"/>
      <c r="BV324" s="104" t="n"/>
      <c r="BW324" s="104" t="n"/>
      <c r="BX324" s="104" t="n"/>
    </row>
    <row r="325">
      <c r="AC325" s="104" t="n"/>
      <c r="AD325" s="104" t="n"/>
      <c r="AE325" s="104" t="n"/>
      <c r="AF325" s="104" t="n"/>
      <c r="AG325" s="104" t="n"/>
      <c r="AH325" s="104" t="n"/>
      <c r="AI325" s="104" t="n"/>
      <c r="AJ325" s="104" t="n"/>
      <c r="AK325" s="104" t="n"/>
      <c r="AL325" s="104" t="n"/>
      <c r="AM325" s="104" t="n"/>
      <c r="AN325" s="104" t="n"/>
      <c r="AO325" s="104" t="n"/>
      <c r="AP325" s="104" t="n"/>
      <c r="AQ325" s="104" t="n"/>
      <c r="AR325" s="104" t="n"/>
      <c r="AS325" s="104" t="n"/>
      <c r="AT325" s="104" t="n"/>
      <c r="AU325" s="104" t="n"/>
      <c r="AV325" s="104" t="n"/>
      <c r="AW325" s="104" t="n"/>
      <c r="AX325" s="104" t="n"/>
      <c r="AY325" s="104" t="n"/>
      <c r="AZ325" s="104" t="n"/>
      <c r="BA325" s="104" t="n"/>
      <c r="BB325" s="104" t="n"/>
      <c r="BC325" s="104" t="n"/>
      <c r="BD325" s="104" t="n"/>
      <c r="BE325" s="104" t="n"/>
      <c r="BF325" s="104" t="n"/>
      <c r="BG325" s="104" t="n"/>
      <c r="BH325" s="104" t="n"/>
      <c r="BI325" s="104" t="n"/>
      <c r="BJ325" s="104" t="n"/>
      <c r="BK325" s="104" t="n"/>
      <c r="BL325" s="104" t="n"/>
      <c r="BM325" s="104" t="n"/>
      <c r="BN325" s="104" t="n"/>
      <c r="BO325" s="104" t="n"/>
      <c r="BP325" s="104" t="n"/>
      <c r="BQ325" s="104" t="n"/>
      <c r="BR325" s="104" t="n"/>
      <c r="BS325" s="104" t="n"/>
      <c r="BT325" s="104" t="n"/>
      <c r="BU325" s="104" t="n"/>
      <c r="BV325" s="104" t="n"/>
      <c r="BW325" s="104" t="n"/>
      <c r="BX325" s="104" t="n"/>
    </row>
    <row r="326">
      <c r="AC326" s="104" t="n"/>
      <c r="AD326" s="104" t="n"/>
      <c r="AE326" s="104" t="n"/>
      <c r="AF326" s="104" t="n"/>
      <c r="AG326" s="104" t="n"/>
      <c r="AH326" s="104" t="n"/>
      <c r="AI326" s="104" t="n"/>
      <c r="AJ326" s="104" t="n"/>
      <c r="AK326" s="104" t="n"/>
      <c r="AL326" s="104" t="n"/>
      <c r="AM326" s="104" t="n"/>
      <c r="AN326" s="104" t="n"/>
      <c r="AO326" s="104" t="n"/>
      <c r="AP326" s="104" t="n"/>
      <c r="AQ326" s="104" t="n"/>
      <c r="AR326" s="104" t="n"/>
      <c r="AS326" s="104" t="n"/>
      <c r="AT326" s="104" t="n"/>
      <c r="AU326" s="104" t="n"/>
      <c r="AV326" s="104" t="n"/>
      <c r="AW326" s="104" t="n"/>
      <c r="AX326" s="104" t="n"/>
      <c r="AY326" s="104" t="n"/>
      <c r="AZ326" s="104" t="n"/>
      <c r="BA326" s="104" t="n"/>
      <c r="BB326" s="104" t="n"/>
      <c r="BC326" s="104" t="n"/>
      <c r="BD326" s="104" t="n"/>
      <c r="BE326" s="104" t="n"/>
      <c r="BF326" s="104" t="n"/>
      <c r="BG326" s="104" t="n"/>
      <c r="BH326" s="104" t="n"/>
      <c r="BI326" s="104" t="n"/>
      <c r="BJ326" s="104" t="n"/>
      <c r="BK326" s="104" t="n"/>
      <c r="BL326" s="104" t="n"/>
      <c r="BM326" s="104" t="n"/>
      <c r="BN326" s="104" t="n"/>
      <c r="BO326" s="104" t="n"/>
      <c r="BP326" s="104" t="n"/>
      <c r="BQ326" s="104" t="n"/>
      <c r="BR326" s="104" t="n"/>
      <c r="BS326" s="104" t="n"/>
      <c r="BT326" s="104" t="n"/>
      <c r="BU326" s="104" t="n"/>
      <c r="BV326" s="104" t="n"/>
      <c r="BW326" s="104" t="n"/>
      <c r="BX326" s="104" t="n"/>
    </row>
    <row r="327">
      <c r="AC327" s="104" t="n"/>
      <c r="AD327" s="104" t="n"/>
      <c r="AE327" s="104" t="n"/>
      <c r="AF327" s="104" t="n"/>
      <c r="AG327" s="104" t="n"/>
      <c r="AH327" s="104" t="n"/>
      <c r="AI327" s="104" t="n"/>
      <c r="AJ327" s="104" t="n"/>
      <c r="AK327" s="104" t="n"/>
      <c r="AL327" s="104" t="n"/>
      <c r="AM327" s="104" t="n"/>
      <c r="AN327" s="104" t="n"/>
      <c r="AO327" s="104" t="n"/>
      <c r="AP327" s="104" t="n"/>
      <c r="AQ327" s="104" t="n"/>
      <c r="AR327" s="104" t="n"/>
      <c r="AS327" s="104" t="n"/>
      <c r="AT327" s="104" t="n"/>
      <c r="AU327" s="104" t="n"/>
      <c r="AV327" s="104" t="n"/>
      <c r="AW327" s="104" t="n"/>
      <c r="AX327" s="104" t="n"/>
      <c r="AY327" s="104" t="n"/>
      <c r="AZ327" s="104" t="n"/>
      <c r="BA327" s="104" t="n"/>
      <c r="BB327" s="104" t="n"/>
      <c r="BC327" s="104" t="n"/>
      <c r="BD327" s="104" t="n"/>
      <c r="BE327" s="104" t="n"/>
      <c r="BF327" s="104" t="n"/>
      <c r="BG327" s="104" t="n"/>
      <c r="BH327" s="104" t="n"/>
      <c r="BI327" s="104" t="n"/>
      <c r="BJ327" s="104" t="n"/>
      <c r="BK327" s="104" t="n"/>
      <c r="BL327" s="104" t="n"/>
      <c r="BM327" s="104" t="n"/>
      <c r="BN327" s="104" t="n"/>
      <c r="BO327" s="104" t="n"/>
      <c r="BP327" s="104" t="n"/>
      <c r="BQ327" s="104" t="n"/>
      <c r="BR327" s="104" t="n"/>
      <c r="BS327" s="104" t="n"/>
      <c r="BT327" s="104" t="n"/>
      <c r="BU327" s="104" t="n"/>
      <c r="BV327" s="104" t="n"/>
      <c r="BW327" s="104" t="n"/>
      <c r="BX327" s="104" t="n"/>
    </row>
    <row r="328">
      <c r="AC328" s="104" t="n"/>
      <c r="AD328" s="104" t="n"/>
      <c r="AE328" s="104" t="n"/>
      <c r="AF328" s="104" t="n"/>
      <c r="AG328" s="104" t="n"/>
      <c r="AH328" s="104" t="n"/>
      <c r="AI328" s="104" t="n"/>
      <c r="AJ328" s="104" t="n"/>
      <c r="AK328" s="104" t="n"/>
      <c r="AL328" s="104" t="n"/>
      <c r="AM328" s="104" t="n"/>
      <c r="AN328" s="104" t="n"/>
      <c r="AO328" s="104" t="n"/>
      <c r="AP328" s="104" t="n"/>
      <c r="AQ328" s="104" t="n"/>
      <c r="AR328" s="104" t="n"/>
      <c r="AS328" s="104" t="n"/>
      <c r="AT328" s="104" t="n"/>
      <c r="AU328" s="104" t="n"/>
      <c r="AV328" s="104" t="n"/>
      <c r="AW328" s="104" t="n"/>
      <c r="AX328" s="104" t="n"/>
      <c r="AY328" s="104" t="n"/>
      <c r="AZ328" s="104" t="n"/>
      <c r="BA328" s="104" t="n"/>
      <c r="BB328" s="104" t="n"/>
      <c r="BC328" s="104" t="n"/>
      <c r="BD328" s="104" t="n"/>
      <c r="BE328" s="104" t="n"/>
      <c r="BF328" s="104" t="n"/>
      <c r="BG328" s="104" t="n"/>
      <c r="BH328" s="104" t="n"/>
      <c r="BI328" s="104" t="n"/>
      <c r="BJ328" s="104" t="n"/>
      <c r="BK328" s="104" t="n"/>
      <c r="BL328" s="104" t="n"/>
      <c r="BM328" s="104" t="n"/>
      <c r="BN328" s="104" t="n"/>
      <c r="BO328" s="104" t="n"/>
      <c r="BP328" s="104" t="n"/>
      <c r="BQ328" s="104" t="n"/>
      <c r="BR328" s="104" t="n"/>
      <c r="BS328" s="104" t="n"/>
      <c r="BT328" s="104" t="n"/>
      <c r="BU328" s="104" t="n"/>
      <c r="BV328" s="104" t="n"/>
      <c r="BW328" s="104" t="n"/>
      <c r="BX328" s="104" t="n"/>
    </row>
    <row r="329">
      <c r="AC329" s="104" t="n"/>
      <c r="AD329" s="104" t="n"/>
      <c r="AE329" s="104" t="n"/>
      <c r="AF329" s="104" t="n"/>
      <c r="AG329" s="104" t="n"/>
      <c r="AH329" s="104" t="n"/>
      <c r="AI329" s="104" t="n"/>
      <c r="AJ329" s="104" t="n"/>
      <c r="AK329" s="104" t="n"/>
      <c r="AL329" s="104" t="n"/>
      <c r="AM329" s="104" t="n"/>
      <c r="AN329" s="104" t="n"/>
      <c r="AO329" s="104" t="n"/>
      <c r="AP329" s="104" t="n"/>
      <c r="AQ329" s="104" t="n"/>
      <c r="AR329" s="104" t="n"/>
      <c r="AS329" s="104" t="n"/>
      <c r="AT329" s="104" t="n"/>
      <c r="AU329" s="104" t="n"/>
      <c r="AV329" s="104" t="n"/>
      <c r="AW329" s="104" t="n"/>
      <c r="AX329" s="104" t="n"/>
      <c r="AY329" s="104" t="n"/>
      <c r="AZ329" s="104" t="n"/>
      <c r="BA329" s="104" t="n"/>
      <c r="BB329" s="104" t="n"/>
      <c r="BC329" s="104" t="n"/>
      <c r="BD329" s="104" t="n"/>
      <c r="BE329" s="104" t="n"/>
      <c r="BF329" s="104" t="n"/>
      <c r="BG329" s="104" t="n"/>
      <c r="BH329" s="104" t="n"/>
      <c r="BI329" s="104" t="n"/>
      <c r="BJ329" s="104" t="n"/>
      <c r="BK329" s="104" t="n"/>
      <c r="BL329" s="104" t="n"/>
      <c r="BM329" s="104" t="n"/>
      <c r="BN329" s="104" t="n"/>
      <c r="BO329" s="104" t="n"/>
      <c r="BP329" s="104" t="n"/>
      <c r="BQ329" s="104" t="n"/>
      <c r="BR329" s="104" t="n"/>
      <c r="BS329" s="104" t="n"/>
      <c r="BT329" s="104" t="n"/>
      <c r="BU329" s="104" t="n"/>
      <c r="BV329" s="104" t="n"/>
      <c r="BW329" s="104" t="n"/>
      <c r="BX329" s="104" t="n"/>
    </row>
    <row r="330">
      <c r="AC330" s="104" t="n"/>
      <c r="AD330" s="104" t="n"/>
      <c r="AE330" s="104" t="n"/>
      <c r="AF330" s="104" t="n"/>
      <c r="AG330" s="104" t="n"/>
      <c r="AH330" s="104" t="n"/>
      <c r="AI330" s="104" t="n"/>
      <c r="AJ330" s="104" t="n"/>
      <c r="AK330" s="104" t="n"/>
      <c r="AL330" s="104" t="n"/>
      <c r="AM330" s="104" t="n"/>
      <c r="AN330" s="104" t="n"/>
      <c r="AO330" s="104" t="n"/>
      <c r="AP330" s="104" t="n"/>
      <c r="AQ330" s="104" t="n"/>
      <c r="AR330" s="104" t="n"/>
      <c r="AS330" s="104" t="n"/>
      <c r="AT330" s="104" t="n"/>
      <c r="AU330" s="104" t="n"/>
      <c r="AV330" s="104" t="n"/>
      <c r="AW330" s="104" t="n"/>
      <c r="AX330" s="104" t="n"/>
      <c r="AY330" s="104" t="n"/>
      <c r="AZ330" s="104" t="n"/>
      <c r="BA330" s="104" t="n"/>
      <c r="BB330" s="104" t="n"/>
      <c r="BC330" s="104" t="n"/>
      <c r="BD330" s="104" t="n"/>
      <c r="BE330" s="104" t="n"/>
      <c r="BF330" s="104" t="n"/>
      <c r="BG330" s="104" t="n"/>
      <c r="BH330" s="104" t="n"/>
      <c r="BI330" s="104" t="n"/>
      <c r="BJ330" s="104" t="n"/>
      <c r="BK330" s="104" t="n"/>
      <c r="BL330" s="104" t="n"/>
      <c r="BM330" s="104" t="n"/>
      <c r="BN330" s="104" t="n"/>
      <c r="BO330" s="104" t="n"/>
      <c r="BP330" s="104" t="n"/>
      <c r="BQ330" s="104" t="n"/>
      <c r="BR330" s="104" t="n"/>
      <c r="BS330" s="104" t="n"/>
      <c r="BT330" s="104" t="n"/>
      <c r="BU330" s="104" t="n"/>
      <c r="BV330" s="104" t="n"/>
      <c r="BW330" s="104" t="n"/>
      <c r="BX330" s="104" t="n"/>
    </row>
    <row r="331">
      <c r="AC331" s="104" t="n"/>
      <c r="AD331" s="104" t="n"/>
      <c r="AE331" s="104" t="n"/>
      <c r="AF331" s="104" t="n"/>
      <c r="AG331" s="104" t="n"/>
      <c r="AH331" s="104" t="n"/>
      <c r="AI331" s="104" t="n"/>
      <c r="AJ331" s="104" t="n"/>
      <c r="AK331" s="104" t="n"/>
      <c r="AL331" s="104" t="n"/>
      <c r="AM331" s="104" t="n"/>
      <c r="AN331" s="104" t="n"/>
      <c r="AO331" s="104" t="n"/>
      <c r="AP331" s="104" t="n"/>
      <c r="AQ331" s="104" t="n"/>
      <c r="AR331" s="104" t="n"/>
      <c r="AS331" s="104" t="n"/>
      <c r="AT331" s="104" t="n"/>
      <c r="AU331" s="104" t="n"/>
      <c r="AV331" s="104" t="n"/>
      <c r="AW331" s="104" t="n"/>
      <c r="AX331" s="104" t="n"/>
      <c r="AY331" s="104" t="n"/>
      <c r="AZ331" s="104" t="n"/>
      <c r="BA331" s="104" t="n"/>
      <c r="BB331" s="104" t="n"/>
      <c r="BC331" s="104" t="n"/>
      <c r="BD331" s="104" t="n"/>
      <c r="BE331" s="104" t="n"/>
      <c r="BF331" s="104" t="n"/>
      <c r="BG331" s="104" t="n"/>
      <c r="BH331" s="104" t="n"/>
      <c r="BI331" s="104" t="n"/>
      <c r="BJ331" s="104" t="n"/>
      <c r="BK331" s="104" t="n"/>
      <c r="BL331" s="104" t="n"/>
      <c r="BM331" s="104" t="n"/>
      <c r="BN331" s="104" t="n"/>
      <c r="BO331" s="104" t="n"/>
      <c r="BP331" s="104" t="n"/>
      <c r="BQ331" s="104" t="n"/>
      <c r="BR331" s="104" t="n"/>
      <c r="BS331" s="104" t="n"/>
      <c r="BT331" s="104" t="n"/>
      <c r="BU331" s="104" t="n"/>
      <c r="BV331" s="104" t="n"/>
      <c r="BW331" s="104" t="n"/>
      <c r="BX331" s="104" t="n"/>
    </row>
    <row r="332">
      <c r="AC332" s="104" t="n"/>
      <c r="AD332" s="104" t="n"/>
      <c r="AE332" s="104" t="n"/>
      <c r="AF332" s="104" t="n"/>
      <c r="AG332" s="104" t="n"/>
      <c r="AH332" s="104" t="n"/>
      <c r="AI332" s="104" t="n"/>
      <c r="AJ332" s="104" t="n"/>
      <c r="AK332" s="104" t="n"/>
      <c r="AL332" s="104" t="n"/>
      <c r="AM332" s="104" t="n"/>
      <c r="AN332" s="104" t="n"/>
      <c r="AO332" s="104" t="n"/>
      <c r="AP332" s="104" t="n"/>
      <c r="AQ332" s="104" t="n"/>
      <c r="AR332" s="104" t="n"/>
      <c r="AS332" s="104" t="n"/>
      <c r="AT332" s="104" t="n"/>
      <c r="AU332" s="104" t="n"/>
      <c r="AV332" s="104" t="n"/>
      <c r="AW332" s="104" t="n"/>
      <c r="AX332" s="104" t="n"/>
      <c r="AY332" s="104" t="n"/>
      <c r="AZ332" s="104" t="n"/>
      <c r="BA332" s="104" t="n"/>
      <c r="BB332" s="104" t="n"/>
      <c r="BC332" s="104" t="n"/>
      <c r="BD332" s="104" t="n"/>
      <c r="BE332" s="104" t="n"/>
      <c r="BF332" s="104" t="n"/>
      <c r="BG332" s="104" t="n"/>
      <c r="BH332" s="104" t="n"/>
      <c r="BI332" s="104" t="n"/>
      <c r="BJ332" s="104" t="n"/>
      <c r="BK332" s="104" t="n"/>
      <c r="BL332" s="104" t="n"/>
      <c r="BM332" s="104" t="n"/>
      <c r="BN332" s="104" t="n"/>
      <c r="BO332" s="104" t="n"/>
      <c r="BP332" s="104" t="n"/>
      <c r="BQ332" s="104" t="n"/>
      <c r="BR332" s="104" t="n"/>
      <c r="BS332" s="104" t="n"/>
      <c r="BT332" s="104" t="n"/>
      <c r="BU332" s="104" t="n"/>
      <c r="BV332" s="104" t="n"/>
      <c r="BW332" s="104" t="n"/>
      <c r="BX332" s="104" t="n"/>
    </row>
    <row r="333">
      <c r="AC333" s="104" t="n"/>
      <c r="AD333" s="104" t="n"/>
      <c r="AE333" s="104" t="n"/>
      <c r="AF333" s="104" t="n"/>
      <c r="AG333" s="104" t="n"/>
      <c r="AH333" s="104" t="n"/>
      <c r="AI333" s="104" t="n"/>
      <c r="AJ333" s="104" t="n"/>
      <c r="AK333" s="104" t="n"/>
      <c r="AL333" s="104" t="n"/>
      <c r="AM333" s="104" t="n"/>
      <c r="AN333" s="104" t="n"/>
      <c r="AO333" s="104" t="n"/>
      <c r="AP333" s="104" t="n"/>
      <c r="AQ333" s="104" t="n"/>
      <c r="AR333" s="104" t="n"/>
      <c r="AS333" s="104" t="n"/>
      <c r="AT333" s="104" t="n"/>
      <c r="AU333" s="104" t="n"/>
      <c r="AV333" s="104" t="n"/>
      <c r="AW333" s="104" t="n"/>
      <c r="AX333" s="104" t="n"/>
      <c r="AY333" s="104" t="n"/>
      <c r="AZ333" s="104" t="n"/>
      <c r="BA333" s="104" t="n"/>
      <c r="BB333" s="104" t="n"/>
      <c r="BC333" s="104" t="n"/>
      <c r="BD333" s="104" t="n"/>
      <c r="BE333" s="104" t="n"/>
      <c r="BF333" s="104" t="n"/>
      <c r="BG333" s="104" t="n"/>
      <c r="BH333" s="104" t="n"/>
      <c r="BI333" s="104" t="n"/>
      <c r="BJ333" s="104" t="n"/>
      <c r="BK333" s="104" t="n"/>
      <c r="BL333" s="104" t="n"/>
      <c r="BM333" s="104" t="n"/>
      <c r="BN333" s="104" t="n"/>
      <c r="BO333" s="104" t="n"/>
      <c r="BP333" s="104" t="n"/>
      <c r="BQ333" s="104" t="n"/>
      <c r="BR333" s="104" t="n"/>
      <c r="BS333" s="104" t="n"/>
      <c r="BT333" s="104" t="n"/>
      <c r="BU333" s="104" t="n"/>
      <c r="BV333" s="104" t="n"/>
      <c r="BW333" s="104" t="n"/>
      <c r="BX333" s="104" t="n"/>
    </row>
    <row r="334">
      <c r="AC334" s="104" t="n"/>
      <c r="AD334" s="104" t="n"/>
      <c r="AE334" s="104" t="n"/>
      <c r="AF334" s="104" t="n"/>
      <c r="AG334" s="104" t="n"/>
      <c r="AH334" s="104" t="n"/>
      <c r="AI334" s="104" t="n"/>
      <c r="AJ334" s="104" t="n"/>
      <c r="AK334" s="104" t="n"/>
      <c r="AL334" s="104" t="n"/>
      <c r="AM334" s="104" t="n"/>
      <c r="AN334" s="104" t="n"/>
      <c r="AO334" s="104" t="n"/>
      <c r="AP334" s="104" t="n"/>
      <c r="AQ334" s="104" t="n"/>
      <c r="AR334" s="104" t="n"/>
      <c r="AS334" s="104" t="n"/>
      <c r="AT334" s="104" t="n"/>
      <c r="AU334" s="104" t="n"/>
      <c r="AV334" s="104" t="n"/>
      <c r="AW334" s="104" t="n"/>
      <c r="AX334" s="104" t="n"/>
      <c r="AY334" s="104" t="n"/>
      <c r="AZ334" s="104" t="n"/>
      <c r="BA334" s="104" t="n"/>
      <c r="BB334" s="104" t="n"/>
      <c r="BC334" s="104" t="n"/>
      <c r="BD334" s="104" t="n"/>
      <c r="BE334" s="104" t="n"/>
      <c r="BF334" s="104" t="n"/>
      <c r="BG334" s="104" t="n"/>
      <c r="BH334" s="104" t="n"/>
      <c r="BI334" s="104" t="n"/>
      <c r="BJ334" s="104" t="n"/>
      <c r="BK334" s="104" t="n"/>
      <c r="BL334" s="104" t="n"/>
      <c r="BM334" s="104" t="n"/>
      <c r="BN334" s="104" t="n"/>
      <c r="BO334" s="104" t="n"/>
      <c r="BP334" s="104" t="n"/>
      <c r="BQ334" s="104" t="n"/>
      <c r="BR334" s="104" t="n"/>
      <c r="BS334" s="104" t="n"/>
      <c r="BT334" s="104" t="n"/>
      <c r="BU334" s="104" t="n"/>
      <c r="BV334" s="104" t="n"/>
      <c r="BW334" s="104" t="n"/>
      <c r="BX334" s="104" t="n"/>
    </row>
    <row r="335">
      <c r="AC335" s="104" t="n"/>
      <c r="AD335" s="104" t="n"/>
      <c r="AE335" s="104" t="n"/>
      <c r="AF335" s="104" t="n"/>
      <c r="AG335" s="104" t="n"/>
      <c r="AH335" s="104" t="n"/>
      <c r="AI335" s="104" t="n"/>
      <c r="AJ335" s="104" t="n"/>
      <c r="AK335" s="104" t="n"/>
      <c r="AL335" s="104" t="n"/>
      <c r="AM335" s="104" t="n"/>
      <c r="AN335" s="104" t="n"/>
      <c r="AO335" s="104" t="n"/>
      <c r="AP335" s="104" t="n"/>
      <c r="AQ335" s="104" t="n"/>
      <c r="AR335" s="104" t="n"/>
      <c r="AS335" s="104" t="n"/>
      <c r="AT335" s="104" t="n"/>
      <c r="AU335" s="104" t="n"/>
      <c r="AV335" s="104" t="n"/>
      <c r="AW335" s="104" t="n"/>
      <c r="AX335" s="104" t="n"/>
      <c r="AY335" s="104" t="n"/>
      <c r="AZ335" s="104" t="n"/>
      <c r="BA335" s="104" t="n"/>
      <c r="BB335" s="104" t="n"/>
      <c r="BC335" s="104" t="n"/>
      <c r="BD335" s="104" t="n"/>
      <c r="BE335" s="104" t="n"/>
      <c r="BF335" s="104" t="n"/>
      <c r="BG335" s="104" t="n"/>
      <c r="BH335" s="104" t="n"/>
      <c r="BI335" s="104" t="n"/>
      <c r="BJ335" s="104" t="n"/>
      <c r="BK335" s="104" t="n"/>
      <c r="BL335" s="104" t="n"/>
      <c r="BM335" s="104" t="n"/>
      <c r="BN335" s="104" t="n"/>
      <c r="BO335" s="104" t="n"/>
      <c r="BP335" s="104" t="n"/>
      <c r="BQ335" s="104" t="n"/>
      <c r="BR335" s="104" t="n"/>
      <c r="BS335" s="104" t="n"/>
      <c r="BT335" s="104" t="n"/>
      <c r="BU335" s="104" t="n"/>
      <c r="BV335" s="104" t="n"/>
      <c r="BW335" s="104" t="n"/>
      <c r="BX335" s="104" t="n"/>
    </row>
    <row r="336">
      <c r="AC336" s="104" t="n"/>
      <c r="AD336" s="104" t="n"/>
      <c r="AE336" s="104" t="n"/>
      <c r="AF336" s="104" t="n"/>
      <c r="AG336" s="104" t="n"/>
      <c r="AH336" s="104" t="n"/>
      <c r="AI336" s="104" t="n"/>
      <c r="AJ336" s="104" t="n"/>
      <c r="AK336" s="104" t="n"/>
      <c r="AL336" s="104" t="n"/>
      <c r="AM336" s="104" t="n"/>
      <c r="AN336" s="104" t="n"/>
      <c r="AO336" s="104" t="n"/>
      <c r="AP336" s="104" t="n"/>
      <c r="AQ336" s="104" t="n"/>
      <c r="AR336" s="104" t="n"/>
      <c r="AS336" s="104" t="n"/>
      <c r="AT336" s="104" t="n"/>
      <c r="AU336" s="104" t="n"/>
      <c r="AV336" s="104" t="n"/>
      <c r="AW336" s="104" t="n"/>
      <c r="AX336" s="104" t="n"/>
      <c r="AY336" s="104" t="n"/>
      <c r="AZ336" s="104" t="n"/>
      <c r="BA336" s="104" t="n"/>
      <c r="BB336" s="104" t="n"/>
      <c r="BC336" s="104" t="n"/>
      <c r="BD336" s="104" t="n"/>
      <c r="BE336" s="104" t="n"/>
      <c r="BF336" s="104" t="n"/>
      <c r="BG336" s="104" t="n"/>
      <c r="BH336" s="104" t="n"/>
      <c r="BI336" s="104" t="n"/>
      <c r="BJ336" s="104" t="n"/>
      <c r="BK336" s="104" t="n"/>
      <c r="BL336" s="104" t="n"/>
      <c r="BM336" s="104" t="n"/>
      <c r="BN336" s="104" t="n"/>
      <c r="BO336" s="104" t="n"/>
      <c r="BP336" s="104" t="n"/>
      <c r="BQ336" s="104" t="n"/>
      <c r="BR336" s="104" t="n"/>
      <c r="BS336" s="104" t="n"/>
      <c r="BT336" s="104" t="n"/>
      <c r="BU336" s="104" t="n"/>
      <c r="BV336" s="104" t="n"/>
      <c r="BW336" s="104" t="n"/>
      <c r="BX336" s="104" t="n"/>
    </row>
    <row r="337">
      <c r="AC337" s="104" t="n"/>
      <c r="AD337" s="104" t="n"/>
      <c r="AE337" s="104" t="n"/>
      <c r="AF337" s="104" t="n"/>
      <c r="AG337" s="104" t="n"/>
      <c r="AH337" s="104" t="n"/>
      <c r="AI337" s="104" t="n"/>
      <c r="AJ337" s="104" t="n"/>
      <c r="AK337" s="104" t="n"/>
      <c r="AL337" s="104" t="n"/>
      <c r="AM337" s="104" t="n"/>
      <c r="AN337" s="104" t="n"/>
      <c r="AO337" s="104" t="n"/>
      <c r="AP337" s="104" t="n"/>
      <c r="AQ337" s="104" t="n"/>
      <c r="AR337" s="104" t="n"/>
      <c r="AS337" s="104" t="n"/>
      <c r="AT337" s="104" t="n"/>
      <c r="AU337" s="104" t="n"/>
      <c r="AV337" s="104" t="n"/>
      <c r="AW337" s="104" t="n"/>
      <c r="AX337" s="104" t="n"/>
      <c r="AY337" s="104" t="n"/>
      <c r="AZ337" s="104" t="n"/>
      <c r="BA337" s="104" t="n"/>
      <c r="BB337" s="104" t="n"/>
      <c r="BC337" s="104" t="n"/>
      <c r="BD337" s="104" t="n"/>
      <c r="BE337" s="104" t="n"/>
      <c r="BF337" s="104" t="n"/>
      <c r="BG337" s="104" t="n"/>
      <c r="BH337" s="104" t="n"/>
      <c r="BI337" s="104" t="n"/>
      <c r="BJ337" s="104" t="n"/>
      <c r="BK337" s="104" t="n"/>
      <c r="BL337" s="104" t="n"/>
      <c r="BM337" s="104" t="n"/>
      <c r="BN337" s="104" t="n"/>
      <c r="BO337" s="104" t="n"/>
      <c r="BP337" s="104" t="n"/>
      <c r="BQ337" s="104" t="n"/>
      <c r="BR337" s="104" t="n"/>
      <c r="BS337" s="104" t="n"/>
      <c r="BT337" s="104" t="n"/>
      <c r="BU337" s="104" t="n"/>
      <c r="BV337" s="104" t="n"/>
      <c r="BW337" s="104" t="n"/>
      <c r="BX337" s="104" t="n"/>
    </row>
    <row r="338">
      <c r="AC338" s="104" t="n"/>
      <c r="AD338" s="104" t="n"/>
      <c r="AE338" s="104" t="n"/>
      <c r="AF338" s="104" t="n"/>
      <c r="AG338" s="104" t="n"/>
      <c r="AH338" s="104" t="n"/>
      <c r="AI338" s="104" t="n"/>
      <c r="AJ338" s="104" t="n"/>
      <c r="AK338" s="104" t="n"/>
      <c r="AL338" s="104" t="n"/>
      <c r="AM338" s="104" t="n"/>
      <c r="AN338" s="104" t="n"/>
      <c r="AO338" s="104" t="n"/>
      <c r="AP338" s="104" t="n"/>
      <c r="AQ338" s="104" t="n"/>
      <c r="AR338" s="104" t="n"/>
      <c r="AS338" s="104" t="n"/>
      <c r="AT338" s="104" t="n"/>
      <c r="AU338" s="104" t="n"/>
      <c r="AV338" s="104" t="n"/>
      <c r="AW338" s="104" t="n"/>
      <c r="AX338" s="104" t="n"/>
      <c r="AY338" s="104" t="n"/>
      <c r="AZ338" s="104" t="n"/>
      <c r="BA338" s="104" t="n"/>
      <c r="BB338" s="104" t="n"/>
      <c r="BC338" s="104" t="n"/>
      <c r="BD338" s="104" t="n"/>
      <c r="BE338" s="104" t="n"/>
      <c r="BF338" s="104" t="n"/>
      <c r="BG338" s="104" t="n"/>
      <c r="BH338" s="104" t="n"/>
      <c r="BI338" s="104" t="n"/>
      <c r="BJ338" s="104" t="n"/>
      <c r="BK338" s="104" t="n"/>
      <c r="BL338" s="104" t="n"/>
      <c r="BM338" s="104" t="n"/>
      <c r="BN338" s="104" t="n"/>
      <c r="BO338" s="104" t="n"/>
      <c r="BP338" s="104" t="n"/>
      <c r="BQ338" s="104" t="n"/>
      <c r="BR338" s="104" t="n"/>
      <c r="BS338" s="104" t="n"/>
      <c r="BT338" s="104" t="n"/>
      <c r="BU338" s="104" t="n"/>
      <c r="BV338" s="104" t="n"/>
      <c r="BW338" s="104" t="n"/>
      <c r="BX338" s="104" t="n"/>
    </row>
    <row r="339">
      <c r="AC339" s="104" t="n"/>
      <c r="AD339" s="104" t="n"/>
      <c r="AE339" s="104" t="n"/>
      <c r="AF339" s="104" t="n"/>
      <c r="AG339" s="104" t="n"/>
      <c r="AH339" s="104" t="n"/>
      <c r="AI339" s="104" t="n"/>
      <c r="AJ339" s="104" t="n"/>
      <c r="AK339" s="104" t="n"/>
      <c r="AL339" s="104" t="n"/>
      <c r="AM339" s="104" t="n"/>
      <c r="AN339" s="104" t="n"/>
      <c r="AO339" s="104" t="n"/>
      <c r="AP339" s="104" t="n"/>
      <c r="AQ339" s="104" t="n"/>
      <c r="AR339" s="104" t="n"/>
      <c r="AS339" s="104" t="n"/>
      <c r="AT339" s="104" t="n"/>
      <c r="AU339" s="104" t="n"/>
      <c r="AV339" s="104" t="n"/>
      <c r="AW339" s="104" t="n"/>
      <c r="AX339" s="104" t="n"/>
      <c r="AY339" s="104" t="n"/>
      <c r="AZ339" s="104" t="n"/>
      <c r="BA339" s="104" t="n"/>
      <c r="BB339" s="104" t="n"/>
      <c r="BC339" s="104" t="n"/>
      <c r="BD339" s="104" t="n"/>
      <c r="BE339" s="104" t="n"/>
      <c r="BF339" s="104" t="n"/>
      <c r="BG339" s="104" t="n"/>
      <c r="BH339" s="104" t="n"/>
      <c r="BI339" s="104" t="n"/>
      <c r="BJ339" s="104" t="n"/>
      <c r="BK339" s="104" t="n"/>
      <c r="BL339" s="104" t="n"/>
      <c r="BM339" s="104" t="n"/>
      <c r="BN339" s="104" t="n"/>
      <c r="BO339" s="104" t="n"/>
      <c r="BP339" s="104" t="n"/>
      <c r="BQ339" s="104" t="n"/>
      <c r="BR339" s="104" t="n"/>
      <c r="BS339" s="104" t="n"/>
      <c r="BT339" s="104" t="n"/>
      <c r="BU339" s="104" t="n"/>
      <c r="BV339" s="104" t="n"/>
      <c r="BW339" s="104" t="n"/>
      <c r="BX339" s="104" t="n"/>
    </row>
    <row r="340">
      <c r="AC340" s="104" t="n"/>
      <c r="AD340" s="104" t="n"/>
      <c r="AE340" s="104" t="n"/>
      <c r="AF340" s="104" t="n"/>
      <c r="AG340" s="104" t="n"/>
      <c r="AH340" s="104" t="n"/>
      <c r="AI340" s="104" t="n"/>
      <c r="AJ340" s="104" t="n"/>
      <c r="AK340" s="104" t="n"/>
      <c r="AL340" s="104" t="n"/>
      <c r="AM340" s="104" t="n"/>
      <c r="AN340" s="104" t="n"/>
      <c r="AO340" s="104" t="n"/>
      <c r="AP340" s="104" t="n"/>
      <c r="AQ340" s="104" t="n"/>
      <c r="AR340" s="104" t="n"/>
      <c r="AS340" s="104" t="n"/>
      <c r="AT340" s="104" t="n"/>
      <c r="AU340" s="104" t="n"/>
      <c r="AV340" s="104" t="n"/>
      <c r="AW340" s="104" t="n"/>
      <c r="AX340" s="104" t="n"/>
      <c r="AY340" s="104" t="n"/>
      <c r="AZ340" s="104" t="n"/>
      <c r="BA340" s="104" t="n"/>
      <c r="BB340" s="104" t="n"/>
      <c r="BC340" s="104" t="n"/>
      <c r="BD340" s="104" t="n"/>
      <c r="BE340" s="104" t="n"/>
      <c r="BF340" s="104" t="n"/>
      <c r="BG340" s="104" t="n"/>
      <c r="BH340" s="104" t="n"/>
      <c r="BI340" s="104" t="n"/>
      <c r="BJ340" s="104" t="n"/>
      <c r="BK340" s="104" t="n"/>
      <c r="BL340" s="104" t="n"/>
      <c r="BM340" s="104" t="n"/>
      <c r="BN340" s="104" t="n"/>
      <c r="BO340" s="104" t="n"/>
      <c r="BP340" s="104" t="n"/>
      <c r="BQ340" s="104" t="n"/>
      <c r="BR340" s="104" t="n"/>
      <c r="BS340" s="104" t="n"/>
      <c r="BT340" s="104" t="n"/>
      <c r="BU340" s="104" t="n"/>
      <c r="BV340" s="104" t="n"/>
      <c r="BW340" s="104" t="n"/>
      <c r="BX340" s="104" t="n"/>
    </row>
    <row r="341">
      <c r="AC341" s="104" t="n"/>
      <c r="AD341" s="104" t="n"/>
      <c r="AE341" s="104" t="n"/>
      <c r="AF341" s="104" t="n"/>
      <c r="AG341" s="104" t="n"/>
      <c r="AH341" s="104" t="n"/>
      <c r="AI341" s="104" t="n"/>
      <c r="AJ341" s="104" t="n"/>
      <c r="AK341" s="104" t="n"/>
      <c r="AL341" s="104" t="n"/>
      <c r="AM341" s="104" t="n"/>
      <c r="AN341" s="104" t="n"/>
      <c r="AO341" s="104" t="n"/>
      <c r="AP341" s="104" t="n"/>
      <c r="AQ341" s="104" t="n"/>
      <c r="AR341" s="104" t="n"/>
      <c r="AS341" s="104" t="n"/>
      <c r="AT341" s="104" t="n"/>
      <c r="AU341" s="104" t="n"/>
      <c r="AV341" s="104" t="n"/>
      <c r="AW341" s="104" t="n"/>
      <c r="AX341" s="104" t="n"/>
      <c r="AY341" s="104" t="n"/>
      <c r="AZ341" s="104" t="n"/>
      <c r="BA341" s="104" t="n"/>
      <c r="BB341" s="104" t="n"/>
      <c r="BC341" s="104" t="n"/>
      <c r="BD341" s="104" t="n"/>
      <c r="BE341" s="104" t="n"/>
      <c r="BF341" s="104" t="n"/>
      <c r="BG341" s="104" t="n"/>
      <c r="BH341" s="104" t="n"/>
      <c r="BI341" s="104" t="n"/>
      <c r="BJ341" s="104" t="n"/>
      <c r="BK341" s="104" t="n"/>
      <c r="BL341" s="104" t="n"/>
      <c r="BM341" s="104" t="n"/>
      <c r="BN341" s="104" t="n"/>
      <c r="BO341" s="104" t="n"/>
      <c r="BP341" s="104" t="n"/>
      <c r="BQ341" s="104" t="n"/>
      <c r="BR341" s="104" t="n"/>
      <c r="BS341" s="104" t="n"/>
      <c r="BT341" s="104" t="n"/>
      <c r="BU341" s="104" t="n"/>
      <c r="BV341" s="104" t="n"/>
      <c r="BW341" s="104" t="n"/>
      <c r="BX341" s="104" t="n"/>
    </row>
    <row r="342">
      <c r="AC342" s="104" t="n"/>
      <c r="AD342" s="104" t="n"/>
      <c r="AE342" s="104" t="n"/>
      <c r="AF342" s="104" t="n"/>
      <c r="AG342" s="104" t="n"/>
      <c r="AH342" s="104" t="n"/>
      <c r="AI342" s="104" t="n"/>
      <c r="AJ342" s="104" t="n"/>
      <c r="AK342" s="104" t="n"/>
      <c r="AL342" s="104" t="n"/>
      <c r="AM342" s="104" t="n"/>
      <c r="AN342" s="104" t="n"/>
      <c r="AO342" s="104" t="n"/>
      <c r="AP342" s="104" t="n"/>
      <c r="AQ342" s="104" t="n"/>
      <c r="AR342" s="104" t="n"/>
      <c r="AS342" s="104" t="n"/>
      <c r="AT342" s="104" t="n"/>
      <c r="AU342" s="104" t="n"/>
      <c r="AV342" s="104" t="n"/>
      <c r="AW342" s="104" t="n"/>
      <c r="AX342" s="104" t="n"/>
      <c r="AY342" s="104" t="n"/>
      <c r="AZ342" s="104" t="n"/>
      <c r="BA342" s="104" t="n"/>
      <c r="BB342" s="104" t="n"/>
      <c r="BC342" s="104" t="n"/>
      <c r="BD342" s="104" t="n"/>
      <c r="BE342" s="104" t="n"/>
      <c r="BF342" s="104" t="n"/>
      <c r="BG342" s="104" t="n"/>
      <c r="BH342" s="104" t="n"/>
      <c r="BI342" s="104" t="n"/>
      <c r="BJ342" s="104" t="n"/>
      <c r="BK342" s="104" t="n"/>
      <c r="BL342" s="104" t="n"/>
      <c r="BM342" s="104" t="n"/>
      <c r="BN342" s="104" t="n"/>
      <c r="BO342" s="104" t="n"/>
      <c r="BP342" s="104" t="n"/>
      <c r="BQ342" s="104" t="n"/>
      <c r="BR342" s="104" t="n"/>
      <c r="BS342" s="104" t="n"/>
      <c r="BT342" s="104" t="n"/>
      <c r="BU342" s="104" t="n"/>
      <c r="BV342" s="104" t="n"/>
      <c r="BW342" s="104" t="n"/>
      <c r="BX342" s="104" t="n"/>
    </row>
    <row r="343">
      <c r="AC343" s="104" t="n"/>
      <c r="AD343" s="104" t="n"/>
      <c r="AE343" s="104" t="n"/>
      <c r="AF343" s="104" t="n"/>
      <c r="AG343" s="104" t="n"/>
      <c r="AH343" s="104" t="n"/>
      <c r="AI343" s="104" t="n"/>
      <c r="AJ343" s="104" t="n"/>
      <c r="AK343" s="104" t="n"/>
      <c r="AL343" s="104" t="n"/>
      <c r="AM343" s="104" t="n"/>
      <c r="AN343" s="104" t="n"/>
      <c r="AO343" s="104" t="n"/>
      <c r="AP343" s="104" t="n"/>
      <c r="AQ343" s="104" t="n"/>
      <c r="AR343" s="104" t="n"/>
      <c r="AS343" s="104" t="n"/>
      <c r="AT343" s="104" t="n"/>
      <c r="AU343" s="104" t="n"/>
      <c r="AV343" s="104" t="n"/>
      <c r="AW343" s="104" t="n"/>
      <c r="AX343" s="104" t="n"/>
      <c r="AY343" s="104" t="n"/>
      <c r="AZ343" s="104" t="n"/>
      <c r="BA343" s="104" t="n"/>
      <c r="BB343" s="104" t="n"/>
      <c r="BC343" s="104" t="n"/>
      <c r="BD343" s="104" t="n"/>
      <c r="BE343" s="104" t="n"/>
      <c r="BF343" s="104" t="n"/>
      <c r="BG343" s="104" t="n"/>
      <c r="BH343" s="104" t="n"/>
      <c r="BI343" s="104" t="n"/>
      <c r="BJ343" s="104" t="n"/>
      <c r="BK343" s="104" t="n"/>
      <c r="BL343" s="104" t="n"/>
      <c r="BM343" s="104" t="n"/>
      <c r="BN343" s="104" t="n"/>
      <c r="BO343" s="104" t="n"/>
      <c r="BP343" s="104" t="n"/>
      <c r="BQ343" s="104" t="n"/>
      <c r="BR343" s="104" t="n"/>
      <c r="BS343" s="104" t="n"/>
      <c r="BT343" s="104" t="n"/>
      <c r="BU343" s="104" t="n"/>
      <c r="BV343" s="104" t="n"/>
      <c r="BW343" s="104" t="n"/>
      <c r="BX343" s="104" t="n"/>
    </row>
    <row r="344">
      <c r="AC344" s="104" t="n"/>
      <c r="AD344" s="104" t="n"/>
      <c r="AE344" s="104" t="n"/>
      <c r="AF344" s="104" t="n"/>
      <c r="AG344" s="104" t="n"/>
      <c r="AH344" s="104" t="n"/>
      <c r="AI344" s="104" t="n"/>
      <c r="AJ344" s="104" t="n"/>
      <c r="AK344" s="104" t="n"/>
      <c r="AL344" s="104" t="n"/>
      <c r="AM344" s="104" t="n"/>
      <c r="AN344" s="104" t="n"/>
      <c r="AO344" s="104" t="n"/>
      <c r="AP344" s="104" t="n"/>
      <c r="AQ344" s="104" t="n"/>
      <c r="AR344" s="104" t="n"/>
      <c r="AS344" s="104" t="n"/>
      <c r="AT344" s="104" t="n"/>
      <c r="AU344" s="104" t="n"/>
      <c r="AV344" s="104" t="n"/>
      <c r="AW344" s="104" t="n"/>
      <c r="AX344" s="104" t="n"/>
      <c r="AY344" s="104" t="n"/>
      <c r="AZ344" s="104" t="n"/>
      <c r="BA344" s="104" t="n"/>
      <c r="BB344" s="104" t="n"/>
      <c r="BC344" s="104" t="n"/>
      <c r="BD344" s="104" t="n"/>
      <c r="BE344" s="104" t="n"/>
      <c r="BF344" s="104" t="n"/>
      <c r="BG344" s="104" t="n"/>
      <c r="BH344" s="104" t="n"/>
      <c r="BI344" s="104" t="n"/>
      <c r="BJ344" s="104" t="n"/>
      <c r="BK344" s="104" t="n"/>
      <c r="BL344" s="104" t="n"/>
      <c r="BM344" s="104" t="n"/>
      <c r="BN344" s="104" t="n"/>
      <c r="BO344" s="104" t="n"/>
      <c r="BP344" s="104" t="n"/>
      <c r="BQ344" s="104" t="n"/>
      <c r="BR344" s="104" t="n"/>
      <c r="BS344" s="104" t="n"/>
      <c r="BT344" s="104" t="n"/>
      <c r="BU344" s="104" t="n"/>
      <c r="BV344" s="104" t="n"/>
      <c r="BW344" s="104" t="n"/>
      <c r="BX344" s="104" t="n"/>
    </row>
    <row r="345">
      <c r="AC345" s="104" t="n"/>
      <c r="AD345" s="104" t="n"/>
      <c r="AE345" s="104" t="n"/>
      <c r="AF345" s="104" t="n"/>
      <c r="AG345" s="104" t="n"/>
      <c r="AH345" s="104" t="n"/>
      <c r="AI345" s="104" t="n"/>
      <c r="AJ345" s="104" t="n"/>
      <c r="AK345" s="104" t="n"/>
      <c r="AL345" s="104" t="n"/>
      <c r="AM345" s="104" t="n"/>
      <c r="AN345" s="104" t="n"/>
      <c r="AO345" s="104" t="n"/>
      <c r="AP345" s="104" t="n"/>
      <c r="AQ345" s="104" t="n"/>
      <c r="AR345" s="104" t="n"/>
      <c r="AS345" s="104" t="n"/>
      <c r="AT345" s="104" t="n"/>
      <c r="AU345" s="104" t="n"/>
      <c r="AV345" s="104" t="n"/>
      <c r="AW345" s="104" t="n"/>
      <c r="AX345" s="104" t="n"/>
      <c r="AY345" s="104" t="n"/>
      <c r="AZ345" s="104" t="n"/>
      <c r="BA345" s="104" t="n"/>
      <c r="BB345" s="104" t="n"/>
      <c r="BC345" s="104" t="n"/>
      <c r="BD345" s="104" t="n"/>
      <c r="BE345" s="104" t="n"/>
      <c r="BF345" s="104" t="n"/>
      <c r="BG345" s="104" t="n"/>
      <c r="BH345" s="104" t="n"/>
      <c r="BI345" s="104" t="n"/>
      <c r="BJ345" s="104" t="n"/>
      <c r="BK345" s="104" t="n"/>
      <c r="BL345" s="104" t="n"/>
      <c r="BM345" s="104" t="n"/>
      <c r="BN345" s="104" t="n"/>
      <c r="BO345" s="104" t="n"/>
      <c r="BP345" s="104" t="n"/>
      <c r="BQ345" s="104" t="n"/>
      <c r="BR345" s="104" t="n"/>
      <c r="BS345" s="104" t="n"/>
      <c r="BT345" s="104" t="n"/>
      <c r="BU345" s="104" t="n"/>
      <c r="BV345" s="104" t="n"/>
      <c r="BW345" s="104" t="n"/>
      <c r="BX345" s="104" t="n"/>
    </row>
    <row r="346">
      <c r="AC346" s="104" t="n"/>
      <c r="AD346" s="104" t="n"/>
      <c r="AE346" s="104" t="n"/>
      <c r="AF346" s="104" t="n"/>
      <c r="AG346" s="104" t="n"/>
      <c r="AH346" s="104" t="n"/>
      <c r="AI346" s="104" t="n"/>
      <c r="AJ346" s="104" t="n"/>
      <c r="AK346" s="104" t="n"/>
      <c r="AL346" s="104" t="n"/>
      <c r="AM346" s="104" t="n"/>
      <c r="AN346" s="104" t="n"/>
      <c r="AO346" s="104" t="n"/>
      <c r="AP346" s="104" t="n"/>
      <c r="AQ346" s="104" t="n"/>
      <c r="AR346" s="104" t="n"/>
      <c r="AS346" s="104" t="n"/>
      <c r="AT346" s="104" t="n"/>
      <c r="AU346" s="104" t="n"/>
      <c r="AV346" s="104" t="n"/>
      <c r="AW346" s="104" t="n"/>
      <c r="AX346" s="104" t="n"/>
      <c r="AY346" s="104" t="n"/>
      <c r="AZ346" s="104" t="n"/>
      <c r="BA346" s="104" t="n"/>
      <c r="BB346" s="104" t="n"/>
      <c r="BC346" s="104" t="n"/>
      <c r="BD346" s="104" t="n"/>
      <c r="BE346" s="104" t="n"/>
      <c r="BF346" s="104" t="n"/>
      <c r="BG346" s="104" t="n"/>
      <c r="BH346" s="104" t="n"/>
      <c r="BI346" s="104" t="n"/>
      <c r="BJ346" s="104" t="n"/>
      <c r="BK346" s="104" t="n"/>
      <c r="BL346" s="104" t="n"/>
      <c r="BM346" s="104" t="n"/>
      <c r="BN346" s="104" t="n"/>
      <c r="BO346" s="104" t="n"/>
      <c r="BP346" s="104" t="n"/>
      <c r="BQ346" s="104" t="n"/>
      <c r="BR346" s="104" t="n"/>
      <c r="BS346" s="104" t="n"/>
      <c r="BT346" s="104" t="n"/>
      <c r="BU346" s="104" t="n"/>
      <c r="BV346" s="104" t="n"/>
      <c r="BW346" s="104" t="n"/>
      <c r="BX346" s="104" t="n"/>
    </row>
    <row r="347">
      <c r="AC347" s="104" t="n"/>
      <c r="AD347" s="104" t="n"/>
      <c r="AE347" s="104" t="n"/>
      <c r="AF347" s="104" t="n"/>
      <c r="AG347" s="104" t="n"/>
      <c r="AH347" s="104" t="n"/>
      <c r="AI347" s="104" t="n"/>
      <c r="AJ347" s="104" t="n"/>
      <c r="AK347" s="104" t="n"/>
      <c r="AL347" s="104" t="n"/>
      <c r="AM347" s="104" t="n"/>
      <c r="AN347" s="104" t="n"/>
      <c r="AO347" s="104" t="n"/>
      <c r="AP347" s="104" t="n"/>
      <c r="AQ347" s="104" t="n"/>
      <c r="AR347" s="104" t="n"/>
      <c r="AS347" s="104" t="n"/>
      <c r="AT347" s="104" t="n"/>
      <c r="AU347" s="104" t="n"/>
      <c r="AV347" s="104" t="n"/>
      <c r="AW347" s="104" t="n"/>
      <c r="AX347" s="104" t="n"/>
      <c r="AY347" s="104" t="n"/>
      <c r="AZ347" s="104" t="n"/>
      <c r="BA347" s="104" t="n"/>
      <c r="BB347" s="104" t="n"/>
      <c r="BC347" s="104" t="n"/>
      <c r="BD347" s="104" t="n"/>
      <c r="BE347" s="104" t="n"/>
      <c r="BF347" s="104" t="n"/>
      <c r="BG347" s="104" t="n"/>
      <c r="BH347" s="104" t="n"/>
      <c r="BI347" s="104" t="n"/>
      <c r="BJ347" s="104" t="n"/>
      <c r="BK347" s="104" t="n"/>
      <c r="BL347" s="104" t="n"/>
      <c r="BM347" s="104" t="n"/>
      <c r="BN347" s="104" t="n"/>
      <c r="BO347" s="104" t="n"/>
      <c r="BP347" s="104" t="n"/>
      <c r="BQ347" s="104" t="n"/>
      <c r="BR347" s="104" t="n"/>
      <c r="BS347" s="104" t="n"/>
      <c r="BT347" s="104" t="n"/>
      <c r="BU347" s="104" t="n"/>
      <c r="BV347" s="104" t="n"/>
      <c r="BW347" s="104" t="n"/>
      <c r="BX347" s="104" t="n"/>
    </row>
    <row r="348">
      <c r="AC348" s="104" t="n"/>
      <c r="AD348" s="104" t="n"/>
      <c r="AE348" s="104" t="n"/>
      <c r="AF348" s="104" t="n"/>
      <c r="AG348" s="104" t="n"/>
      <c r="AH348" s="104" t="n"/>
      <c r="AI348" s="104" t="n"/>
      <c r="AJ348" s="104" t="n"/>
      <c r="AK348" s="104" t="n"/>
      <c r="AL348" s="104" t="n"/>
      <c r="AM348" s="104" t="n"/>
      <c r="AN348" s="104" t="n"/>
      <c r="AO348" s="104" t="n"/>
      <c r="AP348" s="104" t="n"/>
      <c r="AQ348" s="104" t="n"/>
      <c r="AR348" s="104" t="n"/>
      <c r="AS348" s="104" t="n"/>
      <c r="AT348" s="104" t="n"/>
      <c r="AU348" s="104" t="n"/>
      <c r="AV348" s="104" t="n"/>
      <c r="AW348" s="104" t="n"/>
      <c r="AX348" s="104" t="n"/>
      <c r="AY348" s="104" t="n"/>
      <c r="AZ348" s="104" t="n"/>
      <c r="BA348" s="104" t="n"/>
      <c r="BB348" s="104" t="n"/>
      <c r="BC348" s="104" t="n"/>
      <c r="BD348" s="104" t="n"/>
      <c r="BE348" s="104" t="n"/>
      <c r="BF348" s="104" t="n"/>
      <c r="BG348" s="104" t="n"/>
      <c r="BH348" s="104" t="n"/>
      <c r="BI348" s="104" t="n"/>
      <c r="BJ348" s="104" t="n"/>
      <c r="BK348" s="104" t="n"/>
      <c r="BL348" s="104" t="n"/>
      <c r="BM348" s="104" t="n"/>
      <c r="BN348" s="104" t="n"/>
      <c r="BO348" s="104" t="n"/>
      <c r="BP348" s="104" t="n"/>
      <c r="BQ348" s="104" t="n"/>
      <c r="BR348" s="104" t="n"/>
      <c r="BS348" s="104" t="n"/>
      <c r="BT348" s="104" t="n"/>
      <c r="BU348" s="104" t="n"/>
      <c r="BV348" s="104" t="n"/>
      <c r="BW348" s="104" t="n"/>
      <c r="BX348" s="104" t="n"/>
    </row>
    <row r="349">
      <c r="AC349" s="104" t="n"/>
      <c r="AD349" s="104" t="n"/>
      <c r="AE349" s="104" t="n"/>
      <c r="AF349" s="104" t="n"/>
      <c r="AG349" s="104" t="n"/>
      <c r="AH349" s="104" t="n"/>
      <c r="AI349" s="104" t="n"/>
      <c r="AJ349" s="104" t="n"/>
      <c r="AK349" s="104" t="n"/>
      <c r="AL349" s="104" t="n"/>
      <c r="AM349" s="104" t="n"/>
      <c r="AN349" s="104" t="n"/>
      <c r="AO349" s="104" t="n"/>
      <c r="AP349" s="104" t="n"/>
      <c r="AQ349" s="104" t="n"/>
      <c r="AR349" s="104" t="n"/>
      <c r="AS349" s="104" t="n"/>
      <c r="AT349" s="104" t="n"/>
      <c r="AU349" s="104" t="n"/>
      <c r="AV349" s="104" t="n"/>
      <c r="AW349" s="104" t="n"/>
      <c r="AX349" s="104" t="n"/>
      <c r="AY349" s="104" t="n"/>
      <c r="AZ349" s="104" t="n"/>
      <c r="BA349" s="104" t="n"/>
      <c r="BB349" s="104" t="n"/>
      <c r="BC349" s="104" t="n"/>
      <c r="BD349" s="104" t="n"/>
      <c r="BE349" s="104" t="n"/>
      <c r="BF349" s="104" t="n"/>
      <c r="BG349" s="104" t="n"/>
      <c r="BH349" s="104" t="n"/>
      <c r="BI349" s="104" t="n"/>
      <c r="BJ349" s="104" t="n"/>
      <c r="BK349" s="104" t="n"/>
      <c r="BL349" s="104" t="n"/>
      <c r="BM349" s="104" t="n"/>
      <c r="BN349" s="104" t="n"/>
      <c r="BO349" s="104" t="n"/>
      <c r="BP349" s="104" t="n"/>
      <c r="BQ349" s="104" t="n"/>
      <c r="BR349" s="104" t="n"/>
      <c r="BS349" s="104" t="n"/>
      <c r="BT349" s="104" t="n"/>
      <c r="BU349" s="104" t="n"/>
      <c r="BV349" s="104" t="n"/>
      <c r="BW349" s="104" t="n"/>
      <c r="BX349" s="104" t="n"/>
    </row>
    <row r="350">
      <c r="AC350" s="104" t="n"/>
      <c r="AD350" s="104" t="n"/>
      <c r="AE350" s="104" t="n"/>
      <c r="AF350" s="104" t="n"/>
      <c r="AG350" s="104" t="n"/>
      <c r="AH350" s="104" t="n"/>
      <c r="AI350" s="104" t="n"/>
      <c r="AJ350" s="104" t="n"/>
      <c r="AK350" s="104" t="n"/>
      <c r="AL350" s="104" t="n"/>
      <c r="AM350" s="104" t="n"/>
      <c r="AN350" s="104" t="n"/>
      <c r="AO350" s="104" t="n"/>
      <c r="AP350" s="104" t="n"/>
      <c r="AQ350" s="104" t="n"/>
      <c r="AR350" s="104" t="n"/>
      <c r="AS350" s="104" t="n"/>
      <c r="AT350" s="104" t="n"/>
      <c r="AU350" s="104" t="n"/>
      <c r="AV350" s="104" t="n"/>
      <c r="AW350" s="104" t="n"/>
      <c r="AX350" s="104" t="n"/>
      <c r="AY350" s="104" t="n"/>
      <c r="AZ350" s="104" t="n"/>
      <c r="BA350" s="104" t="n"/>
      <c r="BB350" s="104" t="n"/>
      <c r="BC350" s="104" t="n"/>
      <c r="BD350" s="104" t="n"/>
      <c r="BE350" s="104" t="n"/>
      <c r="BF350" s="104" t="n"/>
      <c r="BG350" s="104" t="n"/>
      <c r="BH350" s="104" t="n"/>
      <c r="BI350" s="104" t="n"/>
      <c r="BJ350" s="104" t="n"/>
      <c r="BK350" s="104" t="n"/>
      <c r="BL350" s="104" t="n"/>
      <c r="BM350" s="104" t="n"/>
      <c r="BN350" s="104" t="n"/>
      <c r="BO350" s="104" t="n"/>
      <c r="BP350" s="104" t="n"/>
      <c r="BQ350" s="104" t="n"/>
      <c r="BR350" s="104" t="n"/>
      <c r="BS350" s="104" t="n"/>
      <c r="BT350" s="104" t="n"/>
      <c r="BU350" s="104" t="n"/>
      <c r="BV350" s="104" t="n"/>
      <c r="BW350" s="104" t="n"/>
      <c r="BX350" s="104" t="n"/>
    </row>
    <row r="351">
      <c r="AC351" s="104" t="n"/>
      <c r="AD351" s="104" t="n"/>
      <c r="AE351" s="104" t="n"/>
      <c r="AF351" s="104" t="n"/>
      <c r="AG351" s="104" t="n"/>
      <c r="AH351" s="104" t="n"/>
      <c r="AI351" s="104" t="n"/>
      <c r="AJ351" s="104" t="n"/>
      <c r="AK351" s="104" t="n"/>
      <c r="AL351" s="104" t="n"/>
      <c r="AM351" s="104" t="n"/>
      <c r="AN351" s="104" t="n"/>
      <c r="AO351" s="104" t="n"/>
      <c r="AP351" s="104" t="n"/>
      <c r="AQ351" s="104" t="n"/>
      <c r="AR351" s="104" t="n"/>
      <c r="AS351" s="104" t="n"/>
      <c r="AT351" s="104" t="n"/>
      <c r="AU351" s="104" t="n"/>
      <c r="AV351" s="104" t="n"/>
      <c r="AW351" s="104" t="n"/>
      <c r="AX351" s="104" t="n"/>
      <c r="AY351" s="104" t="n"/>
      <c r="AZ351" s="104" t="n"/>
      <c r="BA351" s="104" t="n"/>
      <c r="BB351" s="104" t="n"/>
      <c r="BC351" s="104" t="n"/>
      <c r="BD351" s="104" t="n"/>
      <c r="BE351" s="104" t="n"/>
      <c r="BF351" s="104" t="n"/>
      <c r="BG351" s="104" t="n"/>
      <c r="BH351" s="104" t="n"/>
      <c r="BI351" s="104" t="n"/>
      <c r="BJ351" s="104" t="n"/>
      <c r="BK351" s="104" t="n"/>
      <c r="BL351" s="104" t="n"/>
      <c r="BM351" s="104" t="n"/>
      <c r="BN351" s="104" t="n"/>
      <c r="BO351" s="104" t="n"/>
      <c r="BP351" s="104" t="n"/>
      <c r="BQ351" s="104" t="n"/>
      <c r="BR351" s="104" t="n"/>
      <c r="BS351" s="104" t="n"/>
      <c r="BT351" s="104" t="n"/>
      <c r="BU351" s="104" t="n"/>
      <c r="BV351" s="104" t="n"/>
      <c r="BW351" s="104" t="n"/>
      <c r="BX351" s="104" t="n"/>
    </row>
    <row r="352">
      <c r="AC352" s="104" t="n"/>
      <c r="AD352" s="104" t="n"/>
      <c r="AE352" s="104" t="n"/>
      <c r="AF352" s="104" t="n"/>
      <c r="AG352" s="104" t="n"/>
      <c r="AH352" s="104" t="n"/>
      <c r="AI352" s="104" t="n"/>
      <c r="AJ352" s="104" t="n"/>
      <c r="AK352" s="104" t="n"/>
      <c r="AL352" s="104" t="n"/>
      <c r="AM352" s="104" t="n"/>
      <c r="AN352" s="104" t="n"/>
      <c r="AO352" s="104" t="n"/>
      <c r="AP352" s="104" t="n"/>
      <c r="AQ352" s="104" t="n"/>
      <c r="AR352" s="104" t="n"/>
      <c r="AS352" s="104" t="n"/>
      <c r="AT352" s="104" t="n"/>
      <c r="AU352" s="104" t="n"/>
      <c r="AV352" s="104" t="n"/>
      <c r="AW352" s="104" t="n"/>
      <c r="AX352" s="104" t="n"/>
      <c r="AY352" s="104" t="n"/>
      <c r="AZ352" s="104" t="n"/>
      <c r="BA352" s="104" t="n"/>
      <c r="BB352" s="104" t="n"/>
      <c r="BC352" s="104" t="n"/>
      <c r="BD352" s="104" t="n"/>
      <c r="BE352" s="104" t="n"/>
      <c r="BF352" s="104" t="n"/>
      <c r="BG352" s="104" t="n"/>
      <c r="BH352" s="104" t="n"/>
      <c r="BI352" s="104" t="n"/>
      <c r="BJ352" s="104" t="n"/>
      <c r="BK352" s="104" t="n"/>
      <c r="BL352" s="104" t="n"/>
      <c r="BM352" s="104" t="n"/>
      <c r="BN352" s="104" t="n"/>
      <c r="BO352" s="104" t="n"/>
      <c r="BP352" s="104" t="n"/>
      <c r="BQ352" s="104" t="n"/>
      <c r="BR352" s="104" t="n"/>
      <c r="BS352" s="104" t="n"/>
      <c r="BT352" s="104" t="n"/>
      <c r="BU352" s="104" t="n"/>
      <c r="BV352" s="104" t="n"/>
      <c r="BW352" s="104" t="n"/>
      <c r="BX352" s="104" t="n"/>
    </row>
    <row r="353">
      <c r="AC353" s="104" t="n"/>
      <c r="AD353" s="104" t="n"/>
      <c r="AE353" s="104" t="n"/>
      <c r="AF353" s="104" t="n"/>
      <c r="AG353" s="104" t="n"/>
      <c r="AH353" s="104" t="n"/>
      <c r="AI353" s="104" t="n"/>
      <c r="AJ353" s="104" t="n"/>
      <c r="AK353" s="104" t="n"/>
      <c r="AL353" s="104" t="n"/>
      <c r="AM353" s="104" t="n"/>
      <c r="AN353" s="104" t="n"/>
      <c r="AO353" s="104" t="n"/>
      <c r="AP353" s="104" t="n"/>
      <c r="AQ353" s="104" t="n"/>
      <c r="AR353" s="104" t="n"/>
      <c r="AS353" s="104" t="n"/>
      <c r="AT353" s="104" t="n"/>
      <c r="AU353" s="104" t="n"/>
      <c r="AV353" s="104" t="n"/>
      <c r="AW353" s="104" t="n"/>
      <c r="AX353" s="104" t="n"/>
      <c r="AY353" s="104" t="n"/>
      <c r="AZ353" s="104" t="n"/>
      <c r="BA353" s="104" t="n"/>
      <c r="BB353" s="104" t="n"/>
      <c r="BC353" s="104" t="n"/>
      <c r="BD353" s="104" t="n"/>
      <c r="BE353" s="104" t="n"/>
      <c r="BF353" s="104" t="n"/>
      <c r="BG353" s="104" t="n"/>
      <c r="BH353" s="104" t="n"/>
      <c r="BI353" s="104" t="n"/>
      <c r="BJ353" s="104" t="n"/>
      <c r="BK353" s="104" t="n"/>
      <c r="BL353" s="104" t="n"/>
      <c r="BM353" s="104" t="n"/>
      <c r="BN353" s="104" t="n"/>
      <c r="BO353" s="104" t="n"/>
      <c r="BP353" s="104" t="n"/>
      <c r="BQ353" s="104" t="n"/>
      <c r="BR353" s="104" t="n"/>
      <c r="BS353" s="104" t="n"/>
      <c r="BT353" s="104" t="n"/>
      <c r="BU353" s="104" t="n"/>
      <c r="BV353" s="104" t="n"/>
      <c r="BW353" s="104" t="n"/>
      <c r="BX353" s="104" t="n"/>
    </row>
    <row r="354">
      <c r="AC354" s="104" t="n"/>
      <c r="AD354" s="104" t="n"/>
      <c r="AE354" s="104" t="n"/>
      <c r="AF354" s="104" t="n"/>
      <c r="AG354" s="104" t="n"/>
      <c r="AH354" s="104" t="n"/>
      <c r="AI354" s="104" t="n"/>
      <c r="AJ354" s="104" t="n"/>
      <c r="AK354" s="104" t="n"/>
      <c r="AL354" s="104" t="n"/>
      <c r="AM354" s="104" t="n"/>
      <c r="AN354" s="104" t="n"/>
      <c r="AO354" s="104" t="n"/>
      <c r="AP354" s="104" t="n"/>
      <c r="AQ354" s="104" t="n"/>
      <c r="AR354" s="104" t="n"/>
      <c r="AS354" s="104" t="n"/>
      <c r="AT354" s="104" t="n"/>
      <c r="AU354" s="104" t="n"/>
      <c r="AV354" s="104" t="n"/>
      <c r="AW354" s="104" t="n"/>
      <c r="AX354" s="104" t="n"/>
      <c r="AY354" s="104" t="n"/>
      <c r="AZ354" s="104" t="n"/>
      <c r="BA354" s="104" t="n"/>
      <c r="BB354" s="104" t="n"/>
      <c r="BC354" s="104" t="n"/>
      <c r="BD354" s="104" t="n"/>
      <c r="BE354" s="104" t="n"/>
      <c r="BF354" s="104" t="n"/>
      <c r="BG354" s="104" t="n"/>
      <c r="BH354" s="104" t="n"/>
      <c r="BI354" s="104" t="n"/>
      <c r="BJ354" s="104" t="n"/>
      <c r="BK354" s="104" t="n"/>
      <c r="BL354" s="104" t="n"/>
      <c r="BM354" s="104" t="n"/>
      <c r="BN354" s="104" t="n"/>
      <c r="BO354" s="104" t="n"/>
      <c r="BP354" s="104" t="n"/>
      <c r="BQ354" s="104" t="n"/>
      <c r="BR354" s="104" t="n"/>
      <c r="BS354" s="104" t="n"/>
      <c r="BT354" s="104" t="n"/>
      <c r="BU354" s="104" t="n"/>
      <c r="BV354" s="104" t="n"/>
      <c r="BW354" s="104" t="n"/>
      <c r="BX354" s="104" t="n"/>
    </row>
    <row r="355">
      <c r="AC355" s="104" t="n"/>
      <c r="AD355" s="104" t="n"/>
      <c r="AE355" s="104" t="n"/>
      <c r="AF355" s="104" t="n"/>
      <c r="AG355" s="104" t="n"/>
      <c r="AH355" s="104" t="n"/>
      <c r="AI355" s="104" t="n"/>
      <c r="AJ355" s="104" t="n"/>
      <c r="AK355" s="104" t="n"/>
      <c r="AL355" s="104" t="n"/>
      <c r="AM355" s="104" t="n"/>
      <c r="AN355" s="104" t="n"/>
      <c r="AO355" s="104" t="n"/>
      <c r="AP355" s="104" t="n"/>
      <c r="AQ355" s="104" t="n"/>
      <c r="AR355" s="104" t="n"/>
      <c r="AS355" s="104" t="n"/>
      <c r="AT355" s="104" t="n"/>
      <c r="AU355" s="104" t="n"/>
      <c r="AV355" s="104" t="n"/>
      <c r="AW355" s="104" t="n"/>
      <c r="AX355" s="104" t="n"/>
      <c r="AY355" s="104" t="n"/>
      <c r="AZ355" s="104" t="n"/>
      <c r="BA355" s="104" t="n"/>
      <c r="BB355" s="104" t="n"/>
      <c r="BC355" s="104" t="n"/>
      <c r="BD355" s="104" t="n"/>
      <c r="BE355" s="104" t="n"/>
      <c r="BF355" s="104" t="n"/>
      <c r="BG355" s="104" t="n"/>
      <c r="BH355" s="104" t="n"/>
      <c r="BI355" s="104" t="n"/>
      <c r="BJ355" s="104" t="n"/>
      <c r="BK355" s="104" t="n"/>
      <c r="BL355" s="104" t="n"/>
      <c r="BM355" s="104" t="n"/>
      <c r="BN355" s="104" t="n"/>
      <c r="BO355" s="104" t="n"/>
      <c r="BP355" s="104" t="n"/>
      <c r="BQ355" s="104" t="n"/>
      <c r="BR355" s="104" t="n"/>
      <c r="BS355" s="104" t="n"/>
      <c r="BT355" s="104" t="n"/>
      <c r="BU355" s="104" t="n"/>
      <c r="BV355" s="104" t="n"/>
      <c r="BW355" s="104" t="n"/>
      <c r="BX355" s="104" t="n"/>
    </row>
    <row r="356">
      <c r="AC356" s="104" t="n"/>
      <c r="AD356" s="104" t="n"/>
      <c r="AE356" s="104" t="n"/>
      <c r="AF356" s="104" t="n"/>
      <c r="AG356" s="104" t="n"/>
      <c r="AH356" s="104" t="n"/>
      <c r="AI356" s="104" t="n"/>
      <c r="AJ356" s="104" t="n"/>
      <c r="AK356" s="104" t="n"/>
      <c r="AL356" s="104" t="n"/>
      <c r="AM356" s="104" t="n"/>
      <c r="AN356" s="104" t="n"/>
      <c r="AO356" s="104" t="n"/>
      <c r="AP356" s="104" t="n"/>
      <c r="AQ356" s="104" t="n"/>
      <c r="AR356" s="104" t="n"/>
      <c r="AS356" s="104" t="n"/>
      <c r="AT356" s="104" t="n"/>
      <c r="AU356" s="104" t="n"/>
      <c r="AV356" s="104" t="n"/>
      <c r="AW356" s="104" t="n"/>
      <c r="AX356" s="104" t="n"/>
      <c r="AY356" s="104" t="n"/>
      <c r="AZ356" s="104" t="n"/>
      <c r="BA356" s="104" t="n"/>
      <c r="BB356" s="104" t="n"/>
      <c r="BC356" s="104" t="n"/>
      <c r="BD356" s="104" t="n"/>
      <c r="BE356" s="104" t="n"/>
      <c r="BF356" s="104" t="n"/>
      <c r="BG356" s="104" t="n"/>
      <c r="BH356" s="104" t="n"/>
      <c r="BI356" s="104" t="n"/>
      <c r="BJ356" s="104" t="n"/>
      <c r="BK356" s="104" t="n"/>
      <c r="BL356" s="104" t="n"/>
      <c r="BM356" s="104" t="n"/>
      <c r="BN356" s="104" t="n"/>
      <c r="BO356" s="104" t="n"/>
      <c r="BP356" s="104" t="n"/>
      <c r="BQ356" s="104" t="n"/>
      <c r="BR356" s="104" t="n"/>
      <c r="BS356" s="104" t="n"/>
      <c r="BT356" s="104" t="n"/>
      <c r="BU356" s="104" t="n"/>
      <c r="BV356" s="104" t="n"/>
      <c r="BW356" s="104" t="n"/>
      <c r="BX356" s="104" t="n"/>
    </row>
    <row r="357">
      <c r="AC357" s="104" t="n"/>
      <c r="AD357" s="104" t="n"/>
      <c r="AE357" s="104" t="n"/>
      <c r="AF357" s="104" t="n"/>
      <c r="AG357" s="104" t="n"/>
      <c r="AH357" s="104" t="n"/>
      <c r="AI357" s="104" t="n"/>
      <c r="AJ357" s="104" t="n"/>
      <c r="AK357" s="104" t="n"/>
      <c r="AL357" s="104" t="n"/>
      <c r="AM357" s="104" t="n"/>
      <c r="AN357" s="104" t="n"/>
      <c r="AO357" s="104" t="n"/>
      <c r="AP357" s="104" t="n"/>
      <c r="AQ357" s="104" t="n"/>
      <c r="AR357" s="104" t="n"/>
      <c r="AS357" s="104" t="n"/>
      <c r="AT357" s="104" t="n"/>
      <c r="AU357" s="104" t="n"/>
      <c r="AV357" s="104" t="n"/>
      <c r="AW357" s="104" t="n"/>
      <c r="AX357" s="104" t="n"/>
      <c r="AY357" s="104" t="n"/>
      <c r="AZ357" s="104" t="n"/>
      <c r="BA357" s="104" t="n"/>
      <c r="BB357" s="104" t="n"/>
      <c r="BC357" s="104" t="n"/>
      <c r="BD357" s="104" t="n"/>
      <c r="BE357" s="104" t="n"/>
      <c r="BF357" s="104" t="n"/>
      <c r="BG357" s="104" t="n"/>
      <c r="BH357" s="104" t="n"/>
      <c r="BI357" s="104" t="n"/>
      <c r="BJ357" s="104" t="n"/>
      <c r="BK357" s="104" t="n"/>
      <c r="BL357" s="104" t="n"/>
      <c r="BM357" s="104" t="n"/>
      <c r="BN357" s="104" t="n"/>
      <c r="BO357" s="104" t="n"/>
      <c r="BP357" s="104" t="n"/>
      <c r="BQ357" s="104" t="n"/>
      <c r="BR357" s="104" t="n"/>
      <c r="BS357" s="104" t="n"/>
      <c r="BT357" s="104" t="n"/>
      <c r="BU357" s="104" t="n"/>
      <c r="BV357" s="104" t="n"/>
      <c r="BW357" s="104" t="n"/>
      <c r="BX357" s="104" t="n"/>
    </row>
    <row r="358">
      <c r="AC358" s="104" t="n"/>
      <c r="AD358" s="104" t="n"/>
      <c r="AE358" s="104" t="n"/>
      <c r="AF358" s="104" t="n"/>
      <c r="AG358" s="104" t="n"/>
      <c r="AH358" s="104" t="n"/>
      <c r="AI358" s="104" t="n"/>
      <c r="AJ358" s="104" t="n"/>
      <c r="AK358" s="104" t="n"/>
      <c r="AL358" s="104" t="n"/>
      <c r="AM358" s="104" t="n"/>
      <c r="AN358" s="104" t="n"/>
      <c r="AO358" s="104" t="n"/>
      <c r="AP358" s="104" t="n"/>
      <c r="AQ358" s="104" t="n"/>
      <c r="AR358" s="104" t="n"/>
      <c r="AS358" s="104" t="n"/>
      <c r="AT358" s="104" t="n"/>
      <c r="AU358" s="104" t="n"/>
      <c r="AV358" s="104" t="n"/>
      <c r="AW358" s="104" t="n"/>
      <c r="AX358" s="104" t="n"/>
      <c r="AY358" s="104" t="n"/>
      <c r="AZ358" s="104" t="n"/>
      <c r="BA358" s="104" t="n"/>
      <c r="BB358" s="104" t="n"/>
      <c r="BC358" s="104" t="n"/>
      <c r="BD358" s="104" t="n"/>
      <c r="BE358" s="104" t="n"/>
      <c r="BF358" s="104" t="n"/>
      <c r="BG358" s="104" t="n"/>
      <c r="BH358" s="104" t="n"/>
      <c r="BI358" s="104" t="n"/>
      <c r="BJ358" s="104" t="n"/>
      <c r="BK358" s="104" t="n"/>
      <c r="BL358" s="104" t="n"/>
      <c r="BM358" s="104" t="n"/>
      <c r="BN358" s="104" t="n"/>
      <c r="BO358" s="104" t="n"/>
      <c r="BP358" s="104" t="n"/>
      <c r="BQ358" s="104" t="n"/>
      <c r="BR358" s="104" t="n"/>
      <c r="BS358" s="104" t="n"/>
      <c r="BT358" s="104" t="n"/>
      <c r="BU358" s="104" t="n"/>
      <c r="BV358" s="104" t="n"/>
      <c r="BW358" s="104" t="n"/>
      <c r="BX358" s="104" t="n"/>
    </row>
    <row r="359">
      <c r="AC359" s="104" t="n"/>
      <c r="AD359" s="104" t="n"/>
      <c r="AE359" s="104" t="n"/>
      <c r="AF359" s="104" t="n"/>
      <c r="AG359" s="104" t="n"/>
      <c r="AH359" s="104" t="n"/>
      <c r="AI359" s="104" t="n"/>
      <c r="AJ359" s="104" t="n"/>
      <c r="AK359" s="104" t="n"/>
      <c r="AL359" s="104" t="n"/>
      <c r="AM359" s="104" t="n"/>
      <c r="AN359" s="104" t="n"/>
      <c r="AO359" s="104" t="n"/>
      <c r="AP359" s="104" t="n"/>
      <c r="AQ359" s="104" t="n"/>
      <c r="AR359" s="104" t="n"/>
      <c r="AS359" s="104" t="n"/>
      <c r="AT359" s="104" t="n"/>
      <c r="AU359" s="104" t="n"/>
      <c r="AV359" s="104" t="n"/>
      <c r="AW359" s="104" t="n"/>
      <c r="AX359" s="104" t="n"/>
      <c r="AY359" s="104" t="n"/>
      <c r="AZ359" s="104" t="n"/>
      <c r="BA359" s="104" t="n"/>
      <c r="BB359" s="104" t="n"/>
      <c r="BC359" s="104" t="n"/>
      <c r="BD359" s="104" t="n"/>
      <c r="BE359" s="104" t="n"/>
      <c r="BF359" s="104" t="n"/>
      <c r="BG359" s="104" t="n"/>
      <c r="BH359" s="104" t="n"/>
      <c r="BI359" s="104" t="n"/>
      <c r="BJ359" s="104" t="n"/>
      <c r="BK359" s="104" t="n"/>
      <c r="BL359" s="104" t="n"/>
      <c r="BM359" s="104" t="n"/>
      <c r="BN359" s="104" t="n"/>
      <c r="BO359" s="104" t="n"/>
      <c r="BP359" s="104" t="n"/>
      <c r="BQ359" s="104" t="n"/>
      <c r="BR359" s="104" t="n"/>
      <c r="BS359" s="104" t="n"/>
      <c r="BT359" s="104" t="n"/>
      <c r="BU359" s="104" t="n"/>
      <c r="BV359" s="104" t="n"/>
      <c r="BW359" s="104" t="n"/>
      <c r="BX359" s="104" t="n"/>
    </row>
    <row r="360">
      <c r="AC360" s="104" t="n"/>
      <c r="AD360" s="104" t="n"/>
      <c r="AE360" s="104" t="n"/>
      <c r="AF360" s="104" t="n"/>
      <c r="AG360" s="104" t="n"/>
      <c r="AH360" s="104" t="n"/>
      <c r="AI360" s="104" t="n"/>
      <c r="AJ360" s="104" t="n"/>
      <c r="AK360" s="104" t="n"/>
      <c r="AL360" s="104" t="n"/>
      <c r="AM360" s="104" t="n"/>
      <c r="AN360" s="104" t="n"/>
      <c r="AO360" s="104" t="n"/>
      <c r="AP360" s="104" t="n"/>
      <c r="AQ360" s="104" t="n"/>
      <c r="AR360" s="104" t="n"/>
      <c r="AS360" s="104" t="n"/>
      <c r="AT360" s="104" t="n"/>
      <c r="AU360" s="104" t="n"/>
      <c r="AV360" s="104" t="n"/>
      <c r="AW360" s="104" t="n"/>
      <c r="AX360" s="104" t="n"/>
      <c r="AY360" s="104" t="n"/>
      <c r="AZ360" s="104" t="n"/>
      <c r="BA360" s="104" t="n"/>
      <c r="BB360" s="104" t="n"/>
      <c r="BC360" s="104" t="n"/>
      <c r="BD360" s="104" t="n"/>
      <c r="BE360" s="104" t="n"/>
      <c r="BF360" s="104" t="n"/>
      <c r="BG360" s="104" t="n"/>
      <c r="BH360" s="104" t="n"/>
      <c r="BI360" s="104" t="n"/>
      <c r="BJ360" s="104" t="n"/>
      <c r="BK360" s="104" t="n"/>
      <c r="BL360" s="104" t="n"/>
      <c r="BM360" s="104" t="n"/>
      <c r="BN360" s="104" t="n"/>
      <c r="BO360" s="104" t="n"/>
      <c r="BP360" s="104" t="n"/>
      <c r="BQ360" s="104" t="n"/>
      <c r="BR360" s="104" t="n"/>
      <c r="BS360" s="104" t="n"/>
      <c r="BT360" s="104" t="n"/>
      <c r="BU360" s="104" t="n"/>
      <c r="BV360" s="104" t="n"/>
      <c r="BW360" s="104" t="n"/>
      <c r="BX360" s="104" t="n"/>
    </row>
    <row r="361">
      <c r="AC361" s="104" t="n"/>
      <c r="AD361" s="104" t="n"/>
      <c r="AE361" s="104" t="n"/>
      <c r="AF361" s="104" t="n"/>
      <c r="AG361" s="104" t="n"/>
      <c r="AH361" s="104" t="n"/>
      <c r="AI361" s="104" t="n"/>
      <c r="AJ361" s="104" t="n"/>
      <c r="AK361" s="104" t="n"/>
      <c r="AL361" s="104" t="n"/>
      <c r="AM361" s="104" t="n"/>
      <c r="AN361" s="104" t="n"/>
      <c r="AO361" s="104" t="n"/>
      <c r="AP361" s="104" t="n"/>
      <c r="AQ361" s="104" t="n"/>
      <c r="AR361" s="104" t="n"/>
      <c r="AS361" s="104" t="n"/>
      <c r="AT361" s="104" t="n"/>
      <c r="AU361" s="104" t="n"/>
      <c r="AV361" s="104" t="n"/>
      <c r="AW361" s="104" t="n"/>
      <c r="AX361" s="104" t="n"/>
      <c r="AY361" s="104" t="n"/>
      <c r="AZ361" s="104" t="n"/>
      <c r="BA361" s="104" t="n"/>
      <c r="BB361" s="104" t="n"/>
      <c r="BC361" s="104" t="n"/>
      <c r="BD361" s="104" t="n"/>
      <c r="BE361" s="104" t="n"/>
      <c r="BF361" s="104" t="n"/>
      <c r="BG361" s="104" t="n"/>
      <c r="BH361" s="104" t="n"/>
      <c r="BI361" s="104" t="n"/>
      <c r="BJ361" s="104" t="n"/>
      <c r="BK361" s="104" t="n"/>
      <c r="BL361" s="104" t="n"/>
      <c r="BM361" s="104" t="n"/>
      <c r="BN361" s="104" t="n"/>
      <c r="BO361" s="104" t="n"/>
      <c r="BP361" s="104" t="n"/>
      <c r="BQ361" s="104" t="n"/>
      <c r="BR361" s="104" t="n"/>
      <c r="BS361" s="104" t="n"/>
      <c r="BT361" s="104" t="n"/>
      <c r="BU361" s="104" t="n"/>
      <c r="BV361" s="104" t="n"/>
      <c r="BW361" s="104" t="n"/>
      <c r="BX361" s="104" t="n"/>
    </row>
    <row r="362">
      <c r="AC362" s="104" t="n"/>
      <c r="AD362" s="104" t="n"/>
      <c r="AE362" s="104" t="n"/>
      <c r="AF362" s="104" t="n"/>
      <c r="AG362" s="104" t="n"/>
      <c r="AH362" s="104" t="n"/>
      <c r="AI362" s="104" t="n"/>
      <c r="AJ362" s="104" t="n"/>
      <c r="AK362" s="104" t="n"/>
      <c r="AL362" s="104" t="n"/>
      <c r="AM362" s="104" t="n"/>
      <c r="AN362" s="104" t="n"/>
      <c r="AO362" s="104" t="n"/>
      <c r="AP362" s="104" t="n"/>
      <c r="AQ362" s="104" t="n"/>
      <c r="AR362" s="104" t="n"/>
      <c r="AS362" s="104" t="n"/>
      <c r="AT362" s="104" t="n"/>
      <c r="AU362" s="104" t="n"/>
      <c r="AV362" s="104" t="n"/>
      <c r="AW362" s="104" t="n"/>
      <c r="AX362" s="104" t="n"/>
      <c r="AY362" s="104" t="n"/>
      <c r="AZ362" s="104" t="n"/>
      <c r="BA362" s="104" t="n"/>
      <c r="BB362" s="104" t="n"/>
      <c r="BC362" s="104" t="n"/>
      <c r="BD362" s="104" t="n"/>
      <c r="BE362" s="104" t="n"/>
      <c r="BF362" s="104" t="n"/>
      <c r="BG362" s="104" t="n"/>
      <c r="BH362" s="104" t="n"/>
      <c r="BI362" s="104" t="n"/>
      <c r="BJ362" s="104" t="n"/>
      <c r="BK362" s="104" t="n"/>
      <c r="BL362" s="104" t="n"/>
      <c r="BM362" s="104" t="n"/>
      <c r="BN362" s="104" t="n"/>
      <c r="BO362" s="104" t="n"/>
      <c r="BP362" s="104" t="n"/>
      <c r="BQ362" s="104" t="n"/>
      <c r="BR362" s="104" t="n"/>
      <c r="BS362" s="104" t="n"/>
      <c r="BT362" s="104" t="n"/>
      <c r="BU362" s="104" t="n"/>
      <c r="BV362" s="104" t="n"/>
      <c r="BW362" s="104" t="n"/>
      <c r="BX362" s="104" t="n"/>
    </row>
    <row r="363">
      <c r="AC363" s="104" t="n"/>
      <c r="AD363" s="104" t="n"/>
      <c r="AE363" s="104" t="n"/>
      <c r="AF363" s="104" t="n"/>
      <c r="AG363" s="104" t="n"/>
      <c r="AH363" s="104" t="n"/>
      <c r="AI363" s="104" t="n"/>
      <c r="AJ363" s="104" t="n"/>
      <c r="AK363" s="104" t="n"/>
      <c r="AL363" s="104" t="n"/>
      <c r="AM363" s="104" t="n"/>
      <c r="AN363" s="104" t="n"/>
      <c r="AO363" s="104" t="n"/>
      <c r="AP363" s="104" t="n"/>
      <c r="AQ363" s="104" t="n"/>
      <c r="AR363" s="104" t="n"/>
      <c r="AS363" s="104" t="n"/>
      <c r="AT363" s="104" t="n"/>
      <c r="AU363" s="104" t="n"/>
      <c r="AV363" s="104" t="n"/>
      <c r="AW363" s="104" t="n"/>
      <c r="AX363" s="104" t="n"/>
      <c r="AY363" s="104" t="n"/>
      <c r="AZ363" s="104" t="n"/>
      <c r="BA363" s="104" t="n"/>
      <c r="BB363" s="104" t="n"/>
      <c r="BC363" s="104" t="n"/>
      <c r="BD363" s="104" t="n"/>
      <c r="BE363" s="104" t="n"/>
      <c r="BF363" s="104" t="n"/>
      <c r="BG363" s="104" t="n"/>
      <c r="BH363" s="104" t="n"/>
      <c r="BI363" s="104" t="n"/>
      <c r="BJ363" s="104" t="n"/>
      <c r="BK363" s="104" t="n"/>
      <c r="BL363" s="104" t="n"/>
      <c r="BM363" s="104" t="n"/>
      <c r="BN363" s="104" t="n"/>
      <c r="BO363" s="104" t="n"/>
      <c r="BP363" s="104" t="n"/>
      <c r="BQ363" s="104" t="n"/>
      <c r="BR363" s="104" t="n"/>
      <c r="BS363" s="104" t="n"/>
      <c r="BT363" s="104" t="n"/>
      <c r="BU363" s="104" t="n"/>
      <c r="BV363" s="104" t="n"/>
      <c r="BW363" s="104" t="n"/>
      <c r="BX363" s="104" t="n"/>
    </row>
    <row r="364">
      <c r="AC364" s="104" t="n"/>
      <c r="AD364" s="104" t="n"/>
      <c r="AE364" s="104" t="n"/>
      <c r="AF364" s="104" t="n"/>
      <c r="AG364" s="104" t="n"/>
      <c r="AH364" s="104" t="n"/>
      <c r="AI364" s="104" t="n"/>
      <c r="AJ364" s="104" t="n"/>
      <c r="AK364" s="104" t="n"/>
      <c r="AL364" s="104" t="n"/>
      <c r="AM364" s="104" t="n"/>
      <c r="AN364" s="104" t="n"/>
      <c r="AO364" s="104" t="n"/>
      <c r="AP364" s="104" t="n"/>
      <c r="AQ364" s="104" t="n"/>
      <c r="AR364" s="104" t="n"/>
      <c r="AS364" s="104" t="n"/>
      <c r="AT364" s="104" t="n"/>
      <c r="AU364" s="104" t="n"/>
      <c r="AV364" s="104" t="n"/>
      <c r="AW364" s="104" t="n"/>
      <c r="AX364" s="104" t="n"/>
      <c r="AY364" s="104" t="n"/>
      <c r="AZ364" s="104" t="n"/>
      <c r="BA364" s="104" t="n"/>
      <c r="BB364" s="104" t="n"/>
      <c r="BC364" s="104" t="n"/>
      <c r="BD364" s="104" t="n"/>
      <c r="BE364" s="104" t="n"/>
      <c r="BF364" s="104" t="n"/>
      <c r="BG364" s="104" t="n"/>
      <c r="BH364" s="104" t="n"/>
      <c r="BI364" s="104" t="n"/>
      <c r="BJ364" s="104" t="n"/>
      <c r="BK364" s="104" t="n"/>
      <c r="BL364" s="104" t="n"/>
      <c r="BM364" s="104" t="n"/>
      <c r="BN364" s="104" t="n"/>
      <c r="BO364" s="104" t="n"/>
      <c r="BP364" s="104" t="n"/>
      <c r="BQ364" s="104" t="n"/>
      <c r="BR364" s="104" t="n"/>
      <c r="BS364" s="104" t="n"/>
      <c r="BT364" s="104" t="n"/>
      <c r="BU364" s="104" t="n"/>
      <c r="BV364" s="104" t="n"/>
      <c r="BW364" s="104" t="n"/>
      <c r="BX364" s="104" t="n"/>
    </row>
    <row r="365">
      <c r="AC365" s="104" t="n"/>
      <c r="AD365" s="104" t="n"/>
      <c r="AE365" s="104" t="n"/>
      <c r="AF365" s="104" t="n"/>
      <c r="AG365" s="104" t="n"/>
      <c r="AH365" s="104" t="n"/>
      <c r="AI365" s="104" t="n"/>
      <c r="AJ365" s="104" t="n"/>
      <c r="AK365" s="104" t="n"/>
      <c r="AL365" s="104" t="n"/>
      <c r="AM365" s="104" t="n"/>
      <c r="AN365" s="104" t="n"/>
      <c r="AO365" s="104" t="n"/>
      <c r="AP365" s="104" t="n"/>
      <c r="AQ365" s="104" t="n"/>
      <c r="AR365" s="104" t="n"/>
      <c r="AS365" s="104" t="n"/>
      <c r="AT365" s="104" t="n"/>
      <c r="AU365" s="104" t="n"/>
      <c r="AV365" s="104" t="n"/>
      <c r="AW365" s="104" t="n"/>
      <c r="AX365" s="104" t="n"/>
      <c r="AY365" s="104" t="n"/>
      <c r="AZ365" s="104" t="n"/>
      <c r="BA365" s="104" t="n"/>
      <c r="BB365" s="104" t="n"/>
      <c r="BC365" s="104" t="n"/>
      <c r="BD365" s="104" t="n"/>
      <c r="BE365" s="104" t="n"/>
      <c r="BF365" s="104" t="n"/>
      <c r="BG365" s="104" t="n"/>
      <c r="BH365" s="104" t="n"/>
      <c r="BI365" s="104" t="n"/>
      <c r="BJ365" s="104" t="n"/>
      <c r="BK365" s="104" t="n"/>
      <c r="BL365" s="104" t="n"/>
      <c r="BM365" s="104" t="n"/>
      <c r="BN365" s="104" t="n"/>
      <c r="BO365" s="104" t="n"/>
      <c r="BP365" s="104" t="n"/>
      <c r="BQ365" s="104" t="n"/>
      <c r="BR365" s="104" t="n"/>
      <c r="BS365" s="104" t="n"/>
      <c r="BT365" s="104" t="n"/>
      <c r="BU365" s="104" t="n"/>
      <c r="BV365" s="104" t="n"/>
      <c r="BW365" s="104" t="n"/>
      <c r="BX365" s="104" t="n"/>
    </row>
    <row r="366">
      <c r="AC366" s="104" t="n"/>
      <c r="AD366" s="104" t="n"/>
      <c r="AE366" s="104" t="n"/>
      <c r="AF366" s="104" t="n"/>
      <c r="AG366" s="104" t="n"/>
      <c r="AH366" s="104" t="n"/>
      <c r="AI366" s="104" t="n"/>
      <c r="AJ366" s="104" t="n"/>
      <c r="AK366" s="104" t="n"/>
      <c r="AL366" s="104" t="n"/>
      <c r="AM366" s="104" t="n"/>
      <c r="AN366" s="104" t="n"/>
      <c r="AO366" s="104" t="n"/>
      <c r="AP366" s="104" t="n"/>
      <c r="AQ366" s="104" t="n"/>
      <c r="AR366" s="104" t="n"/>
      <c r="AS366" s="104" t="n"/>
      <c r="AT366" s="104" t="n"/>
      <c r="AU366" s="104" t="n"/>
      <c r="AV366" s="104" t="n"/>
      <c r="AW366" s="104" t="n"/>
      <c r="AX366" s="104" t="n"/>
      <c r="AY366" s="104" t="n"/>
      <c r="AZ366" s="104" t="n"/>
      <c r="BA366" s="104" t="n"/>
      <c r="BB366" s="104" t="n"/>
      <c r="BC366" s="104" t="n"/>
      <c r="BD366" s="104" t="n"/>
      <c r="BE366" s="104" t="n"/>
      <c r="BF366" s="104" t="n"/>
      <c r="BG366" s="104" t="n"/>
      <c r="BH366" s="104" t="n"/>
      <c r="BI366" s="104" t="n"/>
      <c r="BJ366" s="104" t="n"/>
      <c r="BK366" s="104" t="n"/>
      <c r="BL366" s="104" t="n"/>
      <c r="BM366" s="104" t="n"/>
      <c r="BN366" s="104" t="n"/>
      <c r="BO366" s="104" t="n"/>
      <c r="BP366" s="104" t="n"/>
      <c r="BQ366" s="104" t="n"/>
      <c r="BR366" s="104" t="n"/>
      <c r="BS366" s="104" t="n"/>
      <c r="BT366" s="104" t="n"/>
      <c r="BU366" s="104" t="n"/>
      <c r="BV366" s="104" t="n"/>
      <c r="BW366" s="104" t="n"/>
      <c r="BX366" s="104" t="n"/>
    </row>
    <row r="367">
      <c r="AC367" s="104" t="n"/>
      <c r="AD367" s="104" t="n"/>
      <c r="AE367" s="104" t="n"/>
      <c r="AF367" s="104" t="n"/>
      <c r="AG367" s="104" t="n"/>
      <c r="AH367" s="104" t="n"/>
      <c r="AI367" s="104" t="n"/>
      <c r="AJ367" s="104" t="n"/>
      <c r="AK367" s="104" t="n"/>
      <c r="AL367" s="104" t="n"/>
      <c r="AM367" s="104" t="n"/>
      <c r="AN367" s="104" t="n"/>
      <c r="AO367" s="104" t="n"/>
      <c r="AP367" s="104" t="n"/>
      <c r="AQ367" s="104" t="n"/>
      <c r="AR367" s="104" t="n"/>
      <c r="AS367" s="104" t="n"/>
      <c r="AT367" s="104" t="n"/>
      <c r="AU367" s="104" t="n"/>
      <c r="AV367" s="104" t="n"/>
      <c r="AW367" s="104" t="n"/>
      <c r="AX367" s="104" t="n"/>
      <c r="AY367" s="104" t="n"/>
      <c r="AZ367" s="104" t="n"/>
      <c r="BA367" s="104" t="n"/>
      <c r="BB367" s="104" t="n"/>
      <c r="BC367" s="104" t="n"/>
      <c r="BD367" s="104" t="n"/>
      <c r="BE367" s="104" t="n"/>
      <c r="BF367" s="104" t="n"/>
      <c r="BG367" s="104" t="n"/>
      <c r="BH367" s="104" t="n"/>
      <c r="BI367" s="104" t="n"/>
      <c r="BJ367" s="104" t="n"/>
      <c r="BK367" s="104" t="n"/>
      <c r="BL367" s="104" t="n"/>
      <c r="BM367" s="104" t="n"/>
      <c r="BN367" s="104" t="n"/>
      <c r="BO367" s="104" t="n"/>
      <c r="BP367" s="104" t="n"/>
      <c r="BQ367" s="104" t="n"/>
      <c r="BR367" s="104" t="n"/>
      <c r="BS367" s="104" t="n"/>
      <c r="BT367" s="104" t="n"/>
      <c r="BU367" s="104" t="n"/>
      <c r="BV367" s="104" t="n"/>
      <c r="BW367" s="104" t="n"/>
      <c r="BX367" s="104" t="n"/>
    </row>
    <row r="368">
      <c r="AC368" s="104" t="n"/>
      <c r="AD368" s="104" t="n"/>
      <c r="AE368" s="104" t="n"/>
      <c r="AF368" s="104" t="n"/>
      <c r="AG368" s="104" t="n"/>
      <c r="AH368" s="104" t="n"/>
      <c r="AI368" s="104" t="n"/>
      <c r="AJ368" s="104" t="n"/>
      <c r="AK368" s="104" t="n"/>
      <c r="AL368" s="104" t="n"/>
      <c r="AM368" s="104" t="n"/>
      <c r="AN368" s="104" t="n"/>
      <c r="AO368" s="104" t="n"/>
      <c r="AP368" s="104" t="n"/>
      <c r="AQ368" s="104" t="n"/>
      <c r="AR368" s="104" t="n"/>
      <c r="AS368" s="104" t="n"/>
      <c r="AT368" s="104" t="n"/>
      <c r="AU368" s="104" t="n"/>
      <c r="AV368" s="104" t="n"/>
      <c r="AW368" s="104" t="n"/>
      <c r="AX368" s="104" t="n"/>
      <c r="AY368" s="104" t="n"/>
      <c r="AZ368" s="104" t="n"/>
      <c r="BA368" s="104" t="n"/>
      <c r="BB368" s="104" t="n"/>
      <c r="BC368" s="104" t="n"/>
      <c r="BD368" s="104" t="n"/>
      <c r="BE368" s="104" t="n"/>
      <c r="BF368" s="104" t="n"/>
      <c r="BG368" s="104" t="n"/>
      <c r="BH368" s="104" t="n"/>
      <c r="BI368" s="104" t="n"/>
      <c r="BJ368" s="104" t="n"/>
      <c r="BK368" s="104" t="n"/>
      <c r="BL368" s="104" t="n"/>
      <c r="BM368" s="104" t="n"/>
      <c r="BN368" s="104" t="n"/>
      <c r="BO368" s="104" t="n"/>
      <c r="BP368" s="104" t="n"/>
      <c r="BQ368" s="104" t="n"/>
      <c r="BR368" s="104" t="n"/>
      <c r="BS368" s="104" t="n"/>
      <c r="BT368" s="104" t="n"/>
      <c r="BU368" s="104" t="n"/>
      <c r="BV368" s="104" t="n"/>
      <c r="BW368" s="104" t="n"/>
      <c r="BX368" s="104" t="n"/>
    </row>
    <row r="369">
      <c r="AC369" s="104" t="n"/>
      <c r="AD369" s="104" t="n"/>
      <c r="AE369" s="104" t="n"/>
      <c r="AF369" s="104" t="n"/>
      <c r="AG369" s="104" t="n"/>
      <c r="AH369" s="104" t="n"/>
      <c r="AI369" s="104" t="n"/>
      <c r="AJ369" s="104" t="n"/>
      <c r="AK369" s="104" t="n"/>
      <c r="AL369" s="104" t="n"/>
      <c r="AM369" s="104" t="n"/>
      <c r="AN369" s="104" t="n"/>
      <c r="AO369" s="104" t="n"/>
      <c r="AP369" s="104" t="n"/>
      <c r="AQ369" s="104" t="n"/>
      <c r="AR369" s="104" t="n"/>
      <c r="AS369" s="104" t="n"/>
      <c r="AT369" s="104" t="n"/>
      <c r="AU369" s="104" t="n"/>
      <c r="AV369" s="104" t="n"/>
      <c r="AW369" s="104" t="n"/>
      <c r="AX369" s="104" t="n"/>
      <c r="AY369" s="104" t="n"/>
      <c r="AZ369" s="104" t="n"/>
      <c r="BA369" s="104" t="n"/>
      <c r="BB369" s="104" t="n"/>
      <c r="BC369" s="104" t="n"/>
      <c r="BD369" s="104" t="n"/>
      <c r="BE369" s="104" t="n"/>
      <c r="BF369" s="104" t="n"/>
      <c r="BG369" s="104" t="n"/>
      <c r="BH369" s="104" t="n"/>
      <c r="BI369" s="104" t="n"/>
      <c r="BJ369" s="104" t="n"/>
      <c r="BK369" s="104" t="n"/>
      <c r="BL369" s="104" t="n"/>
      <c r="BM369" s="104" t="n"/>
      <c r="BN369" s="104" t="n"/>
      <c r="BO369" s="104" t="n"/>
      <c r="BP369" s="104" t="n"/>
      <c r="BQ369" s="104" t="n"/>
      <c r="BR369" s="104" t="n"/>
      <c r="BS369" s="104" t="n"/>
      <c r="BT369" s="104" t="n"/>
      <c r="BU369" s="104" t="n"/>
      <c r="BV369" s="104" t="n"/>
      <c r="BW369" s="104" t="n"/>
      <c r="BX369" s="104" t="n"/>
    </row>
    <row r="370">
      <c r="AC370" s="104" t="n"/>
      <c r="AD370" s="104" t="n"/>
      <c r="AE370" s="104" t="n"/>
      <c r="AF370" s="104" t="n"/>
      <c r="AG370" s="104" t="n"/>
      <c r="AH370" s="104" t="n"/>
      <c r="AI370" s="104" t="n"/>
      <c r="AJ370" s="104" t="n"/>
      <c r="AK370" s="104" t="n"/>
      <c r="AL370" s="104" t="n"/>
      <c r="AM370" s="104" t="n"/>
      <c r="AN370" s="104" t="n"/>
      <c r="AO370" s="104" t="n"/>
      <c r="AP370" s="104" t="n"/>
      <c r="AQ370" s="104" t="n"/>
      <c r="AR370" s="104" t="n"/>
      <c r="AS370" s="104" t="n"/>
      <c r="AT370" s="104" t="n"/>
      <c r="AU370" s="104" t="n"/>
      <c r="AV370" s="104" t="n"/>
      <c r="AW370" s="104" t="n"/>
      <c r="AX370" s="104" t="n"/>
      <c r="AY370" s="104" t="n"/>
      <c r="AZ370" s="104" t="n"/>
      <c r="BA370" s="104" t="n"/>
      <c r="BB370" s="104" t="n"/>
      <c r="BC370" s="104" t="n"/>
      <c r="BD370" s="104" t="n"/>
      <c r="BE370" s="104" t="n"/>
      <c r="BF370" s="104" t="n"/>
      <c r="BG370" s="104" t="n"/>
      <c r="BH370" s="104" t="n"/>
      <c r="BI370" s="104" t="n"/>
      <c r="BJ370" s="104" t="n"/>
      <c r="BK370" s="104" t="n"/>
      <c r="BL370" s="104" t="n"/>
      <c r="BM370" s="104" t="n"/>
      <c r="BN370" s="104" t="n"/>
      <c r="BO370" s="104" t="n"/>
      <c r="BP370" s="104" t="n"/>
      <c r="BQ370" s="104" t="n"/>
      <c r="BR370" s="104" t="n"/>
      <c r="BS370" s="104" t="n"/>
      <c r="BT370" s="104" t="n"/>
      <c r="BU370" s="104" t="n"/>
      <c r="BV370" s="104" t="n"/>
      <c r="BW370" s="104" t="n"/>
      <c r="BX370" s="104" t="n"/>
    </row>
    <row r="371">
      <c r="AC371" s="104" t="n"/>
      <c r="AD371" s="104" t="n"/>
      <c r="AE371" s="104" t="n"/>
      <c r="AF371" s="104" t="n"/>
      <c r="AG371" s="104" t="n"/>
      <c r="AH371" s="104" t="n"/>
      <c r="AI371" s="104" t="n"/>
      <c r="AJ371" s="104" t="n"/>
      <c r="AK371" s="104" t="n"/>
      <c r="AL371" s="104" t="n"/>
      <c r="AM371" s="104" t="n"/>
      <c r="AN371" s="104" t="n"/>
      <c r="AO371" s="104" t="n"/>
      <c r="AP371" s="104" t="n"/>
      <c r="AQ371" s="104" t="n"/>
      <c r="AR371" s="104" t="n"/>
      <c r="AS371" s="104" t="n"/>
      <c r="AT371" s="104" t="n"/>
      <c r="AU371" s="104" t="n"/>
      <c r="AV371" s="104" t="n"/>
      <c r="AW371" s="104" t="n"/>
      <c r="AX371" s="104" t="n"/>
      <c r="AY371" s="104" t="n"/>
      <c r="AZ371" s="104" t="n"/>
      <c r="BA371" s="104" t="n"/>
      <c r="BB371" s="104" t="n"/>
      <c r="BC371" s="104" t="n"/>
      <c r="BD371" s="104" t="n"/>
      <c r="BE371" s="104" t="n"/>
      <c r="BF371" s="104" t="n"/>
      <c r="BG371" s="104" t="n"/>
      <c r="BH371" s="104" t="n"/>
      <c r="BI371" s="104" t="n"/>
      <c r="BJ371" s="104" t="n"/>
      <c r="BK371" s="104" t="n"/>
      <c r="BL371" s="104" t="n"/>
      <c r="BM371" s="104" t="n"/>
      <c r="BN371" s="104" t="n"/>
      <c r="BO371" s="104" t="n"/>
      <c r="BP371" s="104" t="n"/>
      <c r="BQ371" s="104" t="n"/>
      <c r="BR371" s="104" t="n"/>
      <c r="BS371" s="104" t="n"/>
      <c r="BT371" s="104" t="n"/>
      <c r="BU371" s="104" t="n"/>
      <c r="BV371" s="104" t="n"/>
      <c r="BW371" s="104" t="n"/>
      <c r="BX371" s="104" t="n"/>
    </row>
    <row r="372">
      <c r="AC372" s="104" t="n"/>
      <c r="AD372" s="104" t="n"/>
      <c r="AE372" s="104" t="n"/>
      <c r="AF372" s="104" t="n"/>
      <c r="AG372" s="104" t="n"/>
      <c r="AH372" s="104" t="n"/>
      <c r="AI372" s="104" t="n"/>
      <c r="AJ372" s="104" t="n"/>
      <c r="AK372" s="104" t="n"/>
      <c r="AL372" s="104" t="n"/>
      <c r="AM372" s="104" t="n"/>
      <c r="AN372" s="104" t="n"/>
      <c r="AO372" s="104" t="n"/>
      <c r="AP372" s="104" t="n"/>
      <c r="AQ372" s="104" t="n"/>
      <c r="AR372" s="104" t="n"/>
      <c r="AS372" s="104" t="n"/>
      <c r="AT372" s="104" t="n"/>
      <c r="AU372" s="104" t="n"/>
      <c r="AV372" s="104" t="n"/>
      <c r="AW372" s="104" t="n"/>
      <c r="AX372" s="104" t="n"/>
      <c r="AY372" s="104" t="n"/>
      <c r="AZ372" s="104" t="n"/>
      <c r="BA372" s="104" t="n"/>
      <c r="BB372" s="104" t="n"/>
      <c r="BC372" s="104" t="n"/>
      <c r="BD372" s="104" t="n"/>
      <c r="BE372" s="104" t="n"/>
      <c r="BF372" s="104" t="n"/>
      <c r="BG372" s="104" t="n"/>
      <c r="BH372" s="104" t="n"/>
      <c r="BI372" s="104" t="n"/>
      <c r="BJ372" s="104" t="n"/>
      <c r="BK372" s="104" t="n"/>
      <c r="BL372" s="104" t="n"/>
      <c r="BM372" s="104" t="n"/>
      <c r="BN372" s="104" t="n"/>
      <c r="BO372" s="104" t="n"/>
      <c r="BP372" s="104" t="n"/>
      <c r="BQ372" s="104" t="n"/>
      <c r="BR372" s="104" t="n"/>
      <c r="BS372" s="104" t="n"/>
      <c r="BT372" s="104" t="n"/>
      <c r="BU372" s="104" t="n"/>
      <c r="BV372" s="104" t="n"/>
      <c r="BW372" s="104" t="n"/>
      <c r="BX372" s="104" t="n"/>
    </row>
    <row r="373">
      <c r="AC373" s="104" t="n"/>
      <c r="AD373" s="104" t="n"/>
      <c r="AE373" s="104" t="n"/>
      <c r="AF373" s="104" t="n"/>
      <c r="AG373" s="104" t="n"/>
      <c r="AH373" s="104" t="n"/>
      <c r="AI373" s="104" t="n"/>
      <c r="AJ373" s="104" t="n"/>
      <c r="AK373" s="104" t="n"/>
      <c r="AL373" s="104" t="n"/>
      <c r="AM373" s="104" t="n"/>
      <c r="AN373" s="104" t="n"/>
      <c r="AO373" s="104" t="n"/>
      <c r="AP373" s="104" t="n"/>
      <c r="AQ373" s="104" t="n"/>
      <c r="AR373" s="104" t="n"/>
      <c r="AS373" s="104" t="n"/>
      <c r="AT373" s="104" t="n"/>
      <c r="AU373" s="104" t="n"/>
      <c r="AV373" s="104" t="n"/>
      <c r="AW373" s="104" t="n"/>
      <c r="AX373" s="104" t="n"/>
      <c r="AY373" s="104" t="n"/>
      <c r="AZ373" s="104" t="n"/>
      <c r="BA373" s="104" t="n"/>
      <c r="BB373" s="104" t="n"/>
      <c r="BC373" s="104" t="n"/>
      <c r="BD373" s="104" t="n"/>
      <c r="BE373" s="104" t="n"/>
      <c r="BF373" s="104" t="n"/>
      <c r="BG373" s="104" t="n"/>
      <c r="BH373" s="104" t="n"/>
      <c r="BI373" s="104" t="n"/>
      <c r="BJ373" s="104" t="n"/>
      <c r="BK373" s="104" t="n"/>
      <c r="BL373" s="104" t="n"/>
      <c r="BM373" s="104" t="n"/>
      <c r="BN373" s="104" t="n"/>
      <c r="BO373" s="104" t="n"/>
      <c r="BP373" s="104" t="n"/>
      <c r="BQ373" s="104" t="n"/>
      <c r="BR373" s="104" t="n"/>
      <c r="BS373" s="104" t="n"/>
      <c r="BT373" s="104" t="n"/>
      <c r="BU373" s="104" t="n"/>
      <c r="BV373" s="104" t="n"/>
      <c r="BW373" s="104" t="n"/>
      <c r="BX373" s="104" t="n"/>
    </row>
    <row r="374">
      <c r="AC374" s="104" t="n"/>
      <c r="AD374" s="104" t="n"/>
      <c r="AE374" s="104" t="n"/>
      <c r="AF374" s="104" t="n"/>
      <c r="AG374" s="104" t="n"/>
      <c r="AH374" s="104" t="n"/>
      <c r="AI374" s="104" t="n"/>
      <c r="AJ374" s="104" t="n"/>
      <c r="AK374" s="104" t="n"/>
      <c r="AL374" s="104" t="n"/>
      <c r="AM374" s="104" t="n"/>
      <c r="AN374" s="104" t="n"/>
      <c r="AO374" s="104" t="n"/>
      <c r="AP374" s="104" t="n"/>
      <c r="AQ374" s="104" t="n"/>
      <c r="AR374" s="104" t="n"/>
      <c r="AS374" s="104" t="n"/>
      <c r="AT374" s="104" t="n"/>
      <c r="AU374" s="104" t="n"/>
      <c r="AV374" s="104" t="n"/>
      <c r="AW374" s="104" t="n"/>
      <c r="AX374" s="104" t="n"/>
      <c r="AY374" s="104" t="n"/>
      <c r="AZ374" s="104" t="n"/>
      <c r="BA374" s="104" t="n"/>
      <c r="BB374" s="104" t="n"/>
      <c r="BC374" s="104" t="n"/>
      <c r="BD374" s="104" t="n"/>
      <c r="BE374" s="104" t="n"/>
      <c r="BF374" s="104" t="n"/>
      <c r="BG374" s="104" t="n"/>
      <c r="BH374" s="104" t="n"/>
      <c r="BI374" s="104" t="n"/>
      <c r="BJ374" s="104" t="n"/>
      <c r="BK374" s="104" t="n"/>
      <c r="BL374" s="104" t="n"/>
      <c r="BM374" s="104" t="n"/>
      <c r="BN374" s="104" t="n"/>
      <c r="BO374" s="104" t="n"/>
      <c r="BP374" s="104" t="n"/>
      <c r="BQ374" s="104" t="n"/>
      <c r="BR374" s="104" t="n"/>
      <c r="BS374" s="104" t="n"/>
      <c r="BT374" s="104" t="n"/>
      <c r="BU374" s="104" t="n"/>
      <c r="BV374" s="104" t="n"/>
      <c r="BW374" s="104" t="n"/>
      <c r="BX374" s="104" t="n"/>
    </row>
    <row r="375">
      <c r="AC375" s="104" t="n"/>
      <c r="AD375" s="104" t="n"/>
      <c r="AE375" s="104" t="n"/>
      <c r="AF375" s="104" t="n"/>
      <c r="AG375" s="104" t="n"/>
      <c r="AH375" s="104" t="n"/>
      <c r="AI375" s="104" t="n"/>
      <c r="AJ375" s="104" t="n"/>
      <c r="AK375" s="104" t="n"/>
      <c r="AL375" s="104" t="n"/>
      <c r="AM375" s="104" t="n"/>
      <c r="AN375" s="104" t="n"/>
      <c r="AO375" s="104" t="n"/>
      <c r="AP375" s="104" t="n"/>
      <c r="AQ375" s="104" t="n"/>
      <c r="AR375" s="104" t="n"/>
      <c r="AS375" s="104" t="n"/>
      <c r="AT375" s="104" t="n"/>
      <c r="AU375" s="104" t="n"/>
      <c r="AV375" s="104" t="n"/>
      <c r="AW375" s="104" t="n"/>
      <c r="AX375" s="104" t="n"/>
      <c r="AY375" s="104" t="n"/>
      <c r="AZ375" s="104" t="n"/>
      <c r="BA375" s="104" t="n"/>
      <c r="BB375" s="104" t="n"/>
      <c r="BC375" s="104" t="n"/>
      <c r="BD375" s="104" t="n"/>
      <c r="BE375" s="104" t="n"/>
      <c r="BF375" s="104" t="n"/>
      <c r="BG375" s="104" t="n"/>
      <c r="BH375" s="104" t="n"/>
      <c r="BI375" s="104" t="n"/>
      <c r="BJ375" s="104" t="n"/>
      <c r="BK375" s="104" t="n"/>
      <c r="BL375" s="104" t="n"/>
      <c r="BM375" s="104" t="n"/>
      <c r="BN375" s="104" t="n"/>
      <c r="BO375" s="104" t="n"/>
      <c r="BP375" s="104" t="n"/>
      <c r="BQ375" s="104" t="n"/>
      <c r="BR375" s="104" t="n"/>
      <c r="BS375" s="104" t="n"/>
      <c r="BT375" s="104" t="n"/>
      <c r="BU375" s="104" t="n"/>
      <c r="BV375" s="104" t="n"/>
      <c r="BW375" s="104" t="n"/>
      <c r="BX375" s="104" t="n"/>
    </row>
    <row r="376">
      <c r="AC376" s="104" t="n"/>
      <c r="AD376" s="104" t="n"/>
      <c r="AE376" s="104" t="n"/>
      <c r="AF376" s="104" t="n"/>
      <c r="AG376" s="104" t="n"/>
      <c r="AH376" s="104" t="n"/>
      <c r="AI376" s="104" t="n"/>
      <c r="AJ376" s="104" t="n"/>
      <c r="AK376" s="104" t="n"/>
      <c r="AL376" s="104" t="n"/>
      <c r="AM376" s="104" t="n"/>
      <c r="AN376" s="104" t="n"/>
      <c r="AO376" s="104" t="n"/>
      <c r="AP376" s="104" t="n"/>
      <c r="AQ376" s="104" t="n"/>
      <c r="AR376" s="104" t="n"/>
      <c r="AS376" s="104" t="n"/>
      <c r="AT376" s="104" t="n"/>
      <c r="AU376" s="104" t="n"/>
      <c r="AV376" s="104" t="n"/>
      <c r="AW376" s="104" t="n"/>
      <c r="AX376" s="104" t="n"/>
      <c r="AY376" s="104" t="n"/>
      <c r="AZ376" s="104" t="n"/>
      <c r="BA376" s="104" t="n"/>
      <c r="BB376" s="104" t="n"/>
      <c r="BC376" s="104" t="n"/>
      <c r="BD376" s="104" t="n"/>
      <c r="BE376" s="104" t="n"/>
      <c r="BF376" s="104" t="n"/>
      <c r="BG376" s="104" t="n"/>
      <c r="BH376" s="104" t="n"/>
      <c r="BI376" s="104" t="n"/>
      <c r="BJ376" s="104" t="n"/>
      <c r="BK376" s="104" t="n"/>
      <c r="BL376" s="104" t="n"/>
      <c r="BM376" s="104" t="n"/>
      <c r="BN376" s="104" t="n"/>
      <c r="BO376" s="104" t="n"/>
      <c r="BP376" s="104" t="n"/>
      <c r="BQ376" s="104" t="n"/>
      <c r="BR376" s="104" t="n"/>
      <c r="BS376" s="104" t="n"/>
      <c r="BT376" s="104" t="n"/>
      <c r="BU376" s="104" t="n"/>
      <c r="BV376" s="104" t="n"/>
      <c r="BW376" s="104" t="n"/>
      <c r="BX376" s="104" t="n"/>
    </row>
    <row r="377">
      <c r="AC377" s="104" t="n"/>
      <c r="AD377" s="104" t="n"/>
      <c r="AE377" s="104" t="n"/>
      <c r="AF377" s="104" t="n"/>
      <c r="AG377" s="104" t="n"/>
      <c r="AH377" s="104" t="n"/>
      <c r="AI377" s="104" t="n"/>
      <c r="AJ377" s="104" t="n"/>
      <c r="AK377" s="104" t="n"/>
      <c r="AL377" s="104" t="n"/>
      <c r="AM377" s="104" t="n"/>
      <c r="AN377" s="104" t="n"/>
      <c r="AO377" s="104" t="n"/>
      <c r="AP377" s="104" t="n"/>
      <c r="AQ377" s="104" t="n"/>
      <c r="AR377" s="104" t="n"/>
      <c r="AS377" s="104" t="n"/>
      <c r="AT377" s="104" t="n"/>
      <c r="AU377" s="104" t="n"/>
      <c r="AV377" s="104" t="n"/>
      <c r="AW377" s="104" t="n"/>
      <c r="AX377" s="104" t="n"/>
      <c r="AY377" s="104" t="n"/>
      <c r="AZ377" s="104" t="n"/>
      <c r="BA377" s="104" t="n"/>
      <c r="BB377" s="104" t="n"/>
      <c r="BC377" s="104" t="n"/>
      <c r="BD377" s="104" t="n"/>
      <c r="BE377" s="104" t="n"/>
      <c r="BF377" s="104" t="n"/>
      <c r="BG377" s="104" t="n"/>
      <c r="BH377" s="104" t="n"/>
      <c r="BI377" s="104" t="n"/>
      <c r="BJ377" s="104" t="n"/>
      <c r="BK377" s="104" t="n"/>
      <c r="BL377" s="104" t="n"/>
      <c r="BM377" s="104" t="n"/>
      <c r="BN377" s="104" t="n"/>
      <c r="BO377" s="104" t="n"/>
      <c r="BP377" s="104" t="n"/>
      <c r="BQ377" s="104" t="n"/>
      <c r="BR377" s="104" t="n"/>
      <c r="BS377" s="104" t="n"/>
      <c r="BT377" s="104" t="n"/>
      <c r="BU377" s="104" t="n"/>
      <c r="BV377" s="104" t="n"/>
      <c r="BW377" s="104" t="n"/>
      <c r="BX377" s="104" t="n"/>
    </row>
    <row r="378">
      <c r="AC378" s="104" t="n"/>
      <c r="AD378" s="104" t="n"/>
      <c r="AE378" s="104" t="n"/>
      <c r="AF378" s="104" t="n"/>
      <c r="AG378" s="104" t="n"/>
      <c r="AH378" s="104" t="n"/>
      <c r="AI378" s="104" t="n"/>
      <c r="AJ378" s="104" t="n"/>
      <c r="AK378" s="104" t="n"/>
      <c r="AL378" s="104" t="n"/>
      <c r="AM378" s="104" t="n"/>
      <c r="AN378" s="104" t="n"/>
      <c r="AO378" s="104" t="n"/>
      <c r="AP378" s="104" t="n"/>
      <c r="AQ378" s="104" t="n"/>
      <c r="AR378" s="104" t="n"/>
      <c r="AS378" s="104" t="n"/>
      <c r="AT378" s="104" t="n"/>
      <c r="AU378" s="104" t="n"/>
      <c r="AV378" s="104" t="n"/>
      <c r="AW378" s="104" t="n"/>
      <c r="AX378" s="104" t="n"/>
      <c r="AY378" s="104" t="n"/>
      <c r="AZ378" s="104" t="n"/>
      <c r="BA378" s="104" t="n"/>
      <c r="BB378" s="104" t="n"/>
      <c r="BC378" s="104" t="n"/>
      <c r="BD378" s="104" t="n"/>
      <c r="BE378" s="104" t="n"/>
      <c r="BF378" s="104" t="n"/>
      <c r="BG378" s="104" t="n"/>
      <c r="BH378" s="104" t="n"/>
      <c r="BI378" s="104" t="n"/>
      <c r="BJ378" s="104" t="n"/>
      <c r="BK378" s="104" t="n"/>
      <c r="BL378" s="104" t="n"/>
      <c r="BM378" s="104" t="n"/>
      <c r="BN378" s="104" t="n"/>
      <c r="BO378" s="104" t="n"/>
      <c r="BP378" s="104" t="n"/>
      <c r="BQ378" s="104" t="n"/>
      <c r="BR378" s="104" t="n"/>
      <c r="BS378" s="104" t="n"/>
      <c r="BT378" s="104" t="n"/>
      <c r="BU378" s="104" t="n"/>
      <c r="BV378" s="104" t="n"/>
      <c r="BW378" s="104" t="n"/>
      <c r="BX378" s="104" t="n"/>
    </row>
    <row r="379">
      <c r="AC379" s="104" t="n"/>
      <c r="AD379" s="104" t="n"/>
      <c r="AE379" s="104" t="n"/>
      <c r="AF379" s="104" t="n"/>
      <c r="AG379" s="104" t="n"/>
      <c r="AH379" s="104" t="n"/>
      <c r="AI379" s="104" t="n"/>
      <c r="AJ379" s="104" t="n"/>
      <c r="AK379" s="104" t="n"/>
      <c r="AL379" s="104" t="n"/>
      <c r="AM379" s="104" t="n"/>
      <c r="AN379" s="104" t="n"/>
      <c r="AO379" s="104" t="n"/>
      <c r="AP379" s="104" t="n"/>
      <c r="AQ379" s="104" t="n"/>
      <c r="AR379" s="104" t="n"/>
      <c r="AS379" s="104" t="n"/>
      <c r="AT379" s="104" t="n"/>
      <c r="AU379" s="104" t="n"/>
      <c r="AV379" s="104" t="n"/>
      <c r="AW379" s="104" t="n"/>
      <c r="AX379" s="104" t="n"/>
      <c r="AY379" s="104" t="n"/>
      <c r="AZ379" s="104" t="n"/>
      <c r="BA379" s="104" t="n"/>
      <c r="BB379" s="104" t="n"/>
      <c r="BC379" s="104" t="n"/>
      <c r="BD379" s="104" t="n"/>
      <c r="BE379" s="104" t="n"/>
      <c r="BF379" s="104" t="n"/>
      <c r="BG379" s="104" t="n"/>
      <c r="BH379" s="104" t="n"/>
      <c r="BI379" s="104" t="n"/>
      <c r="BJ379" s="104" t="n"/>
      <c r="BK379" s="104" t="n"/>
      <c r="BL379" s="104" t="n"/>
      <c r="BM379" s="104" t="n"/>
      <c r="BN379" s="104" t="n"/>
      <c r="BO379" s="104" t="n"/>
      <c r="BP379" s="104" t="n"/>
      <c r="BQ379" s="104" t="n"/>
      <c r="BR379" s="104" t="n"/>
      <c r="BS379" s="104" t="n"/>
      <c r="BT379" s="104" t="n"/>
      <c r="BU379" s="104" t="n"/>
      <c r="BV379" s="104" t="n"/>
      <c r="BW379" s="104" t="n"/>
      <c r="BX379" s="104" t="n"/>
    </row>
    <row r="380">
      <c r="AC380" s="104" t="n"/>
      <c r="AD380" s="104" t="n"/>
      <c r="AE380" s="104" t="n"/>
      <c r="AF380" s="104" t="n"/>
      <c r="AG380" s="104" t="n"/>
      <c r="AH380" s="104" t="n"/>
      <c r="AI380" s="104" t="n"/>
      <c r="AJ380" s="104" t="n"/>
      <c r="AK380" s="104" t="n"/>
      <c r="AL380" s="104" t="n"/>
      <c r="AM380" s="104" t="n"/>
      <c r="AN380" s="104" t="n"/>
      <c r="AO380" s="104" t="n"/>
      <c r="AP380" s="104" t="n"/>
      <c r="AQ380" s="104" t="n"/>
      <c r="AR380" s="104" t="n"/>
      <c r="AS380" s="104" t="n"/>
      <c r="AT380" s="104" t="n"/>
      <c r="AU380" s="104" t="n"/>
      <c r="AV380" s="104" t="n"/>
      <c r="AW380" s="104" t="n"/>
      <c r="AX380" s="104" t="n"/>
      <c r="AY380" s="104" t="n"/>
      <c r="AZ380" s="104" t="n"/>
      <c r="BA380" s="104" t="n"/>
      <c r="BB380" s="104" t="n"/>
      <c r="BC380" s="104" t="n"/>
      <c r="BD380" s="104" t="n"/>
      <c r="BE380" s="104" t="n"/>
      <c r="BF380" s="104" t="n"/>
      <c r="BG380" s="104" t="n"/>
      <c r="BH380" s="104" t="n"/>
      <c r="BI380" s="104" t="n"/>
      <c r="BJ380" s="104" t="n"/>
      <c r="BK380" s="104" t="n"/>
      <c r="BL380" s="104" t="n"/>
      <c r="BM380" s="104" t="n"/>
      <c r="BN380" s="104" t="n"/>
      <c r="BO380" s="104" t="n"/>
      <c r="BP380" s="104" t="n"/>
      <c r="BQ380" s="104" t="n"/>
      <c r="BR380" s="104" t="n"/>
      <c r="BS380" s="104" t="n"/>
      <c r="BT380" s="104" t="n"/>
      <c r="BU380" s="104" t="n"/>
      <c r="BV380" s="104" t="n"/>
      <c r="BW380" s="104" t="n"/>
      <c r="BX380" s="104" t="n"/>
    </row>
    <row r="381">
      <c r="AC381" s="104" t="n"/>
      <c r="AD381" s="104" t="n"/>
      <c r="AE381" s="104" t="n"/>
      <c r="AF381" s="104" t="n"/>
      <c r="AG381" s="104" t="n"/>
      <c r="AH381" s="104" t="n"/>
      <c r="AI381" s="104" t="n"/>
      <c r="AJ381" s="104" t="n"/>
      <c r="AK381" s="104" t="n"/>
      <c r="AL381" s="104" t="n"/>
      <c r="AM381" s="104" t="n"/>
      <c r="AN381" s="104" t="n"/>
      <c r="AO381" s="104" t="n"/>
      <c r="AP381" s="104" t="n"/>
      <c r="AQ381" s="104" t="n"/>
      <c r="AR381" s="104" t="n"/>
      <c r="AS381" s="104" t="n"/>
      <c r="AT381" s="104" t="n"/>
      <c r="AU381" s="104" t="n"/>
      <c r="AV381" s="104" t="n"/>
      <c r="AW381" s="104" t="n"/>
      <c r="AX381" s="104" t="n"/>
      <c r="AY381" s="104" t="n"/>
      <c r="AZ381" s="104" t="n"/>
      <c r="BA381" s="104" t="n"/>
      <c r="BB381" s="104" t="n"/>
      <c r="BC381" s="104" t="n"/>
      <c r="BD381" s="104" t="n"/>
      <c r="BE381" s="104" t="n"/>
      <c r="BF381" s="104" t="n"/>
      <c r="BG381" s="104" t="n"/>
      <c r="BH381" s="104" t="n"/>
      <c r="BI381" s="104" t="n"/>
      <c r="BJ381" s="104" t="n"/>
      <c r="BK381" s="104" t="n"/>
      <c r="BL381" s="104" t="n"/>
      <c r="BM381" s="104" t="n"/>
      <c r="BN381" s="104" t="n"/>
      <c r="BO381" s="104" t="n"/>
      <c r="BP381" s="104" t="n"/>
      <c r="BQ381" s="104" t="n"/>
      <c r="BR381" s="104" t="n"/>
      <c r="BS381" s="104" t="n"/>
      <c r="BT381" s="104" t="n"/>
      <c r="BU381" s="104" t="n"/>
      <c r="BV381" s="104" t="n"/>
      <c r="BW381" s="104" t="n"/>
      <c r="BX381" s="104" t="n"/>
    </row>
    <row r="382">
      <c r="AC382" s="104" t="n"/>
      <c r="AD382" s="104" t="n"/>
      <c r="AE382" s="104" t="n"/>
      <c r="AF382" s="104" t="n"/>
      <c r="AG382" s="104" t="n"/>
      <c r="AH382" s="104" t="n"/>
      <c r="AI382" s="104" t="n"/>
      <c r="AJ382" s="104" t="n"/>
      <c r="AK382" s="104" t="n"/>
      <c r="AL382" s="104" t="n"/>
      <c r="AM382" s="104" t="n"/>
      <c r="AN382" s="104" t="n"/>
      <c r="AO382" s="104" t="n"/>
      <c r="AP382" s="104" t="n"/>
      <c r="AQ382" s="104" t="n"/>
      <c r="AR382" s="104" t="n"/>
      <c r="AS382" s="104" t="n"/>
      <c r="AT382" s="104" t="n"/>
      <c r="AU382" s="104" t="n"/>
      <c r="AV382" s="104" t="n"/>
      <c r="AW382" s="104" t="n"/>
      <c r="AX382" s="104" t="n"/>
      <c r="AY382" s="104" t="n"/>
      <c r="AZ382" s="104" t="n"/>
      <c r="BA382" s="104" t="n"/>
      <c r="BB382" s="104" t="n"/>
      <c r="BC382" s="104" t="n"/>
      <c r="BD382" s="104" t="n"/>
      <c r="BE382" s="104" t="n"/>
      <c r="BF382" s="104" t="n"/>
      <c r="BG382" s="104" t="n"/>
      <c r="BH382" s="104" t="n"/>
      <c r="BI382" s="104" t="n"/>
      <c r="BJ382" s="104" t="n"/>
      <c r="BK382" s="104" t="n"/>
      <c r="BL382" s="104" t="n"/>
      <c r="BM382" s="104" t="n"/>
      <c r="BN382" s="104" t="n"/>
      <c r="BO382" s="104" t="n"/>
      <c r="BP382" s="104" t="n"/>
      <c r="BQ382" s="104" t="n"/>
      <c r="BR382" s="104" t="n"/>
      <c r="BS382" s="104" t="n"/>
      <c r="BT382" s="104" t="n"/>
      <c r="BU382" s="104" t="n"/>
      <c r="BV382" s="104" t="n"/>
      <c r="BW382" s="104" t="n"/>
      <c r="BX382" s="104" t="n"/>
    </row>
    <row r="383">
      <c r="AC383" s="104" t="n"/>
      <c r="AD383" s="104" t="n"/>
      <c r="AE383" s="104" t="n"/>
      <c r="AF383" s="104" t="n"/>
      <c r="AG383" s="104" t="n"/>
      <c r="AH383" s="104" t="n"/>
      <c r="AI383" s="104" t="n"/>
      <c r="AJ383" s="104" t="n"/>
      <c r="AK383" s="104" t="n"/>
      <c r="AL383" s="104" t="n"/>
      <c r="AM383" s="104" t="n"/>
      <c r="AN383" s="104" t="n"/>
      <c r="AO383" s="104" t="n"/>
      <c r="AP383" s="104" t="n"/>
      <c r="AQ383" s="104" t="n"/>
      <c r="AR383" s="104" t="n"/>
      <c r="AS383" s="104" t="n"/>
      <c r="AT383" s="104" t="n"/>
      <c r="AU383" s="104" t="n"/>
      <c r="AV383" s="104" t="n"/>
      <c r="AW383" s="104" t="n"/>
      <c r="AX383" s="104" t="n"/>
      <c r="AY383" s="104" t="n"/>
      <c r="AZ383" s="104" t="n"/>
      <c r="BA383" s="104" t="n"/>
      <c r="BB383" s="104" t="n"/>
      <c r="BC383" s="104" t="n"/>
      <c r="BD383" s="104" t="n"/>
      <c r="BE383" s="104" t="n"/>
      <c r="BF383" s="104" t="n"/>
      <c r="BG383" s="104" t="n"/>
      <c r="BH383" s="104" t="n"/>
      <c r="BI383" s="104" t="n"/>
      <c r="BJ383" s="104" t="n"/>
      <c r="BK383" s="104" t="n"/>
      <c r="BL383" s="104" t="n"/>
      <c r="BM383" s="104" t="n"/>
      <c r="BN383" s="104" t="n"/>
      <c r="BO383" s="104" t="n"/>
      <c r="BP383" s="104" t="n"/>
      <c r="BQ383" s="104" t="n"/>
      <c r="BR383" s="104" t="n"/>
      <c r="BS383" s="104" t="n"/>
      <c r="BT383" s="104" t="n"/>
      <c r="BU383" s="104" t="n"/>
      <c r="BV383" s="104" t="n"/>
      <c r="BW383" s="104" t="n"/>
      <c r="BX383" s="104" t="n"/>
    </row>
    <row r="384">
      <c r="AC384" s="104" t="n"/>
      <c r="AD384" s="104" t="n"/>
      <c r="AE384" s="104" t="n"/>
      <c r="AF384" s="104" t="n"/>
      <c r="AG384" s="104" t="n"/>
      <c r="AH384" s="104" t="n"/>
      <c r="AI384" s="104" t="n"/>
      <c r="AJ384" s="104" t="n"/>
      <c r="AK384" s="104" t="n"/>
      <c r="AL384" s="104" t="n"/>
      <c r="AM384" s="104" t="n"/>
      <c r="AN384" s="104" t="n"/>
      <c r="AO384" s="104" t="n"/>
      <c r="AP384" s="104" t="n"/>
      <c r="AQ384" s="104" t="n"/>
      <c r="AR384" s="104" t="n"/>
      <c r="AS384" s="104" t="n"/>
      <c r="AT384" s="104" t="n"/>
      <c r="AU384" s="104" t="n"/>
      <c r="AV384" s="104" t="n"/>
      <c r="AW384" s="104" t="n"/>
      <c r="AX384" s="104" t="n"/>
      <c r="AY384" s="104" t="n"/>
      <c r="AZ384" s="104" t="n"/>
      <c r="BA384" s="104" t="n"/>
      <c r="BB384" s="104" t="n"/>
      <c r="BC384" s="104" t="n"/>
      <c r="BD384" s="104" t="n"/>
      <c r="BE384" s="104" t="n"/>
      <c r="BF384" s="104" t="n"/>
      <c r="BG384" s="104" t="n"/>
      <c r="BH384" s="104" t="n"/>
      <c r="BI384" s="104" t="n"/>
      <c r="BJ384" s="104" t="n"/>
      <c r="BK384" s="104" t="n"/>
      <c r="BL384" s="104" t="n"/>
      <c r="BM384" s="104" t="n"/>
      <c r="BN384" s="104" t="n"/>
      <c r="BO384" s="104" t="n"/>
      <c r="BP384" s="104" t="n"/>
      <c r="BQ384" s="104" t="n"/>
      <c r="BR384" s="104" t="n"/>
      <c r="BS384" s="104" t="n"/>
      <c r="BT384" s="104" t="n"/>
      <c r="BU384" s="104" t="n"/>
      <c r="BV384" s="104" t="n"/>
      <c r="BW384" s="104" t="n"/>
      <c r="BX384" s="104" t="n"/>
    </row>
    <row r="385">
      <c r="AC385" s="104" t="n"/>
      <c r="AD385" s="104" t="n"/>
      <c r="AE385" s="104" t="n"/>
      <c r="AF385" s="104" t="n"/>
      <c r="AG385" s="104" t="n"/>
      <c r="AH385" s="104" t="n"/>
      <c r="AI385" s="104" t="n"/>
      <c r="AJ385" s="104" t="n"/>
      <c r="AK385" s="104" t="n"/>
      <c r="AL385" s="104" t="n"/>
      <c r="AM385" s="104" t="n"/>
      <c r="AN385" s="104" t="n"/>
      <c r="AO385" s="104" t="n"/>
      <c r="AP385" s="104" t="n"/>
      <c r="AQ385" s="104" t="n"/>
      <c r="AR385" s="104" t="n"/>
      <c r="AS385" s="104" t="n"/>
      <c r="AT385" s="104" t="n"/>
      <c r="AU385" s="104" t="n"/>
      <c r="AV385" s="104" t="n"/>
      <c r="AW385" s="104" t="n"/>
      <c r="AX385" s="104" t="n"/>
      <c r="AY385" s="104" t="n"/>
      <c r="AZ385" s="104" t="n"/>
      <c r="BA385" s="104" t="n"/>
      <c r="BB385" s="104" t="n"/>
      <c r="BC385" s="104" t="n"/>
      <c r="BD385" s="104" t="n"/>
      <c r="BE385" s="104" t="n"/>
      <c r="BF385" s="104" t="n"/>
      <c r="BG385" s="104" t="n"/>
      <c r="BH385" s="104" t="n"/>
      <c r="BI385" s="104" t="n"/>
      <c r="BJ385" s="104" t="n"/>
      <c r="BK385" s="104" t="n"/>
      <c r="BL385" s="104" t="n"/>
      <c r="BM385" s="104" t="n"/>
      <c r="BN385" s="104" t="n"/>
      <c r="BO385" s="104" t="n"/>
      <c r="BP385" s="104" t="n"/>
      <c r="BQ385" s="104" t="n"/>
      <c r="BR385" s="104" t="n"/>
      <c r="BS385" s="104" t="n"/>
      <c r="BT385" s="104" t="n"/>
      <c r="BU385" s="104" t="n"/>
      <c r="BV385" s="104" t="n"/>
      <c r="BW385" s="104" t="n"/>
      <c r="BX385" s="104" t="n"/>
    </row>
    <row r="386">
      <c r="AC386" s="104" t="n"/>
      <c r="AD386" s="104" t="n"/>
      <c r="AE386" s="104" t="n"/>
      <c r="AF386" s="104" t="n"/>
      <c r="AG386" s="104" t="n"/>
      <c r="AH386" s="104" t="n"/>
      <c r="AI386" s="104" t="n"/>
      <c r="AJ386" s="104" t="n"/>
      <c r="AK386" s="104" t="n"/>
      <c r="AL386" s="104" t="n"/>
      <c r="AM386" s="104" t="n"/>
      <c r="AN386" s="104" t="n"/>
      <c r="AO386" s="104" t="n"/>
      <c r="AP386" s="104" t="n"/>
      <c r="AQ386" s="104" t="n"/>
      <c r="AR386" s="104" t="n"/>
      <c r="AS386" s="104" t="n"/>
      <c r="AT386" s="104" t="n"/>
      <c r="AU386" s="104" t="n"/>
      <c r="AV386" s="104" t="n"/>
      <c r="AW386" s="104" t="n"/>
      <c r="AX386" s="104" t="n"/>
      <c r="AY386" s="104" t="n"/>
      <c r="AZ386" s="104" t="n"/>
      <c r="BA386" s="104" t="n"/>
      <c r="BB386" s="104" t="n"/>
      <c r="BC386" s="104" t="n"/>
      <c r="BD386" s="104" t="n"/>
      <c r="BE386" s="104" t="n"/>
      <c r="BF386" s="104" t="n"/>
      <c r="BG386" s="104" t="n"/>
      <c r="BH386" s="104" t="n"/>
      <c r="BI386" s="104" t="n"/>
      <c r="BJ386" s="104" t="n"/>
      <c r="BK386" s="104" t="n"/>
      <c r="BL386" s="104" t="n"/>
      <c r="BM386" s="104" t="n"/>
      <c r="BN386" s="104" t="n"/>
      <c r="BO386" s="104" t="n"/>
      <c r="BP386" s="104" t="n"/>
      <c r="BQ386" s="104" t="n"/>
      <c r="BR386" s="104" t="n"/>
      <c r="BS386" s="104" t="n"/>
      <c r="BT386" s="104" t="n"/>
      <c r="BU386" s="104" t="n"/>
      <c r="BV386" s="104" t="n"/>
      <c r="BW386" s="104" t="n"/>
      <c r="BX386" s="104" t="n"/>
    </row>
    <row r="387">
      <c r="AC387" s="104" t="n"/>
      <c r="AD387" s="104" t="n"/>
      <c r="AE387" s="104" t="n"/>
      <c r="AF387" s="104" t="n"/>
      <c r="AG387" s="104" t="n"/>
      <c r="AH387" s="104" t="n"/>
      <c r="AI387" s="104" t="n"/>
      <c r="AJ387" s="104" t="n"/>
      <c r="AK387" s="104" t="n"/>
      <c r="AL387" s="104" t="n"/>
      <c r="AM387" s="104" t="n"/>
      <c r="AN387" s="104" t="n"/>
      <c r="AO387" s="104" t="n"/>
      <c r="AP387" s="104" t="n"/>
      <c r="AQ387" s="104" t="n"/>
      <c r="AR387" s="104" t="n"/>
      <c r="AS387" s="104" t="n"/>
      <c r="AT387" s="104" t="n"/>
      <c r="AU387" s="104" t="n"/>
      <c r="AV387" s="104" t="n"/>
      <c r="AW387" s="104" t="n"/>
      <c r="AX387" s="104" t="n"/>
      <c r="AY387" s="104" t="n"/>
      <c r="AZ387" s="104" t="n"/>
      <c r="BA387" s="104" t="n"/>
      <c r="BB387" s="104" t="n"/>
      <c r="BC387" s="104" t="n"/>
      <c r="BD387" s="104" t="n"/>
      <c r="BE387" s="104" t="n"/>
      <c r="BF387" s="104" t="n"/>
      <c r="BG387" s="104" t="n"/>
      <c r="BH387" s="104" t="n"/>
      <c r="BI387" s="104" t="n"/>
      <c r="BJ387" s="104" t="n"/>
      <c r="BK387" s="104" t="n"/>
      <c r="BL387" s="104" t="n"/>
      <c r="BM387" s="104" t="n"/>
      <c r="BN387" s="104" t="n"/>
      <c r="BO387" s="104" t="n"/>
      <c r="BP387" s="104" t="n"/>
      <c r="BQ387" s="104" t="n"/>
      <c r="BR387" s="104" t="n"/>
      <c r="BS387" s="104" t="n"/>
      <c r="BT387" s="104" t="n"/>
      <c r="BU387" s="104" t="n"/>
      <c r="BV387" s="104" t="n"/>
      <c r="BW387" s="104" t="n"/>
      <c r="BX387" s="104" t="n"/>
    </row>
    <row r="388">
      <c r="AC388" s="104" t="n"/>
      <c r="AD388" s="104" t="n"/>
      <c r="AE388" s="104" t="n"/>
      <c r="AF388" s="104" t="n"/>
      <c r="AG388" s="104" t="n"/>
      <c r="AH388" s="104" t="n"/>
      <c r="AI388" s="104" t="n"/>
      <c r="AJ388" s="104" t="n"/>
      <c r="AK388" s="104" t="n"/>
      <c r="AL388" s="104" t="n"/>
      <c r="AM388" s="104" t="n"/>
      <c r="AN388" s="104" t="n"/>
      <c r="AO388" s="104" t="n"/>
      <c r="AP388" s="104" t="n"/>
      <c r="AQ388" s="104" t="n"/>
      <c r="AR388" s="104" t="n"/>
      <c r="AS388" s="104" t="n"/>
      <c r="AT388" s="104" t="n"/>
      <c r="AU388" s="104" t="n"/>
      <c r="AV388" s="104" t="n"/>
      <c r="AW388" s="104" t="n"/>
      <c r="AX388" s="104" t="n"/>
      <c r="AY388" s="104" t="n"/>
      <c r="AZ388" s="104" t="n"/>
      <c r="BA388" s="104" t="n"/>
      <c r="BB388" s="104" t="n"/>
      <c r="BC388" s="104" t="n"/>
      <c r="BD388" s="104" t="n"/>
      <c r="BE388" s="104" t="n"/>
      <c r="BF388" s="104" t="n"/>
      <c r="BG388" s="104" t="n"/>
      <c r="BH388" s="104" t="n"/>
      <c r="BI388" s="104" t="n"/>
      <c r="BJ388" s="104" t="n"/>
      <c r="BK388" s="104" t="n"/>
      <c r="BL388" s="104" t="n"/>
      <c r="BM388" s="104" t="n"/>
      <c r="BN388" s="104" t="n"/>
      <c r="BO388" s="104" t="n"/>
      <c r="BP388" s="104" t="n"/>
      <c r="BQ388" s="104" t="n"/>
      <c r="BR388" s="104" t="n"/>
      <c r="BS388" s="104" t="n"/>
      <c r="BT388" s="104" t="n"/>
      <c r="BU388" s="104" t="n"/>
      <c r="BV388" s="104" t="n"/>
      <c r="BW388" s="104" t="n"/>
      <c r="BX388" s="104" t="n"/>
    </row>
    <row r="389">
      <c r="AC389" s="104" t="n"/>
      <c r="AD389" s="104" t="n"/>
      <c r="AE389" s="104" t="n"/>
      <c r="AF389" s="104" t="n"/>
      <c r="AG389" s="104" t="n"/>
      <c r="AH389" s="104" t="n"/>
      <c r="AI389" s="104" t="n"/>
      <c r="AJ389" s="104" t="n"/>
      <c r="AK389" s="104" t="n"/>
      <c r="AL389" s="104" t="n"/>
      <c r="AM389" s="104" t="n"/>
      <c r="AN389" s="104" t="n"/>
      <c r="AO389" s="104" t="n"/>
      <c r="AP389" s="104" t="n"/>
      <c r="AQ389" s="104" t="n"/>
      <c r="AR389" s="104" t="n"/>
      <c r="AS389" s="104" t="n"/>
      <c r="AT389" s="104" t="n"/>
      <c r="AU389" s="104" t="n"/>
      <c r="AV389" s="104" t="n"/>
      <c r="AW389" s="104" t="n"/>
      <c r="AX389" s="104" t="n"/>
      <c r="AY389" s="104" t="n"/>
      <c r="AZ389" s="104" t="n"/>
      <c r="BA389" s="104" t="n"/>
      <c r="BB389" s="104" t="n"/>
      <c r="BC389" s="104" t="n"/>
      <c r="BD389" s="104" t="n"/>
      <c r="BE389" s="104" t="n"/>
      <c r="BF389" s="104" t="n"/>
      <c r="BG389" s="104" t="n"/>
      <c r="BH389" s="104" t="n"/>
      <c r="BI389" s="104" t="n"/>
      <c r="BJ389" s="104" t="n"/>
      <c r="BK389" s="104" t="n"/>
      <c r="BL389" s="104" t="n"/>
      <c r="BM389" s="104" t="n"/>
      <c r="BN389" s="104" t="n"/>
      <c r="BO389" s="104" t="n"/>
      <c r="BP389" s="104" t="n"/>
      <c r="BQ389" s="104" t="n"/>
      <c r="BR389" s="104" t="n"/>
      <c r="BS389" s="104" t="n"/>
      <c r="BT389" s="104" t="n"/>
      <c r="BU389" s="104" t="n"/>
      <c r="BV389" s="104" t="n"/>
      <c r="BW389" s="104" t="n"/>
      <c r="BX389" s="104" t="n"/>
    </row>
    <row r="390">
      <c r="AC390" s="104" t="n"/>
      <c r="AD390" s="104" t="n"/>
      <c r="AE390" s="104" t="n"/>
      <c r="AF390" s="104" t="n"/>
      <c r="AG390" s="104" t="n"/>
      <c r="AH390" s="104" t="n"/>
      <c r="AI390" s="104" t="n"/>
      <c r="AJ390" s="104" t="n"/>
      <c r="AK390" s="104" t="n"/>
      <c r="AL390" s="104" t="n"/>
      <c r="AM390" s="104" t="n"/>
      <c r="AN390" s="104" t="n"/>
      <c r="AO390" s="104" t="n"/>
      <c r="AP390" s="104" t="n"/>
      <c r="AQ390" s="104" t="n"/>
      <c r="AR390" s="104" t="n"/>
      <c r="AS390" s="104" t="n"/>
      <c r="AT390" s="104" t="n"/>
      <c r="AU390" s="104" t="n"/>
      <c r="AV390" s="104" t="n"/>
      <c r="AW390" s="104" t="n"/>
      <c r="AX390" s="104" t="n"/>
      <c r="AY390" s="104" t="n"/>
      <c r="AZ390" s="104" t="n"/>
      <c r="BA390" s="104" t="n"/>
      <c r="BB390" s="104" t="n"/>
      <c r="BC390" s="104" t="n"/>
      <c r="BD390" s="104" t="n"/>
      <c r="BE390" s="104" t="n"/>
      <c r="BF390" s="104" t="n"/>
      <c r="BG390" s="104" t="n"/>
      <c r="BH390" s="104" t="n"/>
      <c r="BI390" s="104" t="n"/>
      <c r="BJ390" s="104" t="n"/>
      <c r="BK390" s="104" t="n"/>
      <c r="BL390" s="104" t="n"/>
      <c r="BM390" s="104" t="n"/>
      <c r="BN390" s="104" t="n"/>
      <c r="BO390" s="104" t="n"/>
      <c r="BP390" s="104" t="n"/>
      <c r="BQ390" s="104" t="n"/>
      <c r="BR390" s="104" t="n"/>
      <c r="BS390" s="104" t="n"/>
      <c r="BT390" s="104" t="n"/>
      <c r="BU390" s="104" t="n"/>
      <c r="BV390" s="104" t="n"/>
      <c r="BW390" s="104" t="n"/>
      <c r="BX390" s="104" t="n"/>
    </row>
    <row r="391">
      <c r="AC391" s="104" t="n"/>
      <c r="AD391" s="104" t="n"/>
      <c r="AE391" s="104" t="n"/>
      <c r="AF391" s="104" t="n"/>
      <c r="AG391" s="104" t="n"/>
      <c r="AH391" s="104" t="n"/>
      <c r="AI391" s="104" t="n"/>
      <c r="AJ391" s="104" t="n"/>
      <c r="AK391" s="104" t="n"/>
      <c r="AL391" s="104" t="n"/>
      <c r="AM391" s="104" t="n"/>
      <c r="AN391" s="104" t="n"/>
      <c r="AO391" s="104" t="n"/>
      <c r="AP391" s="104" t="n"/>
      <c r="AQ391" s="104" t="n"/>
      <c r="AR391" s="104" t="n"/>
      <c r="AS391" s="104" t="n"/>
      <c r="AT391" s="104" t="n"/>
      <c r="AU391" s="104" t="n"/>
      <c r="AV391" s="104" t="n"/>
      <c r="AW391" s="104" t="n"/>
      <c r="AX391" s="104" t="n"/>
      <c r="AY391" s="104" t="n"/>
      <c r="AZ391" s="104" t="n"/>
      <c r="BA391" s="104" t="n"/>
      <c r="BB391" s="104" t="n"/>
      <c r="BC391" s="104" t="n"/>
      <c r="BD391" s="104" t="n"/>
      <c r="BE391" s="104" t="n"/>
      <c r="BF391" s="104" t="n"/>
      <c r="BG391" s="104" t="n"/>
      <c r="BH391" s="104" t="n"/>
      <c r="BI391" s="104" t="n"/>
      <c r="BJ391" s="104" t="n"/>
      <c r="BK391" s="104" t="n"/>
      <c r="BL391" s="104" t="n"/>
      <c r="BM391" s="104" t="n"/>
      <c r="BN391" s="104" t="n"/>
      <c r="BO391" s="104" t="n"/>
      <c r="BP391" s="104" t="n"/>
      <c r="BQ391" s="104" t="n"/>
      <c r="BR391" s="104" t="n"/>
      <c r="BS391" s="104" t="n"/>
      <c r="BT391" s="104" t="n"/>
      <c r="BU391" s="104" t="n"/>
      <c r="BV391" s="104" t="n"/>
      <c r="BW391" s="104" t="n"/>
      <c r="BX391" s="104" t="n"/>
    </row>
    <row r="392">
      <c r="AC392" s="104" t="n"/>
      <c r="AD392" s="104" t="n"/>
      <c r="AE392" s="104" t="n"/>
      <c r="AF392" s="104" t="n"/>
      <c r="AG392" s="104" t="n"/>
      <c r="AH392" s="104" t="n"/>
      <c r="AI392" s="104" t="n"/>
      <c r="AJ392" s="104" t="n"/>
      <c r="AK392" s="104" t="n"/>
      <c r="AL392" s="104" t="n"/>
      <c r="AM392" s="104" t="n"/>
      <c r="AN392" s="104" t="n"/>
      <c r="AO392" s="104" t="n"/>
      <c r="AP392" s="104" t="n"/>
      <c r="AQ392" s="104" t="n"/>
      <c r="AR392" s="104" t="n"/>
      <c r="AS392" s="104" t="n"/>
      <c r="AT392" s="104" t="n"/>
      <c r="AU392" s="104" t="n"/>
      <c r="AV392" s="104" t="n"/>
      <c r="AW392" s="104" t="n"/>
      <c r="AX392" s="104" t="n"/>
      <c r="AY392" s="104" t="n"/>
      <c r="AZ392" s="104" t="n"/>
      <c r="BA392" s="104" t="n"/>
      <c r="BB392" s="104" t="n"/>
      <c r="BC392" s="104" t="n"/>
      <c r="BD392" s="104" t="n"/>
      <c r="BE392" s="104" t="n"/>
      <c r="BF392" s="104" t="n"/>
      <c r="BG392" s="104" t="n"/>
      <c r="BH392" s="104" t="n"/>
      <c r="BI392" s="104" t="n"/>
      <c r="BJ392" s="104" t="n"/>
      <c r="BK392" s="104" t="n"/>
      <c r="BL392" s="104" t="n"/>
      <c r="BM392" s="104" t="n"/>
      <c r="BN392" s="104" t="n"/>
      <c r="BO392" s="104" t="n"/>
      <c r="BP392" s="104" t="n"/>
      <c r="BQ392" s="104" t="n"/>
      <c r="BR392" s="104" t="n"/>
      <c r="BS392" s="104" t="n"/>
      <c r="BT392" s="104" t="n"/>
      <c r="BU392" s="104" t="n"/>
      <c r="BV392" s="104" t="n"/>
      <c r="BW392" s="104" t="n"/>
      <c r="BX392" s="104" t="n"/>
    </row>
    <row r="393">
      <c r="AC393" s="104" t="n"/>
      <c r="AD393" s="104" t="n"/>
      <c r="AE393" s="104" t="n"/>
      <c r="AF393" s="104" t="n"/>
      <c r="AG393" s="104" t="n"/>
      <c r="AH393" s="104" t="n"/>
      <c r="AI393" s="104" t="n"/>
      <c r="AJ393" s="104" t="n"/>
      <c r="AK393" s="104" t="n"/>
      <c r="AL393" s="104" t="n"/>
      <c r="AM393" s="104" t="n"/>
      <c r="AN393" s="104" t="n"/>
      <c r="AO393" s="104" t="n"/>
      <c r="AP393" s="104" t="n"/>
      <c r="AQ393" s="104" t="n"/>
      <c r="AR393" s="104" t="n"/>
      <c r="AS393" s="104" t="n"/>
      <c r="AT393" s="104" t="n"/>
      <c r="AU393" s="104" t="n"/>
      <c r="AV393" s="104" t="n"/>
      <c r="AW393" s="104" t="n"/>
      <c r="AX393" s="104" t="n"/>
      <c r="AY393" s="104" t="n"/>
      <c r="AZ393" s="104" t="n"/>
      <c r="BA393" s="104" t="n"/>
      <c r="BB393" s="104" t="n"/>
      <c r="BC393" s="104" t="n"/>
      <c r="BD393" s="104" t="n"/>
      <c r="BE393" s="104" t="n"/>
      <c r="BF393" s="104" t="n"/>
      <c r="BG393" s="104" t="n"/>
      <c r="BH393" s="104" t="n"/>
      <c r="BI393" s="104" t="n"/>
      <c r="BJ393" s="104" t="n"/>
      <c r="BK393" s="104" t="n"/>
      <c r="BL393" s="104" t="n"/>
      <c r="BM393" s="104" t="n"/>
      <c r="BN393" s="104" t="n"/>
      <c r="BO393" s="104" t="n"/>
      <c r="BP393" s="104" t="n"/>
      <c r="BQ393" s="104" t="n"/>
      <c r="BR393" s="104" t="n"/>
      <c r="BS393" s="104" t="n"/>
      <c r="BT393" s="104" t="n"/>
      <c r="BU393" s="104" t="n"/>
      <c r="BV393" s="104" t="n"/>
      <c r="BW393" s="104" t="n"/>
      <c r="BX393" s="104" t="n"/>
    </row>
    <row r="394">
      <c r="AC394" s="104" t="n"/>
      <c r="AD394" s="104" t="n"/>
      <c r="AE394" s="104" t="n"/>
      <c r="AF394" s="104" t="n"/>
      <c r="AG394" s="104" t="n"/>
      <c r="AH394" s="104" t="n"/>
      <c r="AI394" s="104" t="n"/>
      <c r="AJ394" s="104" t="n"/>
      <c r="AK394" s="104" t="n"/>
      <c r="AL394" s="104" t="n"/>
      <c r="AM394" s="104" t="n"/>
      <c r="AN394" s="104" t="n"/>
      <c r="AO394" s="104" t="n"/>
      <c r="AP394" s="104" t="n"/>
      <c r="AQ394" s="104" t="n"/>
      <c r="AR394" s="104" t="n"/>
      <c r="AS394" s="104" t="n"/>
      <c r="AT394" s="104" t="n"/>
      <c r="AU394" s="104" t="n"/>
      <c r="AV394" s="104" t="n"/>
      <c r="AW394" s="104" t="n"/>
      <c r="AX394" s="104" t="n"/>
      <c r="AY394" s="104" t="n"/>
      <c r="AZ394" s="104" t="n"/>
      <c r="BA394" s="104" t="n"/>
      <c r="BB394" s="104" t="n"/>
      <c r="BC394" s="104" t="n"/>
      <c r="BD394" s="104" t="n"/>
      <c r="BE394" s="104" t="n"/>
      <c r="BF394" s="104" t="n"/>
      <c r="BG394" s="104" t="n"/>
      <c r="BH394" s="104" t="n"/>
      <c r="BI394" s="104" t="n"/>
      <c r="BJ394" s="104" t="n"/>
      <c r="BK394" s="104" t="n"/>
      <c r="BL394" s="104" t="n"/>
      <c r="BM394" s="104" t="n"/>
      <c r="BN394" s="104" t="n"/>
      <c r="BO394" s="104" t="n"/>
      <c r="BP394" s="104" t="n"/>
      <c r="BQ394" s="104" t="n"/>
      <c r="BR394" s="104" t="n"/>
      <c r="BS394" s="104" t="n"/>
      <c r="BT394" s="104" t="n"/>
      <c r="BU394" s="104" t="n"/>
      <c r="BV394" s="104" t="n"/>
      <c r="BW394" s="104" t="n"/>
      <c r="BX394" s="104" t="n"/>
    </row>
    <row r="395">
      <c r="AC395" s="104" t="n"/>
      <c r="AD395" s="104" t="n"/>
      <c r="AE395" s="104" t="n"/>
      <c r="AF395" s="104" t="n"/>
      <c r="AG395" s="104" t="n"/>
      <c r="AH395" s="104" t="n"/>
      <c r="AI395" s="104" t="n"/>
      <c r="AJ395" s="104" t="n"/>
      <c r="AK395" s="104" t="n"/>
      <c r="AL395" s="104" t="n"/>
      <c r="AM395" s="104" t="n"/>
      <c r="AN395" s="104" t="n"/>
      <c r="AO395" s="104" t="n"/>
      <c r="AP395" s="104" t="n"/>
      <c r="AQ395" s="104" t="n"/>
      <c r="AR395" s="104" t="n"/>
      <c r="AS395" s="104" t="n"/>
      <c r="AT395" s="104" t="n"/>
      <c r="AU395" s="104" t="n"/>
      <c r="AV395" s="104" t="n"/>
      <c r="AW395" s="104" t="n"/>
      <c r="AX395" s="104" t="n"/>
      <c r="AY395" s="104" t="n"/>
      <c r="AZ395" s="104" t="n"/>
      <c r="BA395" s="104" t="n"/>
      <c r="BB395" s="104" t="n"/>
      <c r="BC395" s="104" t="n"/>
      <c r="BD395" s="104" t="n"/>
      <c r="BE395" s="104" t="n"/>
      <c r="BF395" s="104" t="n"/>
      <c r="BG395" s="104" t="n"/>
      <c r="BH395" s="104" t="n"/>
      <c r="BI395" s="104" t="n"/>
      <c r="BJ395" s="104" t="n"/>
      <c r="BK395" s="104" t="n"/>
      <c r="BL395" s="104" t="n"/>
      <c r="BM395" s="104" t="n"/>
      <c r="BN395" s="104" t="n"/>
      <c r="BO395" s="104" t="n"/>
      <c r="BP395" s="104" t="n"/>
      <c r="BQ395" s="104" t="n"/>
      <c r="BR395" s="104" t="n"/>
      <c r="BS395" s="104" t="n"/>
      <c r="BT395" s="104" t="n"/>
      <c r="BU395" s="104" t="n"/>
      <c r="BV395" s="104" t="n"/>
      <c r="BW395" s="104" t="n"/>
      <c r="BX395" s="104" t="n"/>
    </row>
    <row r="396">
      <c r="AC396" s="104" t="n"/>
      <c r="AD396" s="104" t="n"/>
      <c r="AE396" s="104" t="n"/>
      <c r="AF396" s="104" t="n"/>
      <c r="AG396" s="104" t="n"/>
      <c r="AH396" s="104" t="n"/>
      <c r="AI396" s="104" t="n"/>
      <c r="AJ396" s="104" t="n"/>
      <c r="AK396" s="104" t="n"/>
      <c r="AL396" s="104" t="n"/>
      <c r="AM396" s="104" t="n"/>
      <c r="AN396" s="104" t="n"/>
      <c r="AO396" s="104" t="n"/>
      <c r="AP396" s="104" t="n"/>
      <c r="AQ396" s="104" t="n"/>
      <c r="AR396" s="104" t="n"/>
      <c r="AS396" s="104" t="n"/>
      <c r="AT396" s="104" t="n"/>
      <c r="AU396" s="104" t="n"/>
      <c r="AV396" s="104" t="n"/>
      <c r="AW396" s="104" t="n"/>
      <c r="AX396" s="104" t="n"/>
      <c r="AY396" s="104" t="n"/>
      <c r="AZ396" s="104" t="n"/>
      <c r="BA396" s="104" t="n"/>
      <c r="BB396" s="104" t="n"/>
      <c r="BC396" s="104" t="n"/>
      <c r="BD396" s="104" t="n"/>
      <c r="BE396" s="104" t="n"/>
      <c r="BF396" s="104" t="n"/>
      <c r="BG396" s="104" t="n"/>
      <c r="BH396" s="104" t="n"/>
      <c r="BI396" s="104" t="n"/>
      <c r="BJ396" s="104" t="n"/>
      <c r="BK396" s="104" t="n"/>
      <c r="BL396" s="104" t="n"/>
      <c r="BM396" s="104" t="n"/>
      <c r="BN396" s="104" t="n"/>
      <c r="BO396" s="104" t="n"/>
      <c r="BP396" s="104" t="n"/>
      <c r="BQ396" s="104" t="n"/>
      <c r="BR396" s="104" t="n"/>
      <c r="BS396" s="104" t="n"/>
      <c r="BT396" s="104" t="n"/>
      <c r="BU396" s="104" t="n"/>
      <c r="BV396" s="104" t="n"/>
      <c r="BW396" s="104" t="n"/>
      <c r="BX396" s="104" t="n"/>
    </row>
    <row r="397">
      <c r="AC397" s="104" t="n"/>
      <c r="AD397" s="104" t="n"/>
      <c r="AE397" s="104" t="n"/>
      <c r="AF397" s="104" t="n"/>
      <c r="AG397" s="104" t="n"/>
      <c r="AH397" s="104" t="n"/>
      <c r="AI397" s="104" t="n"/>
      <c r="AJ397" s="104" t="n"/>
      <c r="AK397" s="104" t="n"/>
      <c r="AL397" s="104" t="n"/>
      <c r="AM397" s="104" t="n"/>
      <c r="AN397" s="104" t="n"/>
      <c r="AO397" s="104" t="n"/>
      <c r="AP397" s="104" t="n"/>
      <c r="AQ397" s="104" t="n"/>
      <c r="AR397" s="104" t="n"/>
      <c r="AS397" s="104" t="n"/>
      <c r="AT397" s="104" t="n"/>
      <c r="AU397" s="104" t="n"/>
      <c r="AV397" s="104" t="n"/>
      <c r="AW397" s="104" t="n"/>
      <c r="AX397" s="104" t="n"/>
      <c r="AY397" s="104" t="n"/>
      <c r="AZ397" s="104" t="n"/>
      <c r="BA397" s="104" t="n"/>
      <c r="BB397" s="104" t="n"/>
      <c r="BC397" s="104" t="n"/>
      <c r="BD397" s="104" t="n"/>
      <c r="BE397" s="104" t="n"/>
      <c r="BF397" s="104" t="n"/>
      <c r="BG397" s="104" t="n"/>
      <c r="BH397" s="104" t="n"/>
      <c r="BI397" s="104" t="n"/>
      <c r="BJ397" s="104" t="n"/>
      <c r="BK397" s="104" t="n"/>
      <c r="BL397" s="104" t="n"/>
      <c r="BM397" s="104" t="n"/>
      <c r="BN397" s="104" t="n"/>
      <c r="BO397" s="104" t="n"/>
      <c r="BP397" s="104" t="n"/>
      <c r="BQ397" s="104" t="n"/>
      <c r="BR397" s="104" t="n"/>
      <c r="BS397" s="104" t="n"/>
      <c r="BT397" s="104" t="n"/>
      <c r="BU397" s="104" t="n"/>
      <c r="BV397" s="104" t="n"/>
      <c r="BW397" s="104" t="n"/>
      <c r="BX397" s="104" t="n"/>
    </row>
    <row r="398">
      <c r="AC398" s="104" t="n"/>
      <c r="AD398" s="104" t="n"/>
      <c r="AE398" s="104" t="n"/>
      <c r="AF398" s="104" t="n"/>
      <c r="AG398" s="104" t="n"/>
      <c r="AH398" s="104" t="n"/>
      <c r="AI398" s="104" t="n"/>
      <c r="AJ398" s="104" t="n"/>
      <c r="AK398" s="104" t="n"/>
      <c r="AL398" s="104" t="n"/>
      <c r="AM398" s="104" t="n"/>
      <c r="AN398" s="104" t="n"/>
      <c r="AO398" s="104" t="n"/>
      <c r="AP398" s="104" t="n"/>
      <c r="AQ398" s="104" t="n"/>
      <c r="AR398" s="104" t="n"/>
      <c r="AS398" s="104" t="n"/>
      <c r="AT398" s="104" t="n"/>
      <c r="AU398" s="104" t="n"/>
      <c r="AV398" s="104" t="n"/>
      <c r="AW398" s="104" t="n"/>
      <c r="AX398" s="104" t="n"/>
      <c r="AY398" s="104" t="n"/>
      <c r="AZ398" s="104" t="n"/>
      <c r="BA398" s="104" t="n"/>
      <c r="BB398" s="104" t="n"/>
      <c r="BC398" s="104" t="n"/>
      <c r="BD398" s="104" t="n"/>
      <c r="BE398" s="104" t="n"/>
      <c r="BF398" s="104" t="n"/>
      <c r="BG398" s="104" t="n"/>
      <c r="BH398" s="104" t="n"/>
      <c r="BI398" s="104" t="n"/>
      <c r="BJ398" s="104" t="n"/>
      <c r="BK398" s="104" t="n"/>
      <c r="BL398" s="104" t="n"/>
      <c r="BM398" s="104" t="n"/>
      <c r="BN398" s="104" t="n"/>
      <c r="BO398" s="104" t="n"/>
      <c r="BP398" s="104" t="n"/>
      <c r="BQ398" s="104" t="n"/>
      <c r="BR398" s="104" t="n"/>
      <c r="BS398" s="104" t="n"/>
      <c r="BT398" s="104" t="n"/>
      <c r="BU398" s="104" t="n"/>
      <c r="BV398" s="104" t="n"/>
      <c r="BW398" s="104" t="n"/>
      <c r="BX398" s="104" t="n"/>
    </row>
    <row r="399">
      <c r="AC399" s="104" t="n"/>
      <c r="AD399" s="104" t="n"/>
      <c r="AE399" s="104" t="n"/>
      <c r="AF399" s="104" t="n"/>
      <c r="AG399" s="104" t="n"/>
      <c r="AH399" s="104" t="n"/>
      <c r="AI399" s="104" t="n"/>
      <c r="AJ399" s="104" t="n"/>
      <c r="AK399" s="104" t="n"/>
      <c r="AL399" s="104" t="n"/>
      <c r="AM399" s="104" t="n"/>
      <c r="AN399" s="104" t="n"/>
      <c r="AO399" s="104" t="n"/>
      <c r="AP399" s="104" t="n"/>
      <c r="AQ399" s="104" t="n"/>
      <c r="AR399" s="104" t="n"/>
      <c r="AS399" s="104" t="n"/>
      <c r="AT399" s="104" t="n"/>
      <c r="AU399" s="104" t="n"/>
      <c r="AV399" s="104" t="n"/>
      <c r="AW399" s="104" t="n"/>
      <c r="AX399" s="104" t="n"/>
      <c r="AY399" s="104" t="n"/>
      <c r="AZ399" s="104" t="n"/>
      <c r="BA399" s="104" t="n"/>
      <c r="BB399" s="104" t="n"/>
      <c r="BC399" s="104" t="n"/>
      <c r="BD399" s="104" t="n"/>
      <c r="BE399" s="104" t="n"/>
      <c r="BF399" s="104" t="n"/>
      <c r="BG399" s="104" t="n"/>
      <c r="BH399" s="104" t="n"/>
      <c r="BI399" s="104" t="n"/>
      <c r="BJ399" s="104" t="n"/>
      <c r="BK399" s="104" t="n"/>
      <c r="BL399" s="104" t="n"/>
      <c r="BM399" s="104" t="n"/>
      <c r="BN399" s="104" t="n"/>
      <c r="BO399" s="104" t="n"/>
      <c r="BP399" s="104" t="n"/>
      <c r="BQ399" s="104" t="n"/>
      <c r="BR399" s="104" t="n"/>
      <c r="BS399" s="104" t="n"/>
      <c r="BT399" s="104" t="n"/>
      <c r="BU399" s="104" t="n"/>
      <c r="BV399" s="104" t="n"/>
      <c r="BW399" s="104" t="n"/>
      <c r="BX399" s="104" t="n"/>
    </row>
    <row r="400">
      <c r="AC400" s="104" t="n"/>
      <c r="AD400" s="104" t="n"/>
      <c r="AE400" s="104" t="n"/>
      <c r="AF400" s="104" t="n"/>
      <c r="AG400" s="104" t="n"/>
      <c r="AH400" s="104" t="n"/>
      <c r="AI400" s="104" t="n"/>
      <c r="AJ400" s="104" t="n"/>
      <c r="AK400" s="104" t="n"/>
      <c r="AL400" s="104" t="n"/>
      <c r="AM400" s="104" t="n"/>
      <c r="AN400" s="104" t="n"/>
      <c r="AO400" s="104" t="n"/>
      <c r="AP400" s="104" t="n"/>
      <c r="AQ400" s="104" t="n"/>
      <c r="AR400" s="104" t="n"/>
      <c r="AS400" s="104" t="n"/>
      <c r="AT400" s="104" t="n"/>
      <c r="AU400" s="104" t="n"/>
      <c r="AV400" s="104" t="n"/>
      <c r="AW400" s="104" t="n"/>
      <c r="AX400" s="104" t="n"/>
      <c r="AY400" s="104" t="n"/>
      <c r="AZ400" s="104" t="n"/>
      <c r="BA400" s="104" t="n"/>
      <c r="BB400" s="104" t="n"/>
      <c r="BC400" s="104" t="n"/>
      <c r="BD400" s="104" t="n"/>
      <c r="BE400" s="104" t="n"/>
      <c r="BF400" s="104" t="n"/>
      <c r="BG400" s="104" t="n"/>
      <c r="BH400" s="104" t="n"/>
      <c r="BI400" s="104" t="n"/>
      <c r="BJ400" s="104" t="n"/>
      <c r="BK400" s="104" t="n"/>
      <c r="BL400" s="104" t="n"/>
      <c r="BM400" s="104" t="n"/>
      <c r="BN400" s="104" t="n"/>
      <c r="BO400" s="104" t="n"/>
      <c r="BP400" s="104" t="n"/>
      <c r="BQ400" s="104" t="n"/>
      <c r="BR400" s="104" t="n"/>
      <c r="BS400" s="104" t="n"/>
      <c r="BT400" s="104" t="n"/>
      <c r="BU400" s="104" t="n"/>
      <c r="BV400" s="104" t="n"/>
      <c r="BW400" s="104" t="n"/>
      <c r="BX400" s="104" t="n"/>
    </row>
    <row r="401">
      <c r="AC401" s="104" t="n"/>
      <c r="AD401" s="104" t="n"/>
      <c r="AE401" s="104" t="n"/>
      <c r="AF401" s="104" t="n"/>
      <c r="AG401" s="104" t="n"/>
      <c r="AH401" s="104" t="n"/>
      <c r="AI401" s="104" t="n"/>
      <c r="AJ401" s="104" t="n"/>
      <c r="AK401" s="104" t="n"/>
      <c r="AL401" s="104" t="n"/>
      <c r="AM401" s="104" t="n"/>
      <c r="AN401" s="104" t="n"/>
      <c r="AO401" s="104" t="n"/>
      <c r="AP401" s="104" t="n"/>
      <c r="AQ401" s="104" t="n"/>
      <c r="AR401" s="104" t="n"/>
      <c r="AS401" s="104" t="n"/>
      <c r="AT401" s="104" t="n"/>
      <c r="AU401" s="104" t="n"/>
      <c r="AV401" s="104" t="n"/>
      <c r="AW401" s="104" t="n"/>
      <c r="AX401" s="104" t="n"/>
      <c r="AY401" s="104" t="n"/>
      <c r="AZ401" s="104" t="n"/>
      <c r="BA401" s="104" t="n"/>
      <c r="BB401" s="104" t="n"/>
      <c r="BC401" s="104" t="n"/>
      <c r="BD401" s="104" t="n"/>
      <c r="BE401" s="104" t="n"/>
      <c r="BF401" s="104" t="n"/>
      <c r="BG401" s="104" t="n"/>
      <c r="BH401" s="104" t="n"/>
      <c r="BI401" s="104" t="n"/>
      <c r="BJ401" s="104" t="n"/>
      <c r="BK401" s="104" t="n"/>
      <c r="BL401" s="104" t="n"/>
      <c r="BM401" s="104" t="n"/>
      <c r="BN401" s="104" t="n"/>
      <c r="BO401" s="104" t="n"/>
      <c r="BP401" s="104" t="n"/>
      <c r="BQ401" s="104" t="n"/>
      <c r="BR401" s="104" t="n"/>
      <c r="BS401" s="104" t="n"/>
      <c r="BT401" s="104" t="n"/>
      <c r="BU401" s="104" t="n"/>
      <c r="BV401" s="104" t="n"/>
      <c r="BW401" s="104" t="n"/>
      <c r="BX401" s="104" t="n"/>
    </row>
    <row r="402">
      <c r="AC402" s="104" t="n"/>
      <c r="AD402" s="104" t="n"/>
      <c r="AE402" s="104" t="n"/>
      <c r="AF402" s="104" t="n"/>
      <c r="AG402" s="104" t="n"/>
      <c r="AH402" s="104" t="n"/>
      <c r="AI402" s="104" t="n"/>
      <c r="AJ402" s="104" t="n"/>
      <c r="AK402" s="104" t="n"/>
      <c r="AL402" s="104" t="n"/>
      <c r="AM402" s="104" t="n"/>
      <c r="AN402" s="104" t="n"/>
      <c r="AO402" s="104" t="n"/>
      <c r="AP402" s="104" t="n"/>
      <c r="AQ402" s="104" t="n"/>
      <c r="AR402" s="104" t="n"/>
      <c r="AS402" s="104" t="n"/>
      <c r="AT402" s="104" t="n"/>
      <c r="AU402" s="104" t="n"/>
      <c r="AV402" s="104" t="n"/>
      <c r="AW402" s="104" t="n"/>
      <c r="AX402" s="104" t="n"/>
      <c r="AY402" s="104" t="n"/>
      <c r="AZ402" s="104" t="n"/>
      <c r="BA402" s="104" t="n"/>
      <c r="BB402" s="104" t="n"/>
      <c r="BC402" s="104" t="n"/>
      <c r="BD402" s="104" t="n"/>
      <c r="BE402" s="104" t="n"/>
      <c r="BF402" s="104" t="n"/>
      <c r="BG402" s="104" t="n"/>
      <c r="BH402" s="104" t="n"/>
      <c r="BI402" s="104" t="n"/>
      <c r="BJ402" s="104" t="n"/>
      <c r="BK402" s="104" t="n"/>
      <c r="BL402" s="104" t="n"/>
      <c r="BM402" s="104" t="n"/>
      <c r="BN402" s="104" t="n"/>
      <c r="BO402" s="104" t="n"/>
      <c r="BP402" s="104" t="n"/>
      <c r="BQ402" s="104" t="n"/>
      <c r="BR402" s="104" t="n"/>
      <c r="BS402" s="104" t="n"/>
      <c r="BT402" s="104" t="n"/>
      <c r="BU402" s="104" t="n"/>
      <c r="BV402" s="104" t="n"/>
      <c r="BW402" s="104" t="n"/>
      <c r="BX402" s="104" t="n"/>
    </row>
    <row r="403">
      <c r="AC403" s="104" t="n"/>
      <c r="AD403" s="104" t="n"/>
      <c r="AE403" s="104" t="n"/>
      <c r="AF403" s="104" t="n"/>
      <c r="AG403" s="104" t="n"/>
      <c r="AH403" s="104" t="n"/>
      <c r="AI403" s="104" t="n"/>
      <c r="AJ403" s="104" t="n"/>
      <c r="AK403" s="104" t="n"/>
      <c r="AL403" s="104" t="n"/>
      <c r="AM403" s="104" t="n"/>
      <c r="AN403" s="104" t="n"/>
      <c r="AO403" s="104" t="n"/>
      <c r="AP403" s="104" t="n"/>
      <c r="AQ403" s="104" t="n"/>
      <c r="AR403" s="104" t="n"/>
      <c r="AS403" s="104" t="n"/>
      <c r="AT403" s="104" t="n"/>
      <c r="AU403" s="104" t="n"/>
      <c r="AV403" s="104" t="n"/>
      <c r="AW403" s="104" t="n"/>
      <c r="AX403" s="104" t="n"/>
      <c r="AY403" s="104" t="n"/>
      <c r="AZ403" s="104" t="n"/>
      <c r="BA403" s="104" t="n"/>
      <c r="BB403" s="104" t="n"/>
      <c r="BC403" s="104" t="n"/>
      <c r="BD403" s="104" t="n"/>
      <c r="BE403" s="104" t="n"/>
      <c r="BF403" s="104" t="n"/>
      <c r="BG403" s="104" t="n"/>
      <c r="BH403" s="104" t="n"/>
      <c r="BI403" s="104" t="n"/>
      <c r="BJ403" s="104" t="n"/>
      <c r="BK403" s="104" t="n"/>
      <c r="BL403" s="104" t="n"/>
      <c r="BM403" s="104" t="n"/>
      <c r="BN403" s="104" t="n"/>
      <c r="BO403" s="104" t="n"/>
      <c r="BP403" s="104" t="n"/>
      <c r="BQ403" s="104" t="n"/>
      <c r="BR403" s="104" t="n"/>
      <c r="BS403" s="104" t="n"/>
      <c r="BT403" s="104" t="n"/>
      <c r="BU403" s="104" t="n"/>
      <c r="BV403" s="104" t="n"/>
      <c r="BW403" s="104" t="n"/>
      <c r="BX403" s="104" t="n"/>
    </row>
    <row r="404">
      <c r="AC404" s="104" t="n"/>
      <c r="AD404" s="104" t="n"/>
      <c r="AE404" s="104" t="n"/>
      <c r="AF404" s="104" t="n"/>
      <c r="AG404" s="104" t="n"/>
      <c r="AH404" s="104" t="n"/>
      <c r="AI404" s="104" t="n"/>
      <c r="AJ404" s="104" t="n"/>
      <c r="AK404" s="104" t="n"/>
      <c r="AL404" s="104" t="n"/>
      <c r="AM404" s="104" t="n"/>
      <c r="AN404" s="104" t="n"/>
      <c r="AO404" s="104" t="n"/>
      <c r="AP404" s="104" t="n"/>
      <c r="AQ404" s="104" t="n"/>
      <c r="AR404" s="104" t="n"/>
      <c r="AS404" s="104" t="n"/>
      <c r="AT404" s="104" t="n"/>
      <c r="AU404" s="104" t="n"/>
      <c r="AV404" s="104" t="n"/>
      <c r="AW404" s="104" t="n"/>
      <c r="AX404" s="104" t="n"/>
      <c r="AY404" s="104" t="n"/>
      <c r="AZ404" s="104" t="n"/>
      <c r="BA404" s="104" t="n"/>
      <c r="BB404" s="104" t="n"/>
      <c r="BC404" s="104" t="n"/>
      <c r="BD404" s="104" t="n"/>
      <c r="BE404" s="104" t="n"/>
      <c r="BF404" s="104" t="n"/>
      <c r="BG404" s="104" t="n"/>
      <c r="BH404" s="104" t="n"/>
      <c r="BI404" s="104" t="n"/>
      <c r="BJ404" s="104" t="n"/>
      <c r="BK404" s="104" t="n"/>
      <c r="BL404" s="104" t="n"/>
      <c r="BM404" s="104" t="n"/>
      <c r="BN404" s="104" t="n"/>
      <c r="BO404" s="104" t="n"/>
      <c r="BP404" s="104" t="n"/>
      <c r="BQ404" s="104" t="n"/>
      <c r="BR404" s="104" t="n"/>
      <c r="BS404" s="104" t="n"/>
      <c r="BT404" s="104" t="n"/>
      <c r="BU404" s="104" t="n"/>
      <c r="BV404" s="104" t="n"/>
      <c r="BW404" s="104" t="n"/>
      <c r="BX404" s="104" t="n"/>
    </row>
    <row r="405">
      <c r="AC405" s="104" t="n"/>
      <c r="AD405" s="104" t="n"/>
      <c r="AE405" s="104" t="n"/>
      <c r="AF405" s="104" t="n"/>
      <c r="AG405" s="104" t="n"/>
      <c r="AH405" s="104" t="n"/>
      <c r="AI405" s="104" t="n"/>
      <c r="AJ405" s="104" t="n"/>
      <c r="AK405" s="104" t="n"/>
      <c r="AL405" s="104" t="n"/>
      <c r="AM405" s="104" t="n"/>
      <c r="AN405" s="104" t="n"/>
      <c r="AO405" s="104" t="n"/>
      <c r="AP405" s="104" t="n"/>
      <c r="AQ405" s="104" t="n"/>
      <c r="AR405" s="104" t="n"/>
      <c r="AS405" s="104" t="n"/>
      <c r="AT405" s="104" t="n"/>
      <c r="AU405" s="104" t="n"/>
      <c r="AV405" s="104" t="n"/>
      <c r="AW405" s="104" t="n"/>
      <c r="AX405" s="104" t="n"/>
      <c r="AY405" s="104" t="n"/>
      <c r="AZ405" s="104" t="n"/>
      <c r="BA405" s="104" t="n"/>
      <c r="BB405" s="104" t="n"/>
      <c r="BC405" s="104" t="n"/>
      <c r="BD405" s="104" t="n"/>
      <c r="BE405" s="104" t="n"/>
      <c r="BF405" s="104" t="n"/>
      <c r="BG405" s="104" t="n"/>
      <c r="BH405" s="104" t="n"/>
      <c r="BI405" s="104" t="n"/>
      <c r="BJ405" s="104" t="n"/>
      <c r="BK405" s="104" t="n"/>
      <c r="BL405" s="104" t="n"/>
      <c r="BM405" s="104" t="n"/>
      <c r="BN405" s="104" t="n"/>
      <c r="BO405" s="104" t="n"/>
      <c r="BP405" s="104" t="n"/>
      <c r="BQ405" s="104" t="n"/>
      <c r="BR405" s="104" t="n"/>
      <c r="BS405" s="104" t="n"/>
      <c r="BT405" s="104" t="n"/>
      <c r="BU405" s="104" t="n"/>
      <c r="BV405" s="104" t="n"/>
      <c r="BW405" s="104" t="n"/>
      <c r="BX405" s="104" t="n"/>
    </row>
    <row r="406">
      <c r="AC406" s="104" t="n"/>
      <c r="AD406" s="104" t="n"/>
      <c r="AE406" s="104" t="n"/>
      <c r="AF406" s="104" t="n"/>
      <c r="AG406" s="104" t="n"/>
      <c r="AH406" s="104" t="n"/>
      <c r="AI406" s="104" t="n"/>
      <c r="AJ406" s="104" t="n"/>
      <c r="AK406" s="104" t="n"/>
      <c r="AL406" s="104" t="n"/>
      <c r="AM406" s="104" t="n"/>
      <c r="AN406" s="104" t="n"/>
      <c r="AO406" s="104" t="n"/>
      <c r="AP406" s="104" t="n"/>
      <c r="AQ406" s="104" t="n"/>
      <c r="AR406" s="104" t="n"/>
      <c r="AS406" s="104" t="n"/>
      <c r="AT406" s="104" t="n"/>
      <c r="AU406" s="104" t="n"/>
      <c r="AV406" s="104" t="n"/>
      <c r="AW406" s="104" t="n"/>
      <c r="AX406" s="104" t="n"/>
      <c r="AY406" s="104" t="n"/>
      <c r="AZ406" s="104" t="n"/>
      <c r="BA406" s="104" t="n"/>
      <c r="BB406" s="104" t="n"/>
      <c r="BC406" s="104" t="n"/>
      <c r="BD406" s="104" t="n"/>
      <c r="BE406" s="104" t="n"/>
      <c r="BF406" s="104" t="n"/>
      <c r="BG406" s="104" t="n"/>
      <c r="BH406" s="104" t="n"/>
      <c r="BI406" s="104" t="n"/>
      <c r="BJ406" s="104" t="n"/>
      <c r="BK406" s="104" t="n"/>
      <c r="BL406" s="104" t="n"/>
      <c r="BM406" s="104" t="n"/>
      <c r="BN406" s="104" t="n"/>
      <c r="BO406" s="104" t="n"/>
      <c r="BP406" s="104" t="n"/>
      <c r="BQ406" s="104" t="n"/>
      <c r="BR406" s="104" t="n"/>
      <c r="BS406" s="104" t="n"/>
      <c r="BT406" s="104" t="n"/>
      <c r="BU406" s="104" t="n"/>
      <c r="BV406" s="104" t="n"/>
      <c r="BW406" s="104" t="n"/>
      <c r="BX406" s="104" t="n"/>
    </row>
    <row r="407">
      <c r="AC407" s="104" t="n"/>
      <c r="AD407" s="104" t="n"/>
      <c r="AE407" s="104" t="n"/>
      <c r="AF407" s="104" t="n"/>
      <c r="AG407" s="104" t="n"/>
      <c r="AH407" s="104" t="n"/>
      <c r="AI407" s="104" t="n"/>
      <c r="AJ407" s="104" t="n"/>
      <c r="AK407" s="104" t="n"/>
      <c r="AL407" s="104" t="n"/>
      <c r="AM407" s="104" t="n"/>
      <c r="AN407" s="104" t="n"/>
      <c r="AO407" s="104" t="n"/>
      <c r="AP407" s="104" t="n"/>
      <c r="AQ407" s="104" t="n"/>
      <c r="AR407" s="104" t="n"/>
      <c r="AS407" s="104" t="n"/>
      <c r="AT407" s="104" t="n"/>
      <c r="AU407" s="104" t="n"/>
      <c r="AV407" s="104" t="n"/>
      <c r="AW407" s="104" t="n"/>
      <c r="AX407" s="104" t="n"/>
      <c r="AY407" s="104" t="n"/>
      <c r="AZ407" s="104" t="n"/>
      <c r="BA407" s="104" t="n"/>
      <c r="BB407" s="104" t="n"/>
      <c r="BC407" s="104" t="n"/>
      <c r="BD407" s="104" t="n"/>
      <c r="BE407" s="104" t="n"/>
      <c r="BF407" s="104" t="n"/>
      <c r="BG407" s="104" t="n"/>
      <c r="BH407" s="104" t="n"/>
      <c r="BI407" s="104" t="n"/>
      <c r="BJ407" s="104" t="n"/>
      <c r="BK407" s="104" t="n"/>
      <c r="BL407" s="104" t="n"/>
      <c r="BM407" s="104" t="n"/>
      <c r="BN407" s="104" t="n"/>
      <c r="BO407" s="104" t="n"/>
      <c r="BP407" s="104" t="n"/>
      <c r="BQ407" s="104" t="n"/>
      <c r="BR407" s="104" t="n"/>
      <c r="BS407" s="104" t="n"/>
      <c r="BT407" s="104" t="n"/>
      <c r="BU407" s="104" t="n"/>
      <c r="BV407" s="104" t="n"/>
      <c r="BW407" s="104" t="n"/>
      <c r="BX407" s="104" t="n"/>
    </row>
    <row r="408">
      <c r="AC408" s="104" t="n"/>
      <c r="AD408" s="104" t="n"/>
      <c r="AE408" s="104" t="n"/>
      <c r="AF408" s="104" t="n"/>
      <c r="AG408" s="104" t="n"/>
      <c r="AH408" s="104" t="n"/>
      <c r="AI408" s="104" t="n"/>
      <c r="AJ408" s="104" t="n"/>
      <c r="AK408" s="104" t="n"/>
      <c r="AL408" s="104" t="n"/>
      <c r="AM408" s="104" t="n"/>
      <c r="AN408" s="104" t="n"/>
      <c r="AO408" s="104" t="n"/>
      <c r="AP408" s="104" t="n"/>
      <c r="AQ408" s="104" t="n"/>
      <c r="AR408" s="104" t="n"/>
      <c r="AS408" s="104" t="n"/>
      <c r="AT408" s="104" t="n"/>
      <c r="AU408" s="104" t="n"/>
      <c r="AV408" s="104" t="n"/>
      <c r="AW408" s="104" t="n"/>
      <c r="AX408" s="104" t="n"/>
      <c r="AY408" s="104" t="n"/>
      <c r="AZ408" s="104" t="n"/>
      <c r="BA408" s="104" t="n"/>
      <c r="BB408" s="104" t="n"/>
      <c r="BC408" s="104" t="n"/>
      <c r="BD408" s="104" t="n"/>
      <c r="BE408" s="104" t="n"/>
      <c r="BF408" s="104" t="n"/>
      <c r="BG408" s="104" t="n"/>
      <c r="BH408" s="104" t="n"/>
      <c r="BI408" s="104" t="n"/>
      <c r="BJ408" s="104" t="n"/>
      <c r="BK408" s="104" t="n"/>
      <c r="BL408" s="104" t="n"/>
      <c r="BM408" s="104" t="n"/>
      <c r="BN408" s="104" t="n"/>
      <c r="BO408" s="104" t="n"/>
      <c r="BP408" s="104" t="n"/>
      <c r="BQ408" s="104" t="n"/>
      <c r="BR408" s="104" t="n"/>
      <c r="BS408" s="104" t="n"/>
      <c r="BT408" s="104" t="n"/>
      <c r="BU408" s="104" t="n"/>
      <c r="BV408" s="104" t="n"/>
      <c r="BW408" s="104" t="n"/>
      <c r="BX408" s="104" t="n"/>
    </row>
    <row r="409">
      <c r="AC409" s="104" t="n"/>
      <c r="AD409" s="104" t="n"/>
      <c r="AE409" s="104" t="n"/>
      <c r="AF409" s="104" t="n"/>
      <c r="AG409" s="104" t="n"/>
      <c r="AH409" s="104" t="n"/>
      <c r="AI409" s="104" t="n"/>
      <c r="AJ409" s="104" t="n"/>
      <c r="AK409" s="104" t="n"/>
      <c r="AL409" s="104" t="n"/>
      <c r="AM409" s="104" t="n"/>
      <c r="AN409" s="104" t="n"/>
      <c r="AO409" s="104" t="n"/>
      <c r="AP409" s="104" t="n"/>
      <c r="AQ409" s="104" t="n"/>
      <c r="AR409" s="104" t="n"/>
      <c r="AS409" s="104" t="n"/>
      <c r="AT409" s="104" t="n"/>
      <c r="AU409" s="104" t="n"/>
      <c r="AV409" s="104" t="n"/>
      <c r="AW409" s="104" t="n"/>
      <c r="AX409" s="104" t="n"/>
      <c r="AY409" s="104" t="n"/>
      <c r="AZ409" s="104" t="n"/>
      <c r="BA409" s="104" t="n"/>
      <c r="BB409" s="104" t="n"/>
      <c r="BC409" s="104" t="n"/>
      <c r="BD409" s="104" t="n"/>
      <c r="BE409" s="104" t="n"/>
      <c r="BF409" s="104" t="n"/>
      <c r="BG409" s="104" t="n"/>
      <c r="BH409" s="104" t="n"/>
      <c r="BI409" s="104" t="n"/>
      <c r="BJ409" s="104" t="n"/>
      <c r="BK409" s="104" t="n"/>
      <c r="BL409" s="104" t="n"/>
      <c r="BM409" s="104" t="n"/>
      <c r="BN409" s="104" t="n"/>
      <c r="BO409" s="104" t="n"/>
      <c r="BP409" s="104" t="n"/>
      <c r="BQ409" s="104" t="n"/>
      <c r="BR409" s="104" t="n"/>
      <c r="BS409" s="104" t="n"/>
      <c r="BT409" s="104" t="n"/>
      <c r="BU409" s="104" t="n"/>
      <c r="BV409" s="104" t="n"/>
      <c r="BW409" s="104" t="n"/>
      <c r="BX409" s="104" t="n"/>
    </row>
    <row r="410">
      <c r="AC410" s="104" t="n"/>
      <c r="AD410" s="104" t="n"/>
      <c r="AE410" s="104" t="n"/>
      <c r="AF410" s="104" t="n"/>
      <c r="AG410" s="104" t="n"/>
      <c r="AH410" s="104" t="n"/>
      <c r="AI410" s="104" t="n"/>
      <c r="AJ410" s="104" t="n"/>
      <c r="AK410" s="104" t="n"/>
      <c r="AL410" s="104" t="n"/>
      <c r="AM410" s="104" t="n"/>
      <c r="AN410" s="104" t="n"/>
      <c r="AO410" s="104" t="n"/>
      <c r="AP410" s="104" t="n"/>
      <c r="AQ410" s="104" t="n"/>
      <c r="AR410" s="104" t="n"/>
      <c r="AS410" s="104" t="n"/>
      <c r="AT410" s="104" t="n"/>
      <c r="AU410" s="104" t="n"/>
      <c r="AV410" s="104" t="n"/>
      <c r="AW410" s="104" t="n"/>
      <c r="AX410" s="104" t="n"/>
      <c r="AY410" s="104" t="n"/>
      <c r="AZ410" s="104" t="n"/>
      <c r="BA410" s="104" t="n"/>
      <c r="BB410" s="104" t="n"/>
      <c r="BC410" s="104" t="n"/>
      <c r="BD410" s="104" t="n"/>
      <c r="BE410" s="104" t="n"/>
      <c r="BF410" s="104" t="n"/>
      <c r="BG410" s="104" t="n"/>
      <c r="BH410" s="104" t="n"/>
      <c r="BI410" s="104" t="n"/>
      <c r="BJ410" s="104" t="n"/>
      <c r="BK410" s="104" t="n"/>
      <c r="BL410" s="104" t="n"/>
      <c r="BM410" s="104" t="n"/>
      <c r="BN410" s="104" t="n"/>
      <c r="BO410" s="104" t="n"/>
      <c r="BP410" s="104" t="n"/>
      <c r="BQ410" s="104" t="n"/>
      <c r="BR410" s="104" t="n"/>
      <c r="BS410" s="104" t="n"/>
      <c r="BT410" s="104" t="n"/>
      <c r="BU410" s="104" t="n"/>
      <c r="BV410" s="104" t="n"/>
      <c r="BW410" s="104" t="n"/>
      <c r="BX410" s="104" t="n"/>
    </row>
    <row r="411">
      <c r="AC411" s="104" t="n"/>
      <c r="AD411" s="104" t="n"/>
      <c r="AE411" s="104" t="n"/>
      <c r="AF411" s="104" t="n"/>
      <c r="AG411" s="104" t="n"/>
      <c r="AH411" s="104" t="n"/>
      <c r="AI411" s="104" t="n"/>
      <c r="AJ411" s="104" t="n"/>
      <c r="AK411" s="104" t="n"/>
      <c r="AL411" s="104" t="n"/>
      <c r="AM411" s="104" t="n"/>
      <c r="AN411" s="104" t="n"/>
      <c r="AO411" s="104" t="n"/>
      <c r="AP411" s="104" t="n"/>
      <c r="AQ411" s="104" t="n"/>
      <c r="AR411" s="104" t="n"/>
      <c r="AS411" s="104" t="n"/>
      <c r="AT411" s="104" t="n"/>
      <c r="AU411" s="104" t="n"/>
      <c r="AV411" s="104" t="n"/>
      <c r="AW411" s="104" t="n"/>
      <c r="AX411" s="104" t="n"/>
      <c r="AY411" s="104" t="n"/>
      <c r="AZ411" s="104" t="n"/>
      <c r="BA411" s="104" t="n"/>
      <c r="BB411" s="104" t="n"/>
      <c r="BC411" s="104" t="n"/>
      <c r="BD411" s="104" t="n"/>
      <c r="BE411" s="104" t="n"/>
      <c r="BF411" s="104" t="n"/>
      <c r="BG411" s="104" t="n"/>
      <c r="BH411" s="104" t="n"/>
      <c r="BI411" s="104" t="n"/>
      <c r="BJ411" s="104" t="n"/>
      <c r="BK411" s="104" t="n"/>
      <c r="BL411" s="104" t="n"/>
      <c r="BM411" s="104" t="n"/>
      <c r="BN411" s="104" t="n"/>
      <c r="BO411" s="104" t="n"/>
      <c r="BP411" s="104" t="n"/>
      <c r="BQ411" s="104" t="n"/>
      <c r="BR411" s="104" t="n"/>
      <c r="BS411" s="104" t="n"/>
      <c r="BT411" s="104" t="n"/>
      <c r="BU411" s="104" t="n"/>
      <c r="BV411" s="104" t="n"/>
      <c r="BW411" s="104" t="n"/>
      <c r="BX411" s="104" t="n"/>
    </row>
    <row r="412">
      <c r="AC412" s="104" t="n"/>
      <c r="AD412" s="104" t="n"/>
      <c r="AE412" s="104" t="n"/>
      <c r="AF412" s="104" t="n"/>
      <c r="AG412" s="104" t="n"/>
      <c r="AH412" s="104" t="n"/>
      <c r="AI412" s="104" t="n"/>
      <c r="AJ412" s="104" t="n"/>
      <c r="AK412" s="104" t="n"/>
      <c r="AL412" s="104" t="n"/>
      <c r="AM412" s="104" t="n"/>
      <c r="AN412" s="104" t="n"/>
      <c r="AO412" s="104" t="n"/>
      <c r="AP412" s="104" t="n"/>
      <c r="AQ412" s="104" t="n"/>
      <c r="AR412" s="104" t="n"/>
      <c r="AS412" s="104" t="n"/>
      <c r="AT412" s="104" t="n"/>
      <c r="AU412" s="104" t="n"/>
      <c r="AV412" s="104" t="n"/>
      <c r="AW412" s="104" t="n"/>
      <c r="AX412" s="104" t="n"/>
      <c r="AY412" s="104" t="n"/>
      <c r="AZ412" s="104" t="n"/>
      <c r="BA412" s="104" t="n"/>
      <c r="BB412" s="104" t="n"/>
      <c r="BC412" s="104" t="n"/>
      <c r="BD412" s="104" t="n"/>
      <c r="BE412" s="104" t="n"/>
      <c r="BF412" s="104" t="n"/>
      <c r="BG412" s="104" t="n"/>
      <c r="BH412" s="104" t="n"/>
      <c r="BI412" s="104" t="n"/>
      <c r="BJ412" s="104" t="n"/>
      <c r="BK412" s="104" t="n"/>
      <c r="BL412" s="104" t="n"/>
      <c r="BM412" s="104" t="n"/>
      <c r="BN412" s="104" t="n"/>
      <c r="BO412" s="104" t="n"/>
      <c r="BP412" s="104" t="n"/>
      <c r="BQ412" s="104" t="n"/>
      <c r="BR412" s="104" t="n"/>
      <c r="BS412" s="104" t="n"/>
      <c r="BT412" s="104" t="n"/>
      <c r="BU412" s="104" t="n"/>
      <c r="BV412" s="104" t="n"/>
      <c r="BW412" s="104" t="n"/>
      <c r="BX412" s="104" t="n"/>
    </row>
    <row r="413">
      <c r="AC413" s="104" t="n"/>
      <c r="AD413" s="104" t="n"/>
      <c r="AE413" s="104" t="n"/>
      <c r="AF413" s="104" t="n"/>
      <c r="AG413" s="104" t="n"/>
      <c r="AH413" s="104" t="n"/>
      <c r="AI413" s="104" t="n"/>
      <c r="AJ413" s="104" t="n"/>
      <c r="AK413" s="104" t="n"/>
      <c r="AL413" s="104" t="n"/>
      <c r="AM413" s="104" t="n"/>
      <c r="AN413" s="104" t="n"/>
      <c r="AO413" s="104" t="n"/>
      <c r="AP413" s="104" t="n"/>
      <c r="AQ413" s="104" t="n"/>
      <c r="AR413" s="104" t="n"/>
      <c r="AS413" s="104" t="n"/>
      <c r="AT413" s="104" t="n"/>
      <c r="AU413" s="104" t="n"/>
      <c r="AV413" s="104" t="n"/>
      <c r="AW413" s="104" t="n"/>
      <c r="AX413" s="104" t="n"/>
      <c r="AY413" s="104" t="n"/>
      <c r="AZ413" s="104" t="n"/>
      <c r="BA413" s="104" t="n"/>
      <c r="BB413" s="104" t="n"/>
      <c r="BC413" s="104" t="n"/>
      <c r="BD413" s="104" t="n"/>
      <c r="BE413" s="104" t="n"/>
      <c r="BF413" s="104" t="n"/>
      <c r="BG413" s="104" t="n"/>
      <c r="BH413" s="104" t="n"/>
      <c r="BI413" s="104" t="n"/>
      <c r="BJ413" s="104" t="n"/>
      <c r="BK413" s="104" t="n"/>
      <c r="BL413" s="104" t="n"/>
      <c r="BM413" s="104" t="n"/>
      <c r="BN413" s="104" t="n"/>
      <c r="BO413" s="104" t="n"/>
      <c r="BP413" s="104" t="n"/>
      <c r="BQ413" s="104" t="n"/>
      <c r="BR413" s="104" t="n"/>
      <c r="BS413" s="104" t="n"/>
      <c r="BT413" s="104" t="n"/>
      <c r="BU413" s="104" t="n"/>
      <c r="BV413" s="104" t="n"/>
      <c r="BW413" s="104" t="n"/>
      <c r="BX413" s="104" t="n"/>
    </row>
    <row r="414">
      <c r="AC414" s="104" t="n"/>
      <c r="AD414" s="104" t="n"/>
      <c r="AE414" s="104" t="n"/>
      <c r="AF414" s="104" t="n"/>
      <c r="AG414" s="104" t="n"/>
      <c r="AH414" s="104" t="n"/>
      <c r="AI414" s="104" t="n"/>
      <c r="AJ414" s="104" t="n"/>
      <c r="AK414" s="104" t="n"/>
      <c r="AL414" s="104" t="n"/>
      <c r="AM414" s="104" t="n"/>
      <c r="AN414" s="104" t="n"/>
      <c r="AO414" s="104" t="n"/>
      <c r="AP414" s="104" t="n"/>
      <c r="AQ414" s="104" t="n"/>
      <c r="AR414" s="104" t="n"/>
      <c r="AS414" s="104" t="n"/>
      <c r="AT414" s="104" t="n"/>
      <c r="AU414" s="104" t="n"/>
      <c r="AV414" s="104" t="n"/>
      <c r="AW414" s="104" t="n"/>
      <c r="AX414" s="104" t="n"/>
      <c r="AY414" s="104" t="n"/>
      <c r="AZ414" s="104" t="n"/>
      <c r="BA414" s="104" t="n"/>
      <c r="BB414" s="104" t="n"/>
      <c r="BC414" s="104" t="n"/>
      <c r="BD414" s="104" t="n"/>
      <c r="BE414" s="104" t="n"/>
      <c r="BF414" s="104" t="n"/>
      <c r="BG414" s="104" t="n"/>
      <c r="BH414" s="104" t="n"/>
      <c r="BI414" s="104" t="n"/>
      <c r="BJ414" s="104" t="n"/>
      <c r="BK414" s="104" t="n"/>
      <c r="BL414" s="104" t="n"/>
      <c r="BM414" s="104" t="n"/>
      <c r="BN414" s="104" t="n"/>
      <c r="BO414" s="104" t="n"/>
      <c r="BP414" s="104" t="n"/>
      <c r="BQ414" s="104" t="n"/>
      <c r="BR414" s="104" t="n"/>
      <c r="BS414" s="104" t="n"/>
      <c r="BT414" s="104" t="n"/>
      <c r="BU414" s="104" t="n"/>
      <c r="BV414" s="104" t="n"/>
      <c r="BW414" s="104" t="n"/>
      <c r="BX414" s="104" t="n"/>
    </row>
    <row r="415">
      <c r="AC415" s="104" t="n"/>
      <c r="AD415" s="104" t="n"/>
      <c r="AE415" s="104" t="n"/>
      <c r="AF415" s="104" t="n"/>
      <c r="AG415" s="104" t="n"/>
      <c r="AH415" s="104" t="n"/>
      <c r="AI415" s="104" t="n"/>
      <c r="AJ415" s="104" t="n"/>
      <c r="AK415" s="104" t="n"/>
      <c r="AL415" s="104" t="n"/>
      <c r="AM415" s="104" t="n"/>
      <c r="AN415" s="104" t="n"/>
      <c r="AO415" s="104" t="n"/>
      <c r="AP415" s="104" t="n"/>
      <c r="AQ415" s="104" t="n"/>
      <c r="AR415" s="104" t="n"/>
      <c r="AS415" s="104" t="n"/>
      <c r="AT415" s="104" t="n"/>
      <c r="AU415" s="104" t="n"/>
      <c r="AV415" s="104" t="n"/>
      <c r="AW415" s="104" t="n"/>
      <c r="AX415" s="104" t="n"/>
      <c r="AY415" s="104" t="n"/>
      <c r="AZ415" s="104" t="n"/>
      <c r="BA415" s="104" t="n"/>
      <c r="BB415" s="104" t="n"/>
      <c r="BC415" s="104" t="n"/>
      <c r="BD415" s="104" t="n"/>
      <c r="BE415" s="104" t="n"/>
      <c r="BF415" s="104" t="n"/>
      <c r="BG415" s="104" t="n"/>
      <c r="BH415" s="104" t="n"/>
      <c r="BI415" s="104" t="n"/>
      <c r="BJ415" s="104" t="n"/>
      <c r="BK415" s="104" t="n"/>
      <c r="BL415" s="104" t="n"/>
      <c r="BM415" s="104" t="n"/>
      <c r="BN415" s="104" t="n"/>
      <c r="BO415" s="104" t="n"/>
      <c r="BP415" s="104" t="n"/>
      <c r="BQ415" s="104" t="n"/>
      <c r="BR415" s="104" t="n"/>
      <c r="BS415" s="104" t="n"/>
      <c r="BT415" s="104" t="n"/>
      <c r="BU415" s="104" t="n"/>
      <c r="BV415" s="104" t="n"/>
      <c r="BW415" s="104" t="n"/>
      <c r="BX415" s="104" t="n"/>
    </row>
    <row r="416">
      <c r="AC416" s="104" t="n"/>
      <c r="AD416" s="104" t="n"/>
      <c r="AE416" s="104" t="n"/>
      <c r="AF416" s="104" t="n"/>
      <c r="AG416" s="104" t="n"/>
      <c r="AH416" s="104" t="n"/>
      <c r="AI416" s="104" t="n"/>
      <c r="AJ416" s="104" t="n"/>
      <c r="AK416" s="104" t="n"/>
      <c r="AL416" s="104" t="n"/>
      <c r="AM416" s="104" t="n"/>
      <c r="AN416" s="104" t="n"/>
      <c r="AO416" s="104" t="n"/>
      <c r="AP416" s="104" t="n"/>
      <c r="AQ416" s="104" t="n"/>
      <c r="AR416" s="104" t="n"/>
      <c r="AS416" s="104" t="n"/>
      <c r="AT416" s="104" t="n"/>
      <c r="AU416" s="104" t="n"/>
      <c r="AV416" s="104" t="n"/>
      <c r="AW416" s="104" t="n"/>
      <c r="AX416" s="104" t="n"/>
      <c r="AY416" s="104" t="n"/>
      <c r="AZ416" s="104" t="n"/>
      <c r="BA416" s="104" t="n"/>
      <c r="BB416" s="104" t="n"/>
      <c r="BC416" s="104" t="n"/>
      <c r="BD416" s="104" t="n"/>
      <c r="BE416" s="104" t="n"/>
      <c r="BF416" s="104" t="n"/>
      <c r="BG416" s="104" t="n"/>
      <c r="BH416" s="104" t="n"/>
      <c r="BI416" s="104" t="n"/>
      <c r="BJ416" s="104" t="n"/>
      <c r="BK416" s="104" t="n"/>
      <c r="BL416" s="104" t="n"/>
      <c r="BM416" s="104" t="n"/>
      <c r="BN416" s="104" t="n"/>
      <c r="BO416" s="104" t="n"/>
      <c r="BP416" s="104" t="n"/>
      <c r="BQ416" s="104" t="n"/>
      <c r="BR416" s="104" t="n"/>
      <c r="BS416" s="104" t="n"/>
      <c r="BT416" s="104" t="n"/>
      <c r="BU416" s="104" t="n"/>
      <c r="BV416" s="104" t="n"/>
      <c r="BW416" s="104" t="n"/>
      <c r="BX416" s="104" t="n"/>
    </row>
    <row r="417">
      <c r="AC417" s="104" t="n"/>
      <c r="AD417" s="104" t="n"/>
      <c r="AE417" s="104" t="n"/>
      <c r="AF417" s="104" t="n"/>
      <c r="AG417" s="104" t="n"/>
      <c r="AH417" s="104" t="n"/>
      <c r="AI417" s="104" t="n"/>
      <c r="AJ417" s="104" t="n"/>
      <c r="AK417" s="104" t="n"/>
      <c r="AL417" s="104" t="n"/>
      <c r="AM417" s="104" t="n"/>
      <c r="AN417" s="104" t="n"/>
      <c r="AO417" s="104" t="n"/>
      <c r="AP417" s="104" t="n"/>
      <c r="AQ417" s="104" t="n"/>
      <c r="AR417" s="104" t="n"/>
      <c r="AS417" s="104" t="n"/>
      <c r="AT417" s="104" t="n"/>
      <c r="AU417" s="104" t="n"/>
      <c r="AV417" s="104" t="n"/>
      <c r="AW417" s="104" t="n"/>
      <c r="AX417" s="104" t="n"/>
      <c r="AY417" s="104" t="n"/>
      <c r="AZ417" s="104" t="n"/>
      <c r="BA417" s="104" t="n"/>
      <c r="BB417" s="104" t="n"/>
      <c r="BC417" s="104" t="n"/>
      <c r="BD417" s="104" t="n"/>
      <c r="BE417" s="104" t="n"/>
      <c r="BF417" s="104" t="n"/>
      <c r="BG417" s="104" t="n"/>
      <c r="BH417" s="104" t="n"/>
      <c r="BI417" s="104" t="n"/>
      <c r="BJ417" s="104" t="n"/>
      <c r="BK417" s="104" t="n"/>
      <c r="BL417" s="104" t="n"/>
      <c r="BM417" s="104" t="n"/>
      <c r="BN417" s="104" t="n"/>
      <c r="BO417" s="104" t="n"/>
      <c r="BP417" s="104" t="n"/>
      <c r="BQ417" s="104" t="n"/>
      <c r="BR417" s="104" t="n"/>
      <c r="BS417" s="104" t="n"/>
      <c r="BT417" s="104" t="n"/>
      <c r="BU417" s="104" t="n"/>
      <c r="BV417" s="104" t="n"/>
      <c r="BW417" s="104" t="n"/>
      <c r="BX417" s="104" t="n"/>
    </row>
    <row r="418">
      <c r="AC418" s="104" t="n"/>
      <c r="AD418" s="104" t="n"/>
      <c r="AE418" s="104" t="n"/>
      <c r="AF418" s="104" t="n"/>
      <c r="AG418" s="104" t="n"/>
      <c r="AH418" s="104" t="n"/>
      <c r="AI418" s="104" t="n"/>
      <c r="AJ418" s="104" t="n"/>
      <c r="AK418" s="104" t="n"/>
      <c r="AL418" s="104" t="n"/>
      <c r="AM418" s="104" t="n"/>
      <c r="AN418" s="104" t="n"/>
      <c r="AO418" s="104" t="n"/>
      <c r="AP418" s="104" t="n"/>
      <c r="AQ418" s="104" t="n"/>
      <c r="AR418" s="104" t="n"/>
      <c r="AS418" s="104" t="n"/>
      <c r="AT418" s="104" t="n"/>
      <c r="AU418" s="104" t="n"/>
      <c r="AV418" s="104" t="n"/>
      <c r="AW418" s="104" t="n"/>
      <c r="AX418" s="104" t="n"/>
      <c r="AY418" s="104" t="n"/>
      <c r="AZ418" s="104" t="n"/>
      <c r="BA418" s="104" t="n"/>
      <c r="BB418" s="104" t="n"/>
      <c r="BC418" s="104" t="n"/>
      <c r="BD418" s="104" t="n"/>
      <c r="BE418" s="104" t="n"/>
      <c r="BF418" s="104" t="n"/>
      <c r="BG418" s="104" t="n"/>
      <c r="BH418" s="104" t="n"/>
      <c r="BI418" s="104" t="n"/>
      <c r="BJ418" s="104" t="n"/>
      <c r="BK418" s="104" t="n"/>
      <c r="BL418" s="104" t="n"/>
      <c r="BM418" s="104" t="n"/>
      <c r="BN418" s="104" t="n"/>
      <c r="BO418" s="104" t="n"/>
      <c r="BP418" s="104" t="n"/>
      <c r="BQ418" s="104" t="n"/>
      <c r="BR418" s="104" t="n"/>
      <c r="BS418" s="104" t="n"/>
      <c r="BT418" s="104" t="n"/>
      <c r="BU418" s="104" t="n"/>
      <c r="BV418" s="104" t="n"/>
      <c r="BW418" s="104" t="n"/>
      <c r="BX418" s="104" t="n"/>
    </row>
    <row r="419">
      <c r="AC419" s="104" t="n"/>
      <c r="AD419" s="104" t="n"/>
      <c r="AE419" s="104" t="n"/>
      <c r="AF419" s="104" t="n"/>
      <c r="AG419" s="104" t="n"/>
      <c r="AH419" s="104" t="n"/>
      <c r="AI419" s="104" t="n"/>
      <c r="AJ419" s="104" t="n"/>
      <c r="AK419" s="104" t="n"/>
      <c r="AL419" s="104" t="n"/>
      <c r="AM419" s="104" t="n"/>
      <c r="AN419" s="104" t="n"/>
      <c r="AO419" s="104" t="n"/>
      <c r="AP419" s="104" t="n"/>
      <c r="AQ419" s="104" t="n"/>
      <c r="AR419" s="104" t="n"/>
      <c r="AS419" s="104" t="n"/>
      <c r="AT419" s="104" t="n"/>
      <c r="AU419" s="104" t="n"/>
      <c r="AV419" s="104" t="n"/>
      <c r="AW419" s="104" t="n"/>
      <c r="AX419" s="104" t="n"/>
      <c r="AY419" s="104" t="n"/>
      <c r="AZ419" s="104" t="n"/>
      <c r="BA419" s="104" t="n"/>
      <c r="BB419" s="104" t="n"/>
      <c r="BC419" s="104" t="n"/>
      <c r="BD419" s="104" t="n"/>
      <c r="BE419" s="104" t="n"/>
      <c r="BF419" s="104" t="n"/>
      <c r="BG419" s="104" t="n"/>
      <c r="BH419" s="104" t="n"/>
      <c r="BI419" s="104" t="n"/>
      <c r="BJ419" s="104" t="n"/>
      <c r="BK419" s="104" t="n"/>
      <c r="BL419" s="104" t="n"/>
      <c r="BM419" s="104" t="n"/>
      <c r="BN419" s="104" t="n"/>
      <c r="BO419" s="104" t="n"/>
      <c r="BP419" s="104" t="n"/>
      <c r="BQ419" s="104" t="n"/>
      <c r="BR419" s="104" t="n"/>
      <c r="BS419" s="104" t="n"/>
      <c r="BT419" s="104" t="n"/>
      <c r="BU419" s="104" t="n"/>
      <c r="BV419" s="104" t="n"/>
      <c r="BW419" s="104" t="n"/>
      <c r="BX419" s="104" t="n"/>
    </row>
    <row r="420">
      <c r="AC420" s="104" t="n"/>
      <c r="AD420" s="104" t="n"/>
      <c r="AE420" s="104" t="n"/>
      <c r="AF420" s="104" t="n"/>
      <c r="AG420" s="104" t="n"/>
      <c r="AH420" s="104" t="n"/>
      <c r="AI420" s="104" t="n"/>
      <c r="AJ420" s="104" t="n"/>
      <c r="AK420" s="104" t="n"/>
      <c r="AL420" s="104" t="n"/>
      <c r="AM420" s="104" t="n"/>
      <c r="AN420" s="104" t="n"/>
      <c r="AO420" s="104" t="n"/>
      <c r="AP420" s="104" t="n"/>
      <c r="AQ420" s="104" t="n"/>
      <c r="AR420" s="104" t="n"/>
      <c r="AS420" s="104" t="n"/>
      <c r="AT420" s="104" t="n"/>
      <c r="AU420" s="104" t="n"/>
      <c r="AV420" s="104" t="n"/>
      <c r="AW420" s="104" t="n"/>
      <c r="AX420" s="104" t="n"/>
      <c r="AY420" s="104" t="n"/>
      <c r="AZ420" s="104" t="n"/>
      <c r="BA420" s="104" t="n"/>
      <c r="BB420" s="104" t="n"/>
      <c r="BC420" s="104" t="n"/>
      <c r="BD420" s="104" t="n"/>
      <c r="BE420" s="104" t="n"/>
      <c r="BF420" s="104" t="n"/>
      <c r="BG420" s="104" t="n"/>
      <c r="BH420" s="104" t="n"/>
      <c r="BI420" s="104" t="n"/>
      <c r="BJ420" s="104" t="n"/>
      <c r="BK420" s="104" t="n"/>
      <c r="BL420" s="104" t="n"/>
      <c r="BM420" s="104" t="n"/>
      <c r="BN420" s="104" t="n"/>
      <c r="BO420" s="104" t="n"/>
      <c r="BP420" s="104" t="n"/>
      <c r="BQ420" s="104" t="n"/>
      <c r="BR420" s="104" t="n"/>
      <c r="BS420" s="104" t="n"/>
      <c r="BT420" s="104" t="n"/>
      <c r="BU420" s="104" t="n"/>
      <c r="BV420" s="104" t="n"/>
      <c r="BW420" s="104" t="n"/>
      <c r="BX420" s="104" t="n"/>
    </row>
    <row r="421">
      <c r="AC421" s="104" t="n"/>
      <c r="AD421" s="104" t="n"/>
      <c r="AE421" s="104" t="n"/>
      <c r="AF421" s="104" t="n"/>
      <c r="AG421" s="104" t="n"/>
      <c r="AH421" s="104" t="n"/>
      <c r="AI421" s="104" t="n"/>
      <c r="AJ421" s="104" t="n"/>
      <c r="AK421" s="104" t="n"/>
      <c r="AL421" s="104" t="n"/>
      <c r="AM421" s="104" t="n"/>
      <c r="AN421" s="104" t="n"/>
      <c r="AO421" s="104" t="n"/>
      <c r="AP421" s="104" t="n"/>
      <c r="AQ421" s="104" t="n"/>
      <c r="AR421" s="104" t="n"/>
      <c r="AS421" s="104" t="n"/>
      <c r="AT421" s="104" t="n"/>
      <c r="AU421" s="104" t="n"/>
      <c r="AV421" s="104" t="n"/>
      <c r="AW421" s="104" t="n"/>
      <c r="AX421" s="104" t="n"/>
      <c r="AY421" s="104" t="n"/>
      <c r="AZ421" s="104" t="n"/>
      <c r="BA421" s="104" t="n"/>
      <c r="BB421" s="104" t="n"/>
      <c r="BC421" s="104" t="n"/>
      <c r="BD421" s="104" t="n"/>
      <c r="BE421" s="104" t="n"/>
      <c r="BF421" s="104" t="n"/>
      <c r="BG421" s="104" t="n"/>
      <c r="BH421" s="104" t="n"/>
      <c r="BI421" s="104" t="n"/>
      <c r="BJ421" s="104" t="n"/>
      <c r="BK421" s="104" t="n"/>
      <c r="BL421" s="104" t="n"/>
      <c r="BM421" s="104" t="n"/>
      <c r="BN421" s="104" t="n"/>
      <c r="BO421" s="104" t="n"/>
      <c r="BP421" s="104" t="n"/>
      <c r="BQ421" s="104" t="n"/>
      <c r="BR421" s="104" t="n"/>
      <c r="BS421" s="104" t="n"/>
      <c r="BT421" s="104" t="n"/>
      <c r="BU421" s="104" t="n"/>
      <c r="BV421" s="104" t="n"/>
      <c r="BW421" s="104" t="n"/>
      <c r="BX421" s="104" t="n"/>
    </row>
    <row r="422">
      <c r="AC422" s="104" t="n"/>
      <c r="AD422" s="104" t="n"/>
      <c r="AE422" s="104" t="n"/>
      <c r="AF422" s="104" t="n"/>
      <c r="AG422" s="104" t="n"/>
      <c r="AH422" s="104" t="n"/>
      <c r="AI422" s="104" t="n"/>
      <c r="AJ422" s="104" t="n"/>
      <c r="AK422" s="104" t="n"/>
      <c r="AL422" s="104" t="n"/>
      <c r="AM422" s="104" t="n"/>
      <c r="AN422" s="104" t="n"/>
      <c r="AO422" s="104" t="n"/>
      <c r="AP422" s="104" t="n"/>
      <c r="AQ422" s="104" t="n"/>
      <c r="AR422" s="104" t="n"/>
      <c r="AS422" s="104" t="n"/>
      <c r="AT422" s="104" t="n"/>
      <c r="AU422" s="104" t="n"/>
      <c r="AV422" s="104" t="n"/>
      <c r="AW422" s="104" t="n"/>
      <c r="AX422" s="104" t="n"/>
      <c r="AY422" s="104" t="n"/>
      <c r="AZ422" s="104" t="n"/>
      <c r="BA422" s="104" t="n"/>
      <c r="BB422" s="104" t="n"/>
      <c r="BC422" s="104" t="n"/>
      <c r="BD422" s="104" t="n"/>
      <c r="BE422" s="104" t="n"/>
      <c r="BF422" s="104" t="n"/>
      <c r="BG422" s="104" t="n"/>
      <c r="BH422" s="104" t="n"/>
      <c r="BI422" s="104" t="n"/>
      <c r="BJ422" s="104" t="n"/>
      <c r="BK422" s="104" t="n"/>
      <c r="BL422" s="104" t="n"/>
      <c r="BM422" s="104" t="n"/>
      <c r="BN422" s="104" t="n"/>
      <c r="BO422" s="104" t="n"/>
      <c r="BP422" s="104" t="n"/>
      <c r="BQ422" s="104" t="n"/>
      <c r="BR422" s="104" t="n"/>
      <c r="BS422" s="104" t="n"/>
      <c r="BT422" s="104" t="n"/>
      <c r="BU422" s="104" t="n"/>
      <c r="BV422" s="104" t="n"/>
      <c r="BW422" s="104" t="n"/>
      <c r="BX422" s="104" t="n"/>
    </row>
    <row r="423">
      <c r="AC423" s="104" t="n"/>
      <c r="AD423" s="104" t="n"/>
      <c r="AE423" s="104" t="n"/>
      <c r="AF423" s="104" t="n"/>
      <c r="AG423" s="104" t="n"/>
      <c r="AH423" s="104" t="n"/>
      <c r="AI423" s="104" t="n"/>
      <c r="AJ423" s="104" t="n"/>
      <c r="AK423" s="104" t="n"/>
      <c r="AL423" s="104" t="n"/>
      <c r="AM423" s="104" t="n"/>
      <c r="AN423" s="104" t="n"/>
      <c r="AO423" s="104" t="n"/>
      <c r="AP423" s="104" t="n"/>
      <c r="AQ423" s="104" t="n"/>
      <c r="AR423" s="104" t="n"/>
      <c r="AS423" s="104" t="n"/>
      <c r="AT423" s="104" t="n"/>
      <c r="AU423" s="104" t="n"/>
      <c r="AV423" s="104" t="n"/>
      <c r="AW423" s="104" t="n"/>
      <c r="AX423" s="104" t="n"/>
      <c r="AY423" s="104" t="n"/>
      <c r="AZ423" s="104" t="n"/>
      <c r="BA423" s="104" t="n"/>
      <c r="BB423" s="104" t="n"/>
      <c r="BC423" s="104" t="n"/>
      <c r="BD423" s="104" t="n"/>
      <c r="BE423" s="104" t="n"/>
      <c r="BF423" s="104" t="n"/>
      <c r="BG423" s="104" t="n"/>
      <c r="BH423" s="104" t="n"/>
      <c r="BI423" s="104" t="n"/>
      <c r="BJ423" s="104" t="n"/>
      <c r="BK423" s="104" t="n"/>
      <c r="BL423" s="104" t="n"/>
      <c r="BM423" s="104" t="n"/>
      <c r="BN423" s="104" t="n"/>
      <c r="BO423" s="104" t="n"/>
      <c r="BP423" s="104" t="n"/>
      <c r="BQ423" s="104" t="n"/>
      <c r="BR423" s="104" t="n"/>
      <c r="BS423" s="104" t="n"/>
      <c r="BT423" s="104" t="n"/>
      <c r="BU423" s="104" t="n"/>
      <c r="BV423" s="104" t="n"/>
      <c r="BW423" s="104" t="n"/>
      <c r="BX423" s="104" t="n"/>
    </row>
    <row r="424">
      <c r="AC424" s="104" t="n"/>
      <c r="AD424" s="104" t="n"/>
      <c r="AE424" s="104" t="n"/>
      <c r="AF424" s="104" t="n"/>
      <c r="AG424" s="104" t="n"/>
      <c r="AH424" s="104" t="n"/>
      <c r="AI424" s="104" t="n"/>
      <c r="AJ424" s="104" t="n"/>
      <c r="AK424" s="104" t="n"/>
      <c r="AL424" s="104" t="n"/>
      <c r="AM424" s="104" t="n"/>
      <c r="AN424" s="104" t="n"/>
      <c r="AO424" s="104" t="n"/>
      <c r="AP424" s="104" t="n"/>
      <c r="AQ424" s="104" t="n"/>
      <c r="AR424" s="104" t="n"/>
      <c r="AS424" s="104" t="n"/>
      <c r="AT424" s="104" t="n"/>
      <c r="AU424" s="104" t="n"/>
      <c r="AV424" s="104" t="n"/>
      <c r="AW424" s="104" t="n"/>
      <c r="AX424" s="104" t="n"/>
      <c r="AY424" s="104" t="n"/>
      <c r="AZ424" s="104" t="n"/>
      <c r="BA424" s="104" t="n"/>
      <c r="BB424" s="104" t="n"/>
      <c r="BC424" s="104" t="n"/>
      <c r="BD424" s="104" t="n"/>
      <c r="BE424" s="104" t="n"/>
      <c r="BF424" s="104" t="n"/>
      <c r="BG424" s="104" t="n"/>
      <c r="BH424" s="104" t="n"/>
      <c r="BI424" s="104" t="n"/>
      <c r="BJ424" s="104" t="n"/>
      <c r="BK424" s="104" t="n"/>
      <c r="BL424" s="104" t="n"/>
      <c r="BM424" s="104" t="n"/>
      <c r="BN424" s="104" t="n"/>
      <c r="BO424" s="104" t="n"/>
      <c r="BP424" s="104" t="n"/>
      <c r="BQ424" s="104" t="n"/>
      <c r="BR424" s="104" t="n"/>
      <c r="BS424" s="104" t="n"/>
      <c r="BT424" s="104" t="n"/>
      <c r="BU424" s="104" t="n"/>
      <c r="BV424" s="104" t="n"/>
      <c r="BW424" s="104" t="n"/>
      <c r="BX424" s="104" t="n"/>
    </row>
    <row r="425">
      <c r="AC425" s="104" t="n"/>
      <c r="AD425" s="104" t="n"/>
      <c r="AE425" s="104" t="n"/>
      <c r="AF425" s="104" t="n"/>
      <c r="AG425" s="104" t="n"/>
      <c r="AH425" s="104" t="n"/>
      <c r="AI425" s="104" t="n"/>
      <c r="AJ425" s="104" t="n"/>
      <c r="AK425" s="104" t="n"/>
      <c r="AL425" s="104" t="n"/>
      <c r="AM425" s="104" t="n"/>
      <c r="AN425" s="104" t="n"/>
      <c r="AO425" s="104" t="n"/>
      <c r="AP425" s="104" t="n"/>
      <c r="AQ425" s="104" t="n"/>
      <c r="AR425" s="104" t="n"/>
      <c r="AS425" s="104" t="n"/>
      <c r="AT425" s="104" t="n"/>
      <c r="AU425" s="104" t="n"/>
      <c r="AV425" s="104" t="n"/>
      <c r="AW425" s="104" t="n"/>
      <c r="AX425" s="104" t="n"/>
      <c r="AY425" s="104" t="n"/>
      <c r="AZ425" s="104" t="n"/>
      <c r="BA425" s="104" t="n"/>
      <c r="BB425" s="104" t="n"/>
      <c r="BC425" s="104" t="n"/>
      <c r="BD425" s="104" t="n"/>
      <c r="BE425" s="104" t="n"/>
      <c r="BF425" s="104" t="n"/>
      <c r="BG425" s="104" t="n"/>
      <c r="BH425" s="104" t="n"/>
      <c r="BI425" s="104" t="n"/>
      <c r="BJ425" s="104" t="n"/>
      <c r="BK425" s="104" t="n"/>
      <c r="BL425" s="104" t="n"/>
      <c r="BM425" s="104" t="n"/>
      <c r="BN425" s="104" t="n"/>
      <c r="BO425" s="104" t="n"/>
      <c r="BP425" s="104" t="n"/>
      <c r="BQ425" s="104" t="n"/>
      <c r="BR425" s="104" t="n"/>
      <c r="BS425" s="104" t="n"/>
      <c r="BT425" s="104" t="n"/>
      <c r="BU425" s="104" t="n"/>
      <c r="BV425" s="104" t="n"/>
      <c r="BW425" s="104" t="n"/>
      <c r="BX425" s="104" t="n"/>
    </row>
    <row r="426">
      <c r="AC426" s="104" t="n"/>
      <c r="AD426" s="104" t="n"/>
      <c r="AE426" s="104" t="n"/>
      <c r="AF426" s="104" t="n"/>
      <c r="AG426" s="104" t="n"/>
      <c r="AH426" s="104" t="n"/>
      <c r="AI426" s="104" t="n"/>
      <c r="AJ426" s="104" t="n"/>
      <c r="AK426" s="104" t="n"/>
      <c r="AL426" s="104" t="n"/>
      <c r="AM426" s="104" t="n"/>
      <c r="AN426" s="104" t="n"/>
      <c r="AO426" s="104" t="n"/>
      <c r="AP426" s="104" t="n"/>
      <c r="AQ426" s="104" t="n"/>
      <c r="AR426" s="104" t="n"/>
      <c r="AS426" s="104" t="n"/>
      <c r="AT426" s="104" t="n"/>
      <c r="AU426" s="104" t="n"/>
      <c r="AV426" s="104" t="n"/>
      <c r="AW426" s="104" t="n"/>
      <c r="AX426" s="104" t="n"/>
      <c r="AY426" s="104" t="n"/>
      <c r="AZ426" s="104" t="n"/>
      <c r="BA426" s="104" t="n"/>
      <c r="BB426" s="104" t="n"/>
      <c r="BC426" s="104" t="n"/>
      <c r="BD426" s="104" t="n"/>
      <c r="BE426" s="104" t="n"/>
      <c r="BF426" s="104" t="n"/>
      <c r="BG426" s="104" t="n"/>
      <c r="BH426" s="104" t="n"/>
      <c r="BI426" s="104" t="n"/>
      <c r="BJ426" s="104" t="n"/>
      <c r="BK426" s="104" t="n"/>
      <c r="BL426" s="104" t="n"/>
      <c r="BM426" s="104" t="n"/>
      <c r="BN426" s="104" t="n"/>
      <c r="BO426" s="104" t="n"/>
      <c r="BP426" s="104" t="n"/>
      <c r="BQ426" s="104" t="n"/>
      <c r="BR426" s="104" t="n"/>
      <c r="BS426" s="104" t="n"/>
      <c r="BT426" s="104" t="n"/>
      <c r="BU426" s="104" t="n"/>
      <c r="BV426" s="104" t="n"/>
      <c r="BW426" s="104" t="n"/>
      <c r="BX426" s="104" t="n"/>
    </row>
    <row r="427">
      <c r="AC427" s="104" t="n"/>
      <c r="AD427" s="104" t="n"/>
      <c r="AE427" s="104" t="n"/>
      <c r="AF427" s="104" t="n"/>
      <c r="AG427" s="104" t="n"/>
      <c r="AH427" s="104" t="n"/>
      <c r="AI427" s="104" t="n"/>
      <c r="AJ427" s="104" t="n"/>
      <c r="AK427" s="104" t="n"/>
      <c r="AL427" s="104" t="n"/>
      <c r="AM427" s="104" t="n"/>
      <c r="AN427" s="104" t="n"/>
      <c r="AO427" s="104" t="n"/>
      <c r="AP427" s="104" t="n"/>
      <c r="AQ427" s="104" t="n"/>
      <c r="AR427" s="104" t="n"/>
      <c r="AS427" s="104" t="n"/>
      <c r="AT427" s="104" t="n"/>
      <c r="AU427" s="104" t="n"/>
      <c r="AV427" s="104" t="n"/>
      <c r="AW427" s="104" t="n"/>
      <c r="AX427" s="104" t="n"/>
      <c r="AY427" s="104" t="n"/>
      <c r="AZ427" s="104" t="n"/>
      <c r="BA427" s="104" t="n"/>
      <c r="BB427" s="104" t="n"/>
      <c r="BC427" s="104" t="n"/>
      <c r="BD427" s="104" t="n"/>
      <c r="BE427" s="104" t="n"/>
      <c r="BF427" s="104" t="n"/>
      <c r="BG427" s="104" t="n"/>
      <c r="BH427" s="104" t="n"/>
      <c r="BI427" s="104" t="n"/>
      <c r="BJ427" s="104" t="n"/>
      <c r="BK427" s="104" t="n"/>
      <c r="BL427" s="104" t="n"/>
      <c r="BM427" s="104" t="n"/>
      <c r="BN427" s="104" t="n"/>
      <c r="BO427" s="104" t="n"/>
      <c r="BP427" s="104" t="n"/>
      <c r="BQ427" s="104" t="n"/>
      <c r="BR427" s="104" t="n"/>
      <c r="BS427" s="104" t="n"/>
      <c r="BT427" s="104" t="n"/>
      <c r="BU427" s="104" t="n"/>
      <c r="BV427" s="104" t="n"/>
      <c r="BW427" s="104" t="n"/>
      <c r="BX427" s="104" t="n"/>
    </row>
    <row r="428">
      <c r="AC428" s="104" t="n"/>
      <c r="AD428" s="104" t="n"/>
      <c r="AE428" s="104" t="n"/>
      <c r="AF428" s="104" t="n"/>
      <c r="AG428" s="104" t="n"/>
      <c r="AH428" s="104" t="n"/>
      <c r="AI428" s="104" t="n"/>
      <c r="AJ428" s="104" t="n"/>
      <c r="AK428" s="104" t="n"/>
      <c r="AL428" s="104" t="n"/>
      <c r="AM428" s="104" t="n"/>
      <c r="AN428" s="104" t="n"/>
      <c r="AO428" s="104" t="n"/>
      <c r="AP428" s="104" t="n"/>
      <c r="AQ428" s="104" t="n"/>
      <c r="AR428" s="104" t="n"/>
      <c r="AS428" s="104" t="n"/>
      <c r="AT428" s="104" t="n"/>
      <c r="AU428" s="104" t="n"/>
      <c r="AV428" s="104" t="n"/>
      <c r="AW428" s="104" t="n"/>
      <c r="AX428" s="104" t="n"/>
      <c r="AY428" s="104" t="n"/>
      <c r="AZ428" s="104" t="n"/>
      <c r="BA428" s="104" t="n"/>
      <c r="BB428" s="104" t="n"/>
      <c r="BC428" s="104" t="n"/>
      <c r="BD428" s="104" t="n"/>
      <c r="BE428" s="104" t="n"/>
      <c r="BF428" s="104" t="n"/>
      <c r="BG428" s="104" t="n"/>
      <c r="BH428" s="104" t="n"/>
      <c r="BI428" s="104" t="n"/>
      <c r="BJ428" s="104" t="n"/>
      <c r="BK428" s="104" t="n"/>
      <c r="BL428" s="104" t="n"/>
      <c r="BM428" s="104" t="n"/>
      <c r="BN428" s="104" t="n"/>
      <c r="BO428" s="104" t="n"/>
      <c r="BP428" s="104" t="n"/>
      <c r="BQ428" s="104" t="n"/>
      <c r="BR428" s="104" t="n"/>
      <c r="BS428" s="104" t="n"/>
      <c r="BT428" s="104" t="n"/>
      <c r="BU428" s="104" t="n"/>
      <c r="BV428" s="104" t="n"/>
      <c r="BW428" s="104" t="n"/>
      <c r="BX428" s="104" t="n"/>
    </row>
    <row r="429">
      <c r="AC429" s="104" t="n"/>
      <c r="AD429" s="104" t="n"/>
      <c r="AE429" s="104" t="n"/>
      <c r="AF429" s="104" t="n"/>
      <c r="AG429" s="104" t="n"/>
      <c r="AH429" s="104" t="n"/>
      <c r="AI429" s="104" t="n"/>
      <c r="AJ429" s="104" t="n"/>
      <c r="AK429" s="104" t="n"/>
      <c r="AL429" s="104" t="n"/>
      <c r="AM429" s="104" t="n"/>
      <c r="AN429" s="104" t="n"/>
      <c r="AO429" s="104" t="n"/>
      <c r="AP429" s="104" t="n"/>
      <c r="AQ429" s="104" t="n"/>
      <c r="AR429" s="104" t="n"/>
      <c r="AS429" s="104" t="n"/>
      <c r="AT429" s="104" t="n"/>
      <c r="AU429" s="104" t="n"/>
      <c r="AV429" s="104" t="n"/>
      <c r="AW429" s="104" t="n"/>
      <c r="AX429" s="104" t="n"/>
      <c r="AY429" s="104" t="n"/>
      <c r="AZ429" s="104" t="n"/>
      <c r="BA429" s="104" t="n"/>
      <c r="BB429" s="104" t="n"/>
      <c r="BC429" s="104" t="n"/>
      <c r="BD429" s="104" t="n"/>
      <c r="BE429" s="104" t="n"/>
      <c r="BF429" s="104" t="n"/>
      <c r="BG429" s="104" t="n"/>
      <c r="BH429" s="104" t="n"/>
      <c r="BI429" s="104" t="n"/>
      <c r="BJ429" s="104" t="n"/>
      <c r="BK429" s="104" t="n"/>
      <c r="BL429" s="104" t="n"/>
      <c r="BM429" s="104" t="n"/>
      <c r="BN429" s="104" t="n"/>
      <c r="BO429" s="104" t="n"/>
      <c r="BP429" s="104" t="n"/>
      <c r="BQ429" s="104" t="n"/>
      <c r="BR429" s="104" t="n"/>
      <c r="BS429" s="104" t="n"/>
      <c r="BT429" s="104" t="n"/>
      <c r="BU429" s="104" t="n"/>
      <c r="BV429" s="104" t="n"/>
      <c r="BW429" s="104" t="n"/>
      <c r="BX429" s="104" t="n"/>
    </row>
    <row r="430">
      <c r="AC430" s="104" t="n"/>
      <c r="AD430" s="104" t="n"/>
      <c r="AE430" s="104" t="n"/>
      <c r="AF430" s="104" t="n"/>
      <c r="AG430" s="104" t="n"/>
      <c r="AH430" s="104" t="n"/>
      <c r="AI430" s="104" t="n"/>
      <c r="AJ430" s="104" t="n"/>
      <c r="AK430" s="104" t="n"/>
      <c r="AL430" s="104" t="n"/>
      <c r="AM430" s="104" t="n"/>
      <c r="AN430" s="104" t="n"/>
      <c r="AO430" s="104" t="n"/>
      <c r="AP430" s="104" t="n"/>
      <c r="AQ430" s="104" t="n"/>
      <c r="AR430" s="104" t="n"/>
      <c r="AS430" s="104" t="n"/>
      <c r="AT430" s="104" t="n"/>
      <c r="AU430" s="104" t="n"/>
      <c r="AV430" s="104" t="n"/>
      <c r="AW430" s="104" t="n"/>
      <c r="AX430" s="104" t="n"/>
      <c r="AY430" s="104" t="n"/>
      <c r="AZ430" s="104" t="n"/>
      <c r="BA430" s="104" t="n"/>
      <c r="BB430" s="104" t="n"/>
      <c r="BC430" s="104" t="n"/>
      <c r="BD430" s="104" t="n"/>
      <c r="BE430" s="104" t="n"/>
      <c r="BF430" s="104" t="n"/>
      <c r="BG430" s="104" t="n"/>
      <c r="BH430" s="104" t="n"/>
      <c r="BI430" s="104" t="n"/>
      <c r="BJ430" s="104" t="n"/>
      <c r="BK430" s="104" t="n"/>
      <c r="BL430" s="104" t="n"/>
      <c r="BM430" s="104" t="n"/>
      <c r="BN430" s="104" t="n"/>
      <c r="BO430" s="104" t="n"/>
      <c r="BP430" s="104" t="n"/>
      <c r="BQ430" s="104" t="n"/>
      <c r="BR430" s="104" t="n"/>
      <c r="BS430" s="104" t="n"/>
      <c r="BT430" s="104" t="n"/>
      <c r="BU430" s="104" t="n"/>
      <c r="BV430" s="104" t="n"/>
      <c r="BW430" s="104" t="n"/>
      <c r="BX430" s="104" t="n"/>
    </row>
    <row r="431">
      <c r="AC431" s="104" t="n"/>
      <c r="AD431" s="104" t="n"/>
      <c r="AE431" s="104" t="n"/>
      <c r="AF431" s="104" t="n"/>
      <c r="AG431" s="104" t="n"/>
      <c r="AH431" s="104" t="n"/>
      <c r="AI431" s="104" t="n"/>
      <c r="AJ431" s="104" t="n"/>
      <c r="AK431" s="104" t="n"/>
      <c r="AL431" s="104" t="n"/>
      <c r="AM431" s="104" t="n"/>
      <c r="AN431" s="104" t="n"/>
      <c r="AO431" s="104" t="n"/>
      <c r="AP431" s="104" t="n"/>
      <c r="AQ431" s="104" t="n"/>
      <c r="AR431" s="104" t="n"/>
      <c r="AS431" s="104" t="n"/>
      <c r="AT431" s="104" t="n"/>
      <c r="AU431" s="104" t="n"/>
      <c r="AV431" s="104" t="n"/>
      <c r="AW431" s="104" t="n"/>
      <c r="AX431" s="104" t="n"/>
      <c r="AY431" s="104" t="n"/>
      <c r="AZ431" s="104" t="n"/>
      <c r="BA431" s="104" t="n"/>
      <c r="BB431" s="104" t="n"/>
      <c r="BC431" s="104" t="n"/>
      <c r="BD431" s="104" t="n"/>
      <c r="BE431" s="104" t="n"/>
      <c r="BF431" s="104" t="n"/>
      <c r="BG431" s="104" t="n"/>
      <c r="BH431" s="104" t="n"/>
      <c r="BI431" s="104" t="n"/>
      <c r="BJ431" s="104" t="n"/>
      <c r="BK431" s="104" t="n"/>
      <c r="BL431" s="104" t="n"/>
      <c r="BM431" s="104" t="n"/>
      <c r="BN431" s="104" t="n"/>
      <c r="BO431" s="104" t="n"/>
      <c r="BP431" s="104" t="n"/>
      <c r="BQ431" s="104" t="n"/>
      <c r="BR431" s="104" t="n"/>
      <c r="BS431" s="104" t="n"/>
      <c r="BT431" s="104" t="n"/>
      <c r="BU431" s="104" t="n"/>
      <c r="BV431" s="104" t="n"/>
      <c r="BW431" s="104" t="n"/>
      <c r="BX431" s="104" t="n"/>
    </row>
    <row r="432">
      <c r="AC432" s="104" t="n"/>
      <c r="AD432" s="104" t="n"/>
      <c r="AE432" s="104" t="n"/>
      <c r="AF432" s="104" t="n"/>
      <c r="AG432" s="104" t="n"/>
      <c r="AH432" s="104" t="n"/>
      <c r="AI432" s="104" t="n"/>
      <c r="AJ432" s="104" t="n"/>
      <c r="AK432" s="104" t="n"/>
      <c r="AL432" s="104" t="n"/>
      <c r="AM432" s="104" t="n"/>
      <c r="AN432" s="104" t="n"/>
      <c r="AO432" s="104" t="n"/>
      <c r="AP432" s="104" t="n"/>
      <c r="AQ432" s="104" t="n"/>
      <c r="AR432" s="104" t="n"/>
      <c r="AS432" s="104" t="n"/>
      <c r="AT432" s="104" t="n"/>
      <c r="AU432" s="104" t="n"/>
      <c r="AV432" s="104" t="n"/>
      <c r="AW432" s="104" t="n"/>
      <c r="AX432" s="104" t="n"/>
      <c r="AY432" s="104" t="n"/>
      <c r="AZ432" s="104" t="n"/>
      <c r="BA432" s="104" t="n"/>
      <c r="BB432" s="104" t="n"/>
      <c r="BC432" s="104" t="n"/>
      <c r="BD432" s="104" t="n"/>
      <c r="BE432" s="104" t="n"/>
      <c r="BF432" s="104" t="n"/>
      <c r="BG432" s="104" t="n"/>
      <c r="BH432" s="104" t="n"/>
      <c r="BI432" s="104" t="n"/>
      <c r="BJ432" s="104" t="n"/>
      <c r="BK432" s="104" t="n"/>
      <c r="BL432" s="104" t="n"/>
      <c r="BM432" s="104" t="n"/>
      <c r="BN432" s="104" t="n"/>
      <c r="BO432" s="104" t="n"/>
      <c r="BP432" s="104" t="n"/>
      <c r="BQ432" s="104" t="n"/>
      <c r="BR432" s="104" t="n"/>
      <c r="BS432" s="104" t="n"/>
      <c r="BT432" s="104" t="n"/>
      <c r="BU432" s="104" t="n"/>
      <c r="BV432" s="104" t="n"/>
      <c r="BW432" s="104" t="n"/>
      <c r="BX432" s="104" t="n"/>
    </row>
    <row r="433">
      <c r="AC433" s="104" t="n"/>
      <c r="AD433" s="104" t="n"/>
      <c r="AE433" s="104" t="n"/>
      <c r="AF433" s="104" t="n"/>
      <c r="AG433" s="104" t="n"/>
      <c r="AH433" s="104" t="n"/>
      <c r="AI433" s="104" t="n"/>
      <c r="AJ433" s="104" t="n"/>
      <c r="AK433" s="104" t="n"/>
      <c r="AL433" s="104" t="n"/>
      <c r="AM433" s="104" t="n"/>
      <c r="AN433" s="104" t="n"/>
      <c r="AO433" s="104" t="n"/>
      <c r="AP433" s="104" t="n"/>
      <c r="AQ433" s="104" t="n"/>
      <c r="AR433" s="104" t="n"/>
      <c r="AS433" s="104" t="n"/>
      <c r="AT433" s="104" t="n"/>
      <c r="AU433" s="104" t="n"/>
      <c r="AV433" s="104" t="n"/>
      <c r="AW433" s="104" t="n"/>
      <c r="AX433" s="104" t="n"/>
      <c r="AY433" s="104" t="n"/>
      <c r="AZ433" s="104" t="n"/>
      <c r="BA433" s="104" t="n"/>
      <c r="BB433" s="104" t="n"/>
      <c r="BC433" s="104" t="n"/>
      <c r="BD433" s="104" t="n"/>
      <c r="BE433" s="104" t="n"/>
      <c r="BF433" s="104" t="n"/>
      <c r="BG433" s="104" t="n"/>
      <c r="BH433" s="104" t="n"/>
      <c r="BI433" s="104" t="n"/>
      <c r="BJ433" s="104" t="n"/>
      <c r="BK433" s="104" t="n"/>
      <c r="BL433" s="104" t="n"/>
      <c r="BM433" s="104" t="n"/>
      <c r="BN433" s="104" t="n"/>
      <c r="BO433" s="104" t="n"/>
      <c r="BP433" s="104" t="n"/>
      <c r="BQ433" s="104" t="n"/>
      <c r="BR433" s="104" t="n"/>
      <c r="BS433" s="104" t="n"/>
      <c r="BT433" s="104" t="n"/>
      <c r="BU433" s="104" t="n"/>
      <c r="BV433" s="104" t="n"/>
      <c r="BW433" s="104" t="n"/>
      <c r="BX433" s="104" t="n"/>
    </row>
    <row r="434">
      <c r="AC434" s="104" t="n"/>
      <c r="AD434" s="104" t="n"/>
      <c r="AE434" s="104" t="n"/>
      <c r="AF434" s="104" t="n"/>
      <c r="AG434" s="104" t="n"/>
      <c r="AH434" s="104" t="n"/>
      <c r="AI434" s="104" t="n"/>
      <c r="AJ434" s="104" t="n"/>
      <c r="AK434" s="104" t="n"/>
      <c r="AL434" s="104" t="n"/>
      <c r="AM434" s="104" t="n"/>
      <c r="AN434" s="104" t="n"/>
      <c r="AO434" s="104" t="n"/>
      <c r="AP434" s="104" t="n"/>
      <c r="AQ434" s="104" t="n"/>
      <c r="AR434" s="104" t="n"/>
      <c r="AS434" s="104" t="n"/>
      <c r="AT434" s="104" t="n"/>
      <c r="AU434" s="104" t="n"/>
      <c r="AV434" s="104" t="n"/>
      <c r="AW434" s="104" t="n"/>
      <c r="AX434" s="104" t="n"/>
      <c r="AY434" s="104" t="n"/>
      <c r="AZ434" s="104" t="n"/>
      <c r="BA434" s="104" t="n"/>
      <c r="BB434" s="104" t="n"/>
      <c r="BC434" s="104" t="n"/>
      <c r="BD434" s="104" t="n"/>
      <c r="BE434" s="104" t="n"/>
      <c r="BF434" s="104" t="n"/>
      <c r="BG434" s="104" t="n"/>
      <c r="BH434" s="104" t="n"/>
      <c r="BI434" s="104" t="n"/>
      <c r="BJ434" s="104" t="n"/>
      <c r="BK434" s="104" t="n"/>
      <c r="BL434" s="104" t="n"/>
      <c r="BM434" s="104" t="n"/>
      <c r="BN434" s="104" t="n"/>
      <c r="BO434" s="104" t="n"/>
      <c r="BP434" s="104" t="n"/>
      <c r="BQ434" s="104" t="n"/>
      <c r="BR434" s="104" t="n"/>
      <c r="BS434" s="104" t="n"/>
      <c r="BT434" s="104" t="n"/>
      <c r="BU434" s="104" t="n"/>
      <c r="BV434" s="104" t="n"/>
      <c r="BW434" s="104" t="n"/>
      <c r="BX434" s="104" t="n"/>
    </row>
    <row r="435">
      <c r="AC435" s="104" t="n"/>
      <c r="AD435" s="104" t="n"/>
      <c r="AE435" s="104" t="n"/>
      <c r="AF435" s="104" t="n"/>
      <c r="AG435" s="104" t="n"/>
      <c r="AH435" s="104" t="n"/>
      <c r="AI435" s="104" t="n"/>
      <c r="AJ435" s="104" t="n"/>
      <c r="AK435" s="104" t="n"/>
      <c r="AL435" s="104" t="n"/>
      <c r="AM435" s="104" t="n"/>
      <c r="AN435" s="104" t="n"/>
      <c r="AO435" s="104" t="n"/>
      <c r="AP435" s="104" t="n"/>
      <c r="AQ435" s="104" t="n"/>
      <c r="AR435" s="104" t="n"/>
      <c r="AS435" s="104" t="n"/>
      <c r="AT435" s="104" t="n"/>
      <c r="AU435" s="104" t="n"/>
      <c r="AV435" s="104" t="n"/>
      <c r="AW435" s="104" t="n"/>
      <c r="AX435" s="104" t="n"/>
      <c r="AY435" s="104" t="n"/>
      <c r="AZ435" s="104" t="n"/>
      <c r="BA435" s="104" t="n"/>
      <c r="BB435" s="104" t="n"/>
      <c r="BC435" s="104" t="n"/>
      <c r="BD435" s="104" t="n"/>
      <c r="BE435" s="104" t="n"/>
      <c r="BF435" s="104" t="n"/>
      <c r="BG435" s="104" t="n"/>
      <c r="BH435" s="104" t="n"/>
      <c r="BI435" s="104" t="n"/>
      <c r="BJ435" s="104" t="n"/>
      <c r="BK435" s="104" t="n"/>
      <c r="BL435" s="104" t="n"/>
      <c r="BM435" s="104" t="n"/>
      <c r="BN435" s="104" t="n"/>
      <c r="BO435" s="104" t="n"/>
      <c r="BP435" s="104" t="n"/>
      <c r="BQ435" s="104" t="n"/>
      <c r="BR435" s="104" t="n"/>
      <c r="BS435" s="104" t="n"/>
      <c r="BT435" s="104" t="n"/>
      <c r="BU435" s="104" t="n"/>
      <c r="BV435" s="104" t="n"/>
      <c r="BW435" s="104" t="n"/>
      <c r="BX435" s="104" t="n"/>
    </row>
    <row r="436">
      <c r="AC436" s="104" t="n"/>
      <c r="AD436" s="104" t="n"/>
      <c r="AE436" s="104" t="n"/>
      <c r="AF436" s="104" t="n"/>
      <c r="AG436" s="104" t="n"/>
      <c r="AH436" s="104" t="n"/>
      <c r="AI436" s="104" t="n"/>
      <c r="AJ436" s="104" t="n"/>
      <c r="AK436" s="104" t="n"/>
      <c r="AL436" s="104" t="n"/>
      <c r="AM436" s="104" t="n"/>
      <c r="AN436" s="104" t="n"/>
      <c r="AO436" s="104" t="n"/>
      <c r="AP436" s="104" t="n"/>
      <c r="AQ436" s="104" t="n"/>
      <c r="AR436" s="104" t="n"/>
      <c r="AS436" s="104" t="n"/>
      <c r="AT436" s="104" t="n"/>
      <c r="AU436" s="104" t="n"/>
      <c r="AV436" s="104" t="n"/>
      <c r="AW436" s="104" t="n"/>
      <c r="AX436" s="104" t="n"/>
      <c r="AY436" s="104" t="n"/>
      <c r="AZ436" s="104" t="n"/>
      <c r="BA436" s="104" t="n"/>
      <c r="BB436" s="104" t="n"/>
      <c r="BC436" s="104" t="n"/>
      <c r="BD436" s="104" t="n"/>
      <c r="BE436" s="104" t="n"/>
      <c r="BF436" s="104" t="n"/>
      <c r="BG436" s="104" t="n"/>
      <c r="BH436" s="104" t="n"/>
      <c r="BI436" s="104" t="n"/>
      <c r="BJ436" s="104" t="n"/>
      <c r="BK436" s="104" t="n"/>
      <c r="BL436" s="104" t="n"/>
      <c r="BM436" s="104" t="n"/>
      <c r="BN436" s="104" t="n"/>
      <c r="BO436" s="104" t="n"/>
      <c r="BP436" s="104" t="n"/>
      <c r="BQ436" s="104" t="n"/>
      <c r="BR436" s="104" t="n"/>
      <c r="BS436" s="104" t="n"/>
      <c r="BT436" s="104" t="n"/>
      <c r="BU436" s="104" t="n"/>
      <c r="BV436" s="104" t="n"/>
      <c r="BW436" s="104" t="n"/>
      <c r="BX436" s="104" t="n"/>
    </row>
    <row r="437">
      <c r="AC437" s="104" t="n"/>
      <c r="AD437" s="104" t="n"/>
      <c r="AE437" s="104" t="n"/>
      <c r="AF437" s="104" t="n"/>
      <c r="AG437" s="104" t="n"/>
      <c r="AH437" s="104" t="n"/>
      <c r="AI437" s="104" t="n"/>
      <c r="AJ437" s="104" t="n"/>
      <c r="AK437" s="104" t="n"/>
      <c r="AL437" s="104" t="n"/>
      <c r="AM437" s="104" t="n"/>
      <c r="AN437" s="104" t="n"/>
      <c r="AO437" s="104" t="n"/>
      <c r="AP437" s="104" t="n"/>
      <c r="AQ437" s="104" t="n"/>
      <c r="AR437" s="104" t="n"/>
      <c r="AS437" s="104" t="n"/>
      <c r="AT437" s="104" t="n"/>
      <c r="AU437" s="104" t="n"/>
      <c r="AV437" s="104" t="n"/>
      <c r="AW437" s="104" t="n"/>
      <c r="AX437" s="104" t="n"/>
      <c r="AY437" s="104" t="n"/>
      <c r="AZ437" s="104" t="n"/>
      <c r="BA437" s="104" t="n"/>
      <c r="BB437" s="104" t="n"/>
      <c r="BC437" s="104" t="n"/>
      <c r="BD437" s="104" t="n"/>
      <c r="BE437" s="104" t="n"/>
      <c r="BF437" s="104" t="n"/>
      <c r="BG437" s="104" t="n"/>
      <c r="BH437" s="104" t="n"/>
      <c r="BI437" s="104" t="n"/>
      <c r="BJ437" s="104" t="n"/>
      <c r="BK437" s="104" t="n"/>
      <c r="BL437" s="104" t="n"/>
      <c r="BM437" s="104" t="n"/>
      <c r="BN437" s="104" t="n"/>
      <c r="BO437" s="104" t="n"/>
      <c r="BP437" s="104" t="n"/>
      <c r="BQ437" s="104" t="n"/>
      <c r="BR437" s="104" t="n"/>
      <c r="BS437" s="104" t="n"/>
      <c r="BT437" s="104" t="n"/>
      <c r="BU437" s="104" t="n"/>
      <c r="BV437" s="104" t="n"/>
      <c r="BW437" s="104" t="n"/>
      <c r="BX437" s="104" t="n"/>
    </row>
    <row r="438">
      <c r="AC438" s="104" t="n"/>
      <c r="AD438" s="104" t="n"/>
      <c r="AE438" s="104" t="n"/>
      <c r="AF438" s="104" t="n"/>
      <c r="AG438" s="104" t="n"/>
      <c r="AH438" s="104" t="n"/>
      <c r="AI438" s="104" t="n"/>
      <c r="AJ438" s="104" t="n"/>
      <c r="AK438" s="104" t="n"/>
      <c r="AL438" s="104" t="n"/>
      <c r="AM438" s="104" t="n"/>
      <c r="AN438" s="104" t="n"/>
      <c r="AO438" s="104" t="n"/>
      <c r="AP438" s="104" t="n"/>
      <c r="AQ438" s="104" t="n"/>
      <c r="AR438" s="104" t="n"/>
      <c r="AS438" s="104" t="n"/>
      <c r="AT438" s="104" t="n"/>
      <c r="AU438" s="104" t="n"/>
      <c r="AV438" s="104" t="n"/>
      <c r="AW438" s="104" t="n"/>
      <c r="AX438" s="104" t="n"/>
      <c r="AY438" s="104" t="n"/>
      <c r="AZ438" s="104" t="n"/>
      <c r="BA438" s="104" t="n"/>
      <c r="BB438" s="104" t="n"/>
      <c r="BC438" s="104" t="n"/>
      <c r="BD438" s="104" t="n"/>
      <c r="BE438" s="104" t="n"/>
      <c r="BF438" s="104" t="n"/>
      <c r="BG438" s="104" t="n"/>
      <c r="BH438" s="104" t="n"/>
      <c r="BI438" s="104" t="n"/>
      <c r="BJ438" s="104" t="n"/>
      <c r="BK438" s="104" t="n"/>
      <c r="BL438" s="104" t="n"/>
      <c r="BM438" s="104" t="n"/>
      <c r="BN438" s="104" t="n"/>
      <c r="BO438" s="104" t="n"/>
      <c r="BP438" s="104" t="n"/>
      <c r="BQ438" s="104" t="n"/>
      <c r="BR438" s="104" t="n"/>
      <c r="BS438" s="104" t="n"/>
      <c r="BT438" s="104" t="n"/>
      <c r="BU438" s="104" t="n"/>
      <c r="BV438" s="104" t="n"/>
      <c r="BW438" s="104" t="n"/>
      <c r="BX438" s="104" t="n"/>
    </row>
    <row r="439">
      <c r="AC439" s="104" t="n"/>
      <c r="AD439" s="104" t="n"/>
      <c r="AE439" s="104" t="n"/>
      <c r="AF439" s="104" t="n"/>
      <c r="AG439" s="104" t="n"/>
      <c r="AH439" s="104" t="n"/>
      <c r="AI439" s="104" t="n"/>
      <c r="AJ439" s="104" t="n"/>
      <c r="AK439" s="104" t="n"/>
      <c r="AL439" s="104" t="n"/>
      <c r="AM439" s="104" t="n"/>
      <c r="AN439" s="104" t="n"/>
      <c r="AO439" s="104" t="n"/>
      <c r="AP439" s="104" t="n"/>
      <c r="AQ439" s="104" t="n"/>
      <c r="AR439" s="104" t="n"/>
      <c r="AS439" s="104" t="n"/>
      <c r="AT439" s="104" t="n"/>
      <c r="AU439" s="104" t="n"/>
      <c r="AV439" s="104" t="n"/>
      <c r="AW439" s="104" t="n"/>
      <c r="AX439" s="104" t="n"/>
      <c r="AY439" s="104" t="n"/>
      <c r="AZ439" s="104" t="n"/>
      <c r="BA439" s="104" t="n"/>
      <c r="BB439" s="104" t="n"/>
      <c r="BC439" s="104" t="n"/>
      <c r="BD439" s="104" t="n"/>
      <c r="BE439" s="104" t="n"/>
      <c r="BF439" s="104" t="n"/>
      <c r="BG439" s="104" t="n"/>
      <c r="BH439" s="104" t="n"/>
      <c r="BI439" s="104" t="n"/>
      <c r="BJ439" s="104" t="n"/>
      <c r="BK439" s="104" t="n"/>
      <c r="BL439" s="104" t="n"/>
      <c r="BM439" s="104" t="n"/>
      <c r="BN439" s="104" t="n"/>
      <c r="BO439" s="104" t="n"/>
      <c r="BP439" s="104" t="n"/>
      <c r="BQ439" s="104" t="n"/>
      <c r="BR439" s="104" t="n"/>
      <c r="BS439" s="104" t="n"/>
      <c r="BT439" s="104" t="n"/>
      <c r="BU439" s="104" t="n"/>
      <c r="BV439" s="104" t="n"/>
      <c r="BW439" s="104" t="n"/>
      <c r="BX439" s="104" t="n"/>
    </row>
    <row r="440">
      <c r="AC440" s="104" t="n"/>
      <c r="AD440" s="104" t="n"/>
      <c r="AE440" s="104" t="n"/>
      <c r="AF440" s="104" t="n"/>
      <c r="AG440" s="104" t="n"/>
      <c r="AH440" s="104" t="n"/>
      <c r="AI440" s="104" t="n"/>
      <c r="AJ440" s="104" t="n"/>
      <c r="AK440" s="104" t="n"/>
      <c r="AL440" s="104" t="n"/>
      <c r="AM440" s="104" t="n"/>
      <c r="AN440" s="104" t="n"/>
      <c r="AO440" s="104" t="n"/>
      <c r="AP440" s="104" t="n"/>
      <c r="AQ440" s="104" t="n"/>
      <c r="AR440" s="104" t="n"/>
      <c r="AS440" s="104" t="n"/>
      <c r="AT440" s="104" t="n"/>
      <c r="AU440" s="104" t="n"/>
      <c r="AV440" s="104" t="n"/>
      <c r="AW440" s="104" t="n"/>
      <c r="AX440" s="104" t="n"/>
      <c r="AY440" s="104" t="n"/>
      <c r="AZ440" s="104" t="n"/>
      <c r="BA440" s="104" t="n"/>
      <c r="BB440" s="104" t="n"/>
      <c r="BC440" s="104" t="n"/>
      <c r="BD440" s="104" t="n"/>
      <c r="BE440" s="104" t="n"/>
      <c r="BF440" s="104" t="n"/>
      <c r="BG440" s="104" t="n"/>
      <c r="BH440" s="104" t="n"/>
      <c r="BI440" s="104" t="n"/>
      <c r="BJ440" s="104" t="n"/>
      <c r="BK440" s="104" t="n"/>
      <c r="BL440" s="104" t="n"/>
      <c r="BM440" s="104" t="n"/>
      <c r="BN440" s="104" t="n"/>
      <c r="BO440" s="104" t="n"/>
      <c r="BP440" s="104" t="n"/>
      <c r="BQ440" s="104" t="n"/>
      <c r="BR440" s="104" t="n"/>
      <c r="BS440" s="104" t="n"/>
      <c r="BT440" s="104" t="n"/>
      <c r="BU440" s="104" t="n"/>
      <c r="BV440" s="104" t="n"/>
      <c r="BW440" s="104" t="n"/>
      <c r="BX440" s="104" t="n"/>
    </row>
    <row r="441">
      <c r="AC441" s="104" t="n"/>
      <c r="AD441" s="104" t="n"/>
      <c r="AE441" s="104" t="n"/>
      <c r="AF441" s="104" t="n"/>
      <c r="AG441" s="104" t="n"/>
      <c r="AH441" s="104" t="n"/>
      <c r="AI441" s="104" t="n"/>
      <c r="AJ441" s="104" t="n"/>
      <c r="AK441" s="104" t="n"/>
      <c r="AL441" s="104" t="n"/>
      <c r="AM441" s="104" t="n"/>
      <c r="AN441" s="104" t="n"/>
      <c r="AO441" s="104" t="n"/>
      <c r="AP441" s="104" t="n"/>
      <c r="AQ441" s="104" t="n"/>
      <c r="AR441" s="104" t="n"/>
      <c r="AS441" s="104" t="n"/>
      <c r="AT441" s="104" t="n"/>
      <c r="AU441" s="104" t="n"/>
      <c r="AV441" s="104" t="n"/>
      <c r="AW441" s="104" t="n"/>
      <c r="AX441" s="104" t="n"/>
      <c r="AY441" s="104" t="n"/>
      <c r="AZ441" s="104" t="n"/>
      <c r="BA441" s="104" t="n"/>
      <c r="BB441" s="104" t="n"/>
      <c r="BC441" s="104" t="n"/>
      <c r="BD441" s="104" t="n"/>
      <c r="BE441" s="104" t="n"/>
      <c r="BF441" s="104" t="n"/>
      <c r="BG441" s="104" t="n"/>
      <c r="BH441" s="104" t="n"/>
      <c r="BI441" s="104" t="n"/>
      <c r="BJ441" s="104" t="n"/>
      <c r="BK441" s="104" t="n"/>
      <c r="BL441" s="104" t="n"/>
      <c r="BM441" s="104" t="n"/>
      <c r="BN441" s="104" t="n"/>
      <c r="BO441" s="104" t="n"/>
      <c r="BP441" s="104" t="n"/>
      <c r="BQ441" s="104" t="n"/>
      <c r="BR441" s="104" t="n"/>
      <c r="BS441" s="104" t="n"/>
      <c r="BT441" s="104" t="n"/>
      <c r="BU441" s="104" t="n"/>
      <c r="BV441" s="104" t="n"/>
      <c r="BW441" s="104" t="n"/>
      <c r="BX441" s="104" t="n"/>
    </row>
    <row r="442">
      <c r="AC442" s="104" t="n"/>
      <c r="AD442" s="104" t="n"/>
      <c r="AE442" s="104" t="n"/>
      <c r="AF442" s="104" t="n"/>
      <c r="AG442" s="104" t="n"/>
      <c r="AH442" s="104" t="n"/>
      <c r="AI442" s="104" t="n"/>
      <c r="AJ442" s="104" t="n"/>
      <c r="AK442" s="104" t="n"/>
      <c r="AL442" s="104" t="n"/>
      <c r="AM442" s="104" t="n"/>
      <c r="AN442" s="104" t="n"/>
      <c r="AO442" s="104" t="n"/>
      <c r="AP442" s="104" t="n"/>
      <c r="AQ442" s="104" t="n"/>
      <c r="AR442" s="104" t="n"/>
      <c r="AS442" s="104" t="n"/>
      <c r="AT442" s="104" t="n"/>
      <c r="AU442" s="104" t="n"/>
      <c r="AV442" s="104" t="n"/>
      <c r="AW442" s="104" t="n"/>
      <c r="AX442" s="104" t="n"/>
      <c r="AY442" s="104" t="n"/>
      <c r="AZ442" s="104" t="n"/>
      <c r="BA442" s="104" t="n"/>
      <c r="BB442" s="104" t="n"/>
      <c r="BC442" s="104" t="n"/>
      <c r="BD442" s="104" t="n"/>
      <c r="BE442" s="104" t="n"/>
      <c r="BF442" s="104" t="n"/>
      <c r="BG442" s="104" t="n"/>
      <c r="BH442" s="104" t="n"/>
      <c r="BI442" s="104" t="n"/>
      <c r="BJ442" s="104" t="n"/>
      <c r="BK442" s="104" t="n"/>
      <c r="BL442" s="104" t="n"/>
      <c r="BM442" s="104" t="n"/>
      <c r="BN442" s="104" t="n"/>
      <c r="BO442" s="104" t="n"/>
      <c r="BP442" s="104" t="n"/>
      <c r="BQ442" s="104" t="n"/>
      <c r="BR442" s="104" t="n"/>
      <c r="BS442" s="104" t="n"/>
      <c r="BT442" s="104" t="n"/>
      <c r="BU442" s="104" t="n"/>
      <c r="BV442" s="104" t="n"/>
      <c r="BW442" s="104" t="n"/>
      <c r="BX442" s="104" t="n"/>
    </row>
    <row r="443">
      <c r="AC443" s="104" t="n"/>
      <c r="AD443" s="104" t="n"/>
      <c r="AE443" s="104" t="n"/>
      <c r="AF443" s="104" t="n"/>
      <c r="AG443" s="104" t="n"/>
      <c r="AH443" s="104" t="n"/>
      <c r="AI443" s="104" t="n"/>
      <c r="AJ443" s="104" t="n"/>
      <c r="AK443" s="104" t="n"/>
      <c r="AL443" s="104" t="n"/>
      <c r="AM443" s="104" t="n"/>
      <c r="AN443" s="104" t="n"/>
      <c r="AO443" s="104" t="n"/>
      <c r="AP443" s="104" t="n"/>
      <c r="AQ443" s="104" t="n"/>
      <c r="AR443" s="104" t="n"/>
      <c r="AS443" s="104" t="n"/>
      <c r="AT443" s="104" t="n"/>
      <c r="AU443" s="104" t="n"/>
      <c r="AV443" s="104" t="n"/>
      <c r="AW443" s="104" t="n"/>
      <c r="AX443" s="104" t="n"/>
      <c r="AY443" s="104" t="n"/>
      <c r="AZ443" s="104" t="n"/>
      <c r="BA443" s="104" t="n"/>
      <c r="BB443" s="104" t="n"/>
      <c r="BC443" s="104" t="n"/>
      <c r="BD443" s="104" t="n"/>
      <c r="BE443" s="104" t="n"/>
      <c r="BF443" s="104" t="n"/>
      <c r="BG443" s="104" t="n"/>
      <c r="BH443" s="104" t="n"/>
      <c r="BI443" s="104" t="n"/>
      <c r="BJ443" s="104" t="n"/>
      <c r="BK443" s="104" t="n"/>
      <c r="BL443" s="104" t="n"/>
      <c r="BM443" s="104" t="n"/>
      <c r="BN443" s="104" t="n"/>
      <c r="BO443" s="104" t="n"/>
      <c r="BP443" s="104" t="n"/>
      <c r="BQ443" s="104" t="n"/>
      <c r="BR443" s="104" t="n"/>
      <c r="BS443" s="104" t="n"/>
      <c r="BT443" s="104" t="n"/>
      <c r="BU443" s="104" t="n"/>
      <c r="BV443" s="104" t="n"/>
      <c r="BW443" s="104" t="n"/>
      <c r="BX443" s="104" t="n"/>
    </row>
    <row r="444">
      <c r="AC444" s="104" t="n"/>
      <c r="AD444" s="104" t="n"/>
      <c r="AE444" s="104" t="n"/>
      <c r="AF444" s="104" t="n"/>
      <c r="AG444" s="104" t="n"/>
      <c r="AH444" s="104" t="n"/>
      <c r="AI444" s="104" t="n"/>
      <c r="AJ444" s="104" t="n"/>
      <c r="AK444" s="104" t="n"/>
      <c r="AL444" s="104" t="n"/>
      <c r="AM444" s="104" t="n"/>
      <c r="AN444" s="104" t="n"/>
      <c r="AO444" s="104" t="n"/>
      <c r="AP444" s="104" t="n"/>
      <c r="AQ444" s="104" t="n"/>
      <c r="AR444" s="104" t="n"/>
      <c r="AS444" s="104" t="n"/>
      <c r="AT444" s="104" t="n"/>
      <c r="AU444" s="104" t="n"/>
      <c r="AV444" s="104" t="n"/>
      <c r="AW444" s="104" t="n"/>
      <c r="AX444" s="104" t="n"/>
      <c r="AY444" s="104" t="n"/>
      <c r="AZ444" s="104" t="n"/>
      <c r="BA444" s="104" t="n"/>
      <c r="BB444" s="104" t="n"/>
      <c r="BC444" s="104" t="n"/>
      <c r="BD444" s="104" t="n"/>
      <c r="BE444" s="104" t="n"/>
      <c r="BF444" s="104" t="n"/>
      <c r="BG444" s="104" t="n"/>
      <c r="BH444" s="104" t="n"/>
      <c r="BI444" s="104" t="n"/>
      <c r="BJ444" s="104" t="n"/>
      <c r="BK444" s="104" t="n"/>
      <c r="BL444" s="104" t="n"/>
      <c r="BM444" s="104" t="n"/>
      <c r="BN444" s="104" t="n"/>
      <c r="BO444" s="104" t="n"/>
      <c r="BP444" s="104" t="n"/>
      <c r="BQ444" s="104" t="n"/>
      <c r="BR444" s="104" t="n"/>
      <c r="BS444" s="104" t="n"/>
      <c r="BT444" s="104" t="n"/>
      <c r="BU444" s="104" t="n"/>
      <c r="BV444" s="104" t="n"/>
      <c r="BW444" s="104" t="n"/>
      <c r="BX444" s="104" t="n"/>
    </row>
    <row r="445">
      <c r="AC445" s="104" t="n"/>
      <c r="AD445" s="104" t="n"/>
      <c r="AE445" s="104" t="n"/>
      <c r="AF445" s="104" t="n"/>
      <c r="AG445" s="104" t="n"/>
      <c r="AH445" s="104" t="n"/>
      <c r="AI445" s="104" t="n"/>
      <c r="AJ445" s="104" t="n"/>
      <c r="AK445" s="104" t="n"/>
      <c r="AL445" s="104" t="n"/>
      <c r="AM445" s="104" t="n"/>
      <c r="AN445" s="104" t="n"/>
      <c r="AO445" s="104" t="n"/>
      <c r="AP445" s="104" t="n"/>
      <c r="AQ445" s="104" t="n"/>
      <c r="AR445" s="104" t="n"/>
      <c r="AS445" s="104" t="n"/>
      <c r="AT445" s="104" t="n"/>
      <c r="AU445" s="104" t="n"/>
      <c r="AV445" s="104" t="n"/>
      <c r="AW445" s="104" t="n"/>
      <c r="AX445" s="104" t="n"/>
      <c r="AY445" s="104" t="n"/>
      <c r="AZ445" s="104" t="n"/>
      <c r="BA445" s="104" t="n"/>
      <c r="BB445" s="104" t="n"/>
      <c r="BC445" s="104" t="n"/>
      <c r="BD445" s="104" t="n"/>
      <c r="BE445" s="104" t="n"/>
      <c r="BF445" s="104" t="n"/>
      <c r="BG445" s="104" t="n"/>
      <c r="BH445" s="104" t="n"/>
      <c r="BI445" s="104" t="n"/>
      <c r="BJ445" s="104" t="n"/>
      <c r="BK445" s="104" t="n"/>
      <c r="BL445" s="104" t="n"/>
      <c r="BM445" s="104" t="n"/>
      <c r="BN445" s="104" t="n"/>
      <c r="BO445" s="104" t="n"/>
      <c r="BP445" s="104" t="n"/>
      <c r="BQ445" s="104" t="n"/>
      <c r="BR445" s="104" t="n"/>
      <c r="BS445" s="104" t="n"/>
      <c r="BT445" s="104" t="n"/>
      <c r="BU445" s="104" t="n"/>
      <c r="BV445" s="104" t="n"/>
      <c r="BW445" s="104" t="n"/>
      <c r="BX445" s="104" t="n"/>
    </row>
    <row r="446">
      <c r="AC446" s="104" t="n"/>
      <c r="AD446" s="104" t="n"/>
      <c r="AE446" s="104" t="n"/>
      <c r="AF446" s="104" t="n"/>
      <c r="AG446" s="104" t="n"/>
      <c r="AH446" s="104" t="n"/>
      <c r="AI446" s="104" t="n"/>
      <c r="AJ446" s="104" t="n"/>
      <c r="AK446" s="104" t="n"/>
      <c r="AL446" s="104" t="n"/>
      <c r="AM446" s="104" t="n"/>
      <c r="AN446" s="104" t="n"/>
      <c r="AO446" s="104" t="n"/>
      <c r="AP446" s="104" t="n"/>
      <c r="AQ446" s="104" t="n"/>
      <c r="AR446" s="104" t="n"/>
      <c r="AS446" s="104" t="n"/>
      <c r="AT446" s="104" t="n"/>
      <c r="AU446" s="104" t="n"/>
      <c r="AV446" s="104" t="n"/>
      <c r="AW446" s="104" t="n"/>
      <c r="AX446" s="104" t="n"/>
      <c r="AY446" s="104" t="n"/>
      <c r="AZ446" s="104" t="n"/>
      <c r="BA446" s="104" t="n"/>
      <c r="BB446" s="104" t="n"/>
      <c r="BC446" s="104" t="n"/>
      <c r="BD446" s="104" t="n"/>
      <c r="BE446" s="104" t="n"/>
      <c r="BF446" s="104" t="n"/>
      <c r="BG446" s="104" t="n"/>
      <c r="BH446" s="104" t="n"/>
      <c r="BI446" s="104" t="n"/>
      <c r="BJ446" s="104" t="n"/>
      <c r="BK446" s="104" t="n"/>
      <c r="BL446" s="104" t="n"/>
      <c r="BM446" s="104" t="n"/>
      <c r="BN446" s="104" t="n"/>
      <c r="BO446" s="104" t="n"/>
      <c r="BP446" s="104" t="n"/>
      <c r="BQ446" s="104" t="n"/>
      <c r="BR446" s="104" t="n"/>
      <c r="BS446" s="104" t="n"/>
      <c r="BT446" s="104" t="n"/>
      <c r="BU446" s="104" t="n"/>
      <c r="BV446" s="104" t="n"/>
      <c r="BW446" s="104" t="n"/>
      <c r="BX446" s="104" t="n"/>
    </row>
    <row r="447">
      <c r="AC447" s="104" t="n"/>
      <c r="AD447" s="104" t="n"/>
      <c r="AE447" s="104" t="n"/>
      <c r="AF447" s="104" t="n"/>
      <c r="AG447" s="104" t="n"/>
      <c r="AH447" s="104" t="n"/>
      <c r="AI447" s="104" t="n"/>
      <c r="AJ447" s="104" t="n"/>
      <c r="AK447" s="104" t="n"/>
      <c r="AL447" s="104" t="n"/>
      <c r="AM447" s="104" t="n"/>
      <c r="AN447" s="104" t="n"/>
      <c r="AO447" s="104" t="n"/>
      <c r="AP447" s="104" t="n"/>
      <c r="AQ447" s="104" t="n"/>
      <c r="AR447" s="104" t="n"/>
      <c r="AS447" s="104" t="n"/>
      <c r="AT447" s="104" t="n"/>
      <c r="AU447" s="104" t="n"/>
      <c r="AV447" s="104" t="n"/>
      <c r="AW447" s="104" t="n"/>
      <c r="AX447" s="104" t="n"/>
      <c r="AY447" s="104" t="n"/>
      <c r="AZ447" s="104" t="n"/>
      <c r="BA447" s="104" t="n"/>
      <c r="BB447" s="104" t="n"/>
      <c r="BC447" s="104" t="n"/>
      <c r="BD447" s="104" t="n"/>
      <c r="BE447" s="104" t="n"/>
      <c r="BF447" s="104" t="n"/>
      <c r="BG447" s="104" t="n"/>
      <c r="BH447" s="104" t="n"/>
      <c r="BI447" s="104" t="n"/>
      <c r="BJ447" s="104" t="n"/>
      <c r="BK447" s="104" t="n"/>
      <c r="BL447" s="104" t="n"/>
      <c r="BM447" s="104" t="n"/>
      <c r="BN447" s="104" t="n"/>
      <c r="BO447" s="104" t="n"/>
      <c r="BP447" s="104" t="n"/>
      <c r="BQ447" s="104" t="n"/>
      <c r="BR447" s="104" t="n"/>
      <c r="BS447" s="104" t="n"/>
      <c r="BT447" s="104" t="n"/>
      <c r="BU447" s="104" t="n"/>
      <c r="BV447" s="104" t="n"/>
      <c r="BW447" s="104" t="n"/>
      <c r="BX447" s="104" t="n"/>
    </row>
    <row r="448">
      <c r="AC448" s="104" t="n"/>
      <c r="AD448" s="104" t="n"/>
      <c r="AE448" s="104" t="n"/>
      <c r="AF448" s="104" t="n"/>
      <c r="AG448" s="104" t="n"/>
      <c r="AH448" s="104" t="n"/>
      <c r="AI448" s="104" t="n"/>
      <c r="AJ448" s="104" t="n"/>
      <c r="AK448" s="104" t="n"/>
      <c r="AL448" s="104" t="n"/>
      <c r="AM448" s="104" t="n"/>
      <c r="AN448" s="104" t="n"/>
      <c r="AO448" s="104" t="n"/>
      <c r="AP448" s="104" t="n"/>
      <c r="AQ448" s="104" t="n"/>
      <c r="AR448" s="104" t="n"/>
      <c r="AS448" s="104" t="n"/>
      <c r="AT448" s="104" t="n"/>
      <c r="AU448" s="104" t="n"/>
      <c r="AV448" s="104" t="n"/>
      <c r="AW448" s="104" t="n"/>
      <c r="AX448" s="104" t="n"/>
      <c r="AY448" s="104" t="n"/>
      <c r="AZ448" s="104" t="n"/>
      <c r="BA448" s="104" t="n"/>
      <c r="BB448" s="104" t="n"/>
      <c r="BC448" s="104" t="n"/>
      <c r="BD448" s="104" t="n"/>
      <c r="BE448" s="104" t="n"/>
      <c r="BF448" s="104" t="n"/>
      <c r="BG448" s="104" t="n"/>
      <c r="BH448" s="104" t="n"/>
      <c r="BI448" s="104" t="n"/>
      <c r="BJ448" s="104" t="n"/>
      <c r="BK448" s="104" t="n"/>
      <c r="BL448" s="104" t="n"/>
      <c r="BM448" s="104" t="n"/>
      <c r="BN448" s="104" t="n"/>
      <c r="BO448" s="104" t="n"/>
      <c r="BP448" s="104" t="n"/>
      <c r="BQ448" s="104" t="n"/>
      <c r="BR448" s="104" t="n"/>
      <c r="BS448" s="104" t="n"/>
      <c r="BT448" s="104" t="n"/>
      <c r="BU448" s="104" t="n"/>
      <c r="BV448" s="104" t="n"/>
      <c r="BW448" s="104" t="n"/>
      <c r="BX448" s="104" t="n"/>
    </row>
    <row r="449">
      <c r="AC449" s="104" t="n"/>
      <c r="AD449" s="104" t="n"/>
      <c r="AE449" s="104" t="n"/>
      <c r="AF449" s="104" t="n"/>
      <c r="AG449" s="104" t="n"/>
      <c r="AH449" s="104" t="n"/>
      <c r="AI449" s="104" t="n"/>
      <c r="AJ449" s="104" t="n"/>
      <c r="AK449" s="104" t="n"/>
      <c r="AL449" s="104" t="n"/>
      <c r="AM449" s="104" t="n"/>
      <c r="AN449" s="104" t="n"/>
      <c r="AO449" s="104" t="n"/>
      <c r="AP449" s="104" t="n"/>
      <c r="AQ449" s="104" t="n"/>
      <c r="AR449" s="104" t="n"/>
      <c r="AS449" s="104" t="n"/>
      <c r="AT449" s="104" t="n"/>
      <c r="AU449" s="104" t="n"/>
      <c r="AV449" s="104" t="n"/>
      <c r="AW449" s="104" t="n"/>
      <c r="AX449" s="104" t="n"/>
      <c r="AY449" s="104" t="n"/>
      <c r="AZ449" s="104" t="n"/>
      <c r="BA449" s="104" t="n"/>
      <c r="BB449" s="104" t="n"/>
      <c r="BC449" s="104" t="n"/>
      <c r="BD449" s="104" t="n"/>
      <c r="BE449" s="104" t="n"/>
      <c r="BF449" s="104" t="n"/>
      <c r="BG449" s="104" t="n"/>
      <c r="BH449" s="104" t="n"/>
      <c r="BI449" s="104" t="n"/>
      <c r="BJ449" s="104" t="n"/>
      <c r="BK449" s="104" t="n"/>
      <c r="BL449" s="104" t="n"/>
      <c r="BM449" s="104" t="n"/>
      <c r="BN449" s="104" t="n"/>
      <c r="BO449" s="104" t="n"/>
      <c r="BP449" s="104" t="n"/>
      <c r="BQ449" s="104" t="n"/>
      <c r="BR449" s="104" t="n"/>
      <c r="BS449" s="104" t="n"/>
      <c r="BT449" s="104" t="n"/>
      <c r="BU449" s="104" t="n"/>
      <c r="BV449" s="104" t="n"/>
      <c r="BW449" s="104" t="n"/>
      <c r="BX449" s="104" t="n"/>
    </row>
    <row r="450">
      <c r="AC450" s="104" t="n"/>
      <c r="AD450" s="104" t="n"/>
      <c r="AE450" s="104" t="n"/>
      <c r="AF450" s="104" t="n"/>
      <c r="AG450" s="104" t="n"/>
      <c r="AH450" s="104" t="n"/>
      <c r="AI450" s="104" t="n"/>
      <c r="AJ450" s="104" t="n"/>
      <c r="AK450" s="104" t="n"/>
      <c r="AL450" s="104" t="n"/>
      <c r="AM450" s="104" t="n"/>
      <c r="AN450" s="104" t="n"/>
      <c r="AO450" s="104" t="n"/>
      <c r="AP450" s="104" t="n"/>
      <c r="AQ450" s="104" t="n"/>
      <c r="AR450" s="104" t="n"/>
      <c r="AS450" s="104" t="n"/>
      <c r="AT450" s="104" t="n"/>
      <c r="AU450" s="104" t="n"/>
      <c r="AV450" s="104" t="n"/>
      <c r="AW450" s="104" t="n"/>
      <c r="AX450" s="104" t="n"/>
      <c r="AY450" s="104" t="n"/>
      <c r="AZ450" s="104" t="n"/>
      <c r="BA450" s="104" t="n"/>
      <c r="BB450" s="104" t="n"/>
      <c r="BC450" s="104" t="n"/>
      <c r="BD450" s="104" t="n"/>
      <c r="BE450" s="104" t="n"/>
      <c r="BF450" s="104" t="n"/>
      <c r="BG450" s="104" t="n"/>
      <c r="BH450" s="104" t="n"/>
      <c r="BI450" s="104" t="n"/>
      <c r="BJ450" s="104" t="n"/>
      <c r="BK450" s="104" t="n"/>
      <c r="BL450" s="104" t="n"/>
      <c r="BM450" s="104" t="n"/>
      <c r="BN450" s="104" t="n"/>
      <c r="BO450" s="104" t="n"/>
      <c r="BP450" s="104" t="n"/>
      <c r="BQ450" s="104" t="n"/>
      <c r="BR450" s="104" t="n"/>
      <c r="BS450" s="104" t="n"/>
      <c r="BT450" s="104" t="n"/>
      <c r="BU450" s="104" t="n"/>
      <c r="BV450" s="104" t="n"/>
      <c r="BW450" s="104" t="n"/>
      <c r="BX450" s="104" t="n"/>
    </row>
    <row r="451">
      <c r="AC451" s="104" t="n"/>
      <c r="AD451" s="104" t="n"/>
      <c r="AE451" s="104" t="n"/>
      <c r="AF451" s="104" t="n"/>
      <c r="AG451" s="104" t="n"/>
      <c r="AH451" s="104" t="n"/>
      <c r="AI451" s="104" t="n"/>
      <c r="AJ451" s="104" t="n"/>
      <c r="AK451" s="104" t="n"/>
      <c r="AL451" s="104" t="n"/>
      <c r="AM451" s="104" t="n"/>
      <c r="AN451" s="104" t="n"/>
      <c r="AO451" s="104" t="n"/>
      <c r="AP451" s="104" t="n"/>
      <c r="AQ451" s="104" t="n"/>
      <c r="AR451" s="104" t="n"/>
      <c r="AS451" s="104" t="n"/>
      <c r="AT451" s="104" t="n"/>
      <c r="AU451" s="104" t="n"/>
      <c r="AV451" s="104" t="n"/>
      <c r="AW451" s="104" t="n"/>
      <c r="AX451" s="104" t="n"/>
      <c r="AY451" s="104" t="n"/>
      <c r="AZ451" s="104" t="n"/>
      <c r="BA451" s="104" t="n"/>
      <c r="BB451" s="104" t="n"/>
      <c r="BC451" s="104" t="n"/>
      <c r="BD451" s="104" t="n"/>
      <c r="BE451" s="104" t="n"/>
      <c r="BF451" s="104" t="n"/>
      <c r="BG451" s="104" t="n"/>
      <c r="BH451" s="104" t="n"/>
      <c r="BI451" s="104" t="n"/>
      <c r="BJ451" s="104" t="n"/>
      <c r="BK451" s="104" t="n"/>
      <c r="BL451" s="104" t="n"/>
      <c r="BM451" s="104" t="n"/>
      <c r="BN451" s="104" t="n"/>
      <c r="BO451" s="104" t="n"/>
      <c r="BP451" s="104" t="n"/>
      <c r="BQ451" s="104" t="n"/>
      <c r="BR451" s="104" t="n"/>
      <c r="BS451" s="104" t="n"/>
      <c r="BT451" s="104" t="n"/>
      <c r="BU451" s="104" t="n"/>
      <c r="BV451" s="104" t="n"/>
      <c r="BW451" s="104" t="n"/>
      <c r="BX451" s="104" t="n"/>
    </row>
    <row r="452">
      <c r="AC452" s="104" t="n"/>
      <c r="AD452" s="104" t="n"/>
      <c r="AE452" s="104" t="n"/>
      <c r="AF452" s="104" t="n"/>
      <c r="AG452" s="104" t="n"/>
      <c r="AH452" s="104" t="n"/>
      <c r="AI452" s="104" t="n"/>
      <c r="AJ452" s="104" t="n"/>
      <c r="AK452" s="104" t="n"/>
      <c r="AL452" s="104" t="n"/>
      <c r="AM452" s="104" t="n"/>
      <c r="AN452" s="104" t="n"/>
      <c r="AO452" s="104" t="n"/>
      <c r="AP452" s="104" t="n"/>
      <c r="AQ452" s="104" t="n"/>
      <c r="AR452" s="104" t="n"/>
      <c r="AS452" s="104" t="n"/>
      <c r="AT452" s="104" t="n"/>
      <c r="AU452" s="104" t="n"/>
      <c r="AV452" s="104" t="n"/>
      <c r="AW452" s="104" t="n"/>
      <c r="AX452" s="104" t="n"/>
      <c r="AY452" s="104" t="n"/>
      <c r="AZ452" s="104" t="n"/>
      <c r="BA452" s="104" t="n"/>
      <c r="BB452" s="104" t="n"/>
      <c r="BC452" s="104" t="n"/>
      <c r="BD452" s="104" t="n"/>
      <c r="BE452" s="104" t="n"/>
      <c r="BF452" s="104" t="n"/>
      <c r="BG452" s="104" t="n"/>
      <c r="BH452" s="104" t="n"/>
      <c r="BI452" s="104" t="n"/>
      <c r="BJ452" s="104" t="n"/>
      <c r="BK452" s="104" t="n"/>
      <c r="BL452" s="104" t="n"/>
      <c r="BM452" s="104" t="n"/>
      <c r="BN452" s="104" t="n"/>
      <c r="BO452" s="104" t="n"/>
      <c r="BP452" s="104" t="n"/>
      <c r="BQ452" s="104" t="n"/>
      <c r="BR452" s="104" t="n"/>
      <c r="BS452" s="104" t="n"/>
      <c r="BT452" s="104" t="n"/>
      <c r="BU452" s="104" t="n"/>
      <c r="BV452" s="104" t="n"/>
      <c r="BW452" s="104" t="n"/>
      <c r="BX452" s="104" t="n"/>
    </row>
    <row r="453">
      <c r="AC453" s="104" t="n"/>
      <c r="AD453" s="104" t="n"/>
      <c r="AE453" s="104" t="n"/>
      <c r="AF453" s="104" t="n"/>
      <c r="AG453" s="104" t="n"/>
      <c r="AH453" s="104" t="n"/>
      <c r="AI453" s="104" t="n"/>
      <c r="AJ453" s="104" t="n"/>
      <c r="AK453" s="104" t="n"/>
      <c r="AL453" s="104" t="n"/>
      <c r="AM453" s="104" t="n"/>
      <c r="AN453" s="104" t="n"/>
      <c r="AO453" s="104" t="n"/>
      <c r="AP453" s="104" t="n"/>
      <c r="AQ453" s="104" t="n"/>
      <c r="AR453" s="104" t="n"/>
      <c r="AS453" s="104" t="n"/>
      <c r="AT453" s="104" t="n"/>
      <c r="AU453" s="104" t="n"/>
      <c r="AV453" s="104" t="n"/>
      <c r="AW453" s="104" t="n"/>
      <c r="AX453" s="104" t="n"/>
      <c r="AY453" s="104" t="n"/>
      <c r="AZ453" s="104" t="n"/>
      <c r="BA453" s="104" t="n"/>
      <c r="BB453" s="104" t="n"/>
      <c r="BC453" s="104" t="n"/>
      <c r="BD453" s="104" t="n"/>
      <c r="BE453" s="104" t="n"/>
      <c r="BF453" s="104" t="n"/>
      <c r="BG453" s="104" t="n"/>
      <c r="BH453" s="104" t="n"/>
      <c r="BI453" s="104" t="n"/>
      <c r="BJ453" s="104" t="n"/>
      <c r="BK453" s="104" t="n"/>
      <c r="BL453" s="104" t="n"/>
      <c r="BM453" s="104" t="n"/>
      <c r="BN453" s="104" t="n"/>
      <c r="BO453" s="104" t="n"/>
      <c r="BP453" s="104" t="n"/>
      <c r="BQ453" s="104" t="n"/>
      <c r="BR453" s="104" t="n"/>
      <c r="BS453" s="104" t="n"/>
      <c r="BT453" s="104" t="n"/>
      <c r="BU453" s="104" t="n"/>
      <c r="BV453" s="104" t="n"/>
      <c r="BW453" s="104" t="n"/>
      <c r="BX453" s="104" t="n"/>
    </row>
    <row r="454">
      <c r="AC454" s="104" t="n"/>
      <c r="AD454" s="104" t="n"/>
      <c r="AE454" s="104" t="n"/>
      <c r="AF454" s="104" t="n"/>
      <c r="AG454" s="104" t="n"/>
      <c r="AH454" s="104" t="n"/>
      <c r="AI454" s="104" t="n"/>
      <c r="AJ454" s="104" t="n"/>
      <c r="AK454" s="104" t="n"/>
      <c r="AL454" s="104" t="n"/>
      <c r="AM454" s="104" t="n"/>
      <c r="AN454" s="104" t="n"/>
      <c r="AO454" s="104" t="n"/>
      <c r="AP454" s="104" t="n"/>
      <c r="AQ454" s="104" t="n"/>
      <c r="AR454" s="104" t="n"/>
      <c r="AS454" s="104" t="n"/>
      <c r="AT454" s="104" t="n"/>
      <c r="AU454" s="104" t="n"/>
      <c r="AV454" s="104" t="n"/>
      <c r="AW454" s="104" t="n"/>
      <c r="AX454" s="104" t="n"/>
      <c r="AY454" s="104" t="n"/>
      <c r="AZ454" s="104" t="n"/>
      <c r="BA454" s="104" t="n"/>
      <c r="BB454" s="104" t="n"/>
      <c r="BC454" s="104" t="n"/>
      <c r="BD454" s="104" t="n"/>
      <c r="BE454" s="104" t="n"/>
      <c r="BF454" s="104" t="n"/>
      <c r="BG454" s="104" t="n"/>
      <c r="BH454" s="104" t="n"/>
      <c r="BI454" s="104" t="n"/>
      <c r="BJ454" s="104" t="n"/>
      <c r="BK454" s="104" t="n"/>
      <c r="BL454" s="104" t="n"/>
      <c r="BM454" s="104" t="n"/>
      <c r="BN454" s="104" t="n"/>
      <c r="BO454" s="104" t="n"/>
      <c r="BP454" s="104" t="n"/>
      <c r="BQ454" s="104" t="n"/>
      <c r="BR454" s="104" t="n"/>
      <c r="BS454" s="104" t="n"/>
      <c r="BT454" s="104" t="n"/>
      <c r="BU454" s="104" t="n"/>
      <c r="BV454" s="104" t="n"/>
      <c r="BW454" s="104" t="n"/>
      <c r="BX454" s="104" t="n"/>
    </row>
    <row r="455">
      <c r="AC455" s="104" t="n"/>
      <c r="AD455" s="104" t="n"/>
      <c r="AE455" s="104" t="n"/>
      <c r="AF455" s="104" t="n"/>
      <c r="AG455" s="104" t="n"/>
      <c r="AH455" s="104" t="n"/>
      <c r="AI455" s="104" t="n"/>
      <c r="AJ455" s="104" t="n"/>
      <c r="AK455" s="104" t="n"/>
      <c r="AL455" s="104" t="n"/>
      <c r="AM455" s="104" t="n"/>
      <c r="AN455" s="104" t="n"/>
      <c r="AO455" s="104" t="n"/>
      <c r="AP455" s="104" t="n"/>
      <c r="AQ455" s="104" t="n"/>
      <c r="AR455" s="104" t="n"/>
      <c r="AS455" s="104" t="n"/>
      <c r="AT455" s="104" t="n"/>
      <c r="AU455" s="104" t="n"/>
      <c r="AV455" s="104" t="n"/>
      <c r="AW455" s="104" t="n"/>
      <c r="AX455" s="104" t="n"/>
      <c r="AY455" s="104" t="n"/>
      <c r="AZ455" s="104" t="n"/>
      <c r="BA455" s="104" t="n"/>
      <c r="BB455" s="104" t="n"/>
      <c r="BC455" s="104" t="n"/>
      <c r="BD455" s="104" t="n"/>
      <c r="BE455" s="104" t="n"/>
      <c r="BF455" s="104" t="n"/>
      <c r="BG455" s="104" t="n"/>
      <c r="BH455" s="104" t="n"/>
      <c r="BI455" s="104" t="n"/>
      <c r="BJ455" s="104" t="n"/>
      <c r="BK455" s="104" t="n"/>
      <c r="BL455" s="104" t="n"/>
      <c r="BM455" s="104" t="n"/>
      <c r="BN455" s="104" t="n"/>
      <c r="BO455" s="104" t="n"/>
      <c r="BP455" s="104" t="n"/>
      <c r="BQ455" s="104" t="n"/>
      <c r="BR455" s="104" t="n"/>
      <c r="BS455" s="104" t="n"/>
      <c r="BT455" s="104" t="n"/>
      <c r="BU455" s="104" t="n"/>
      <c r="BV455" s="104" t="n"/>
      <c r="BW455" s="104" t="n"/>
      <c r="BX455" s="104" t="n"/>
    </row>
    <row r="456">
      <c r="AC456" s="104" t="n"/>
      <c r="AD456" s="104" t="n"/>
      <c r="AE456" s="104" t="n"/>
      <c r="AF456" s="104" t="n"/>
      <c r="AG456" s="104" t="n"/>
      <c r="AH456" s="104" t="n"/>
      <c r="AI456" s="104" t="n"/>
      <c r="AJ456" s="104" t="n"/>
      <c r="AK456" s="104" t="n"/>
      <c r="AL456" s="104" t="n"/>
      <c r="AM456" s="104" t="n"/>
      <c r="AN456" s="104" t="n"/>
      <c r="AO456" s="104" t="n"/>
      <c r="AP456" s="104" t="n"/>
      <c r="AQ456" s="104" t="n"/>
      <c r="AR456" s="104" t="n"/>
      <c r="AS456" s="104" t="n"/>
      <c r="AT456" s="104" t="n"/>
      <c r="AU456" s="104" t="n"/>
      <c r="AV456" s="104" t="n"/>
      <c r="AW456" s="104" t="n"/>
      <c r="AX456" s="104" t="n"/>
      <c r="AY456" s="104" t="n"/>
      <c r="AZ456" s="104" t="n"/>
      <c r="BA456" s="104" t="n"/>
      <c r="BB456" s="104" t="n"/>
      <c r="BC456" s="104" t="n"/>
      <c r="BD456" s="104" t="n"/>
      <c r="BE456" s="104" t="n"/>
      <c r="BF456" s="104" t="n"/>
      <c r="BG456" s="104" t="n"/>
      <c r="BH456" s="104" t="n"/>
      <c r="BI456" s="104" t="n"/>
      <c r="BJ456" s="104" t="n"/>
      <c r="BK456" s="104" t="n"/>
      <c r="BL456" s="104" t="n"/>
      <c r="BM456" s="104" t="n"/>
      <c r="BN456" s="104" t="n"/>
      <c r="BO456" s="104" t="n"/>
      <c r="BP456" s="104" t="n"/>
      <c r="BQ456" s="104" t="n"/>
      <c r="BR456" s="104" t="n"/>
      <c r="BS456" s="104" t="n"/>
      <c r="BT456" s="104" t="n"/>
      <c r="BU456" s="104" t="n"/>
      <c r="BV456" s="104" t="n"/>
      <c r="BW456" s="104" t="n"/>
      <c r="BX456" s="104" t="n"/>
    </row>
    <row r="457">
      <c r="AC457" s="104" t="n"/>
      <c r="AD457" s="104" t="n"/>
      <c r="AE457" s="104" t="n"/>
      <c r="AF457" s="104" t="n"/>
      <c r="AG457" s="104" t="n"/>
      <c r="AH457" s="104" t="n"/>
      <c r="AI457" s="104" t="n"/>
      <c r="AJ457" s="104" t="n"/>
      <c r="AK457" s="104" t="n"/>
      <c r="AL457" s="104" t="n"/>
      <c r="AM457" s="104" t="n"/>
      <c r="AN457" s="104" t="n"/>
      <c r="AO457" s="104" t="n"/>
      <c r="AP457" s="104" t="n"/>
      <c r="AQ457" s="104" t="n"/>
      <c r="AR457" s="104" t="n"/>
      <c r="AS457" s="104" t="n"/>
      <c r="AT457" s="104" t="n"/>
      <c r="AU457" s="104" t="n"/>
      <c r="AV457" s="104" t="n"/>
      <c r="AW457" s="104" t="n"/>
      <c r="AX457" s="104" t="n"/>
      <c r="AY457" s="104" t="n"/>
      <c r="AZ457" s="104" t="n"/>
      <c r="BA457" s="104" t="n"/>
      <c r="BB457" s="104" t="n"/>
      <c r="BC457" s="104" t="n"/>
      <c r="BD457" s="104" t="n"/>
      <c r="BE457" s="104" t="n"/>
      <c r="BF457" s="104" t="n"/>
      <c r="BG457" s="104" t="n"/>
      <c r="BH457" s="104" t="n"/>
      <c r="BI457" s="104" t="n"/>
      <c r="BJ457" s="104" t="n"/>
      <c r="BK457" s="104" t="n"/>
      <c r="BL457" s="104" t="n"/>
      <c r="BM457" s="104" t="n"/>
      <c r="BN457" s="104" t="n"/>
      <c r="BO457" s="104" t="n"/>
      <c r="BP457" s="104" t="n"/>
      <c r="BQ457" s="104" t="n"/>
      <c r="BR457" s="104" t="n"/>
      <c r="BS457" s="104" t="n"/>
      <c r="BT457" s="104" t="n"/>
      <c r="BU457" s="104" t="n"/>
      <c r="BV457" s="104" t="n"/>
      <c r="BW457" s="104" t="n"/>
      <c r="BX457" s="104" t="n"/>
    </row>
    <row r="458">
      <c r="AC458" s="104" t="n"/>
      <c r="AD458" s="104" t="n"/>
      <c r="AE458" s="104" t="n"/>
      <c r="AF458" s="104" t="n"/>
      <c r="AG458" s="104" t="n"/>
      <c r="AH458" s="104" t="n"/>
      <c r="AI458" s="104" t="n"/>
      <c r="AJ458" s="104" t="n"/>
      <c r="AK458" s="104" t="n"/>
      <c r="AL458" s="104" t="n"/>
      <c r="AM458" s="104" t="n"/>
      <c r="AN458" s="104" t="n"/>
      <c r="AO458" s="104" t="n"/>
      <c r="AP458" s="104" t="n"/>
      <c r="AQ458" s="104" t="n"/>
      <c r="AR458" s="104" t="n"/>
      <c r="AS458" s="104" t="n"/>
      <c r="AT458" s="104" t="n"/>
      <c r="AU458" s="104" t="n"/>
      <c r="AV458" s="104" t="n"/>
      <c r="AW458" s="104" t="n"/>
      <c r="AX458" s="104" t="n"/>
      <c r="AY458" s="104" t="n"/>
      <c r="AZ458" s="104" t="n"/>
      <c r="BA458" s="104" t="n"/>
      <c r="BB458" s="104" t="n"/>
      <c r="BC458" s="104" t="n"/>
      <c r="BD458" s="104" t="n"/>
      <c r="BE458" s="104" t="n"/>
      <c r="BF458" s="104" t="n"/>
      <c r="BG458" s="104" t="n"/>
      <c r="BH458" s="104" t="n"/>
      <c r="BI458" s="104" t="n"/>
      <c r="BJ458" s="104" t="n"/>
      <c r="BK458" s="104" t="n"/>
      <c r="BL458" s="104" t="n"/>
      <c r="BM458" s="104" t="n"/>
      <c r="BN458" s="104" t="n"/>
      <c r="BO458" s="104" t="n"/>
      <c r="BP458" s="104" t="n"/>
      <c r="BQ458" s="104" t="n"/>
      <c r="BR458" s="104" t="n"/>
      <c r="BS458" s="104" t="n"/>
      <c r="BT458" s="104" t="n"/>
      <c r="BU458" s="104" t="n"/>
      <c r="BV458" s="104" t="n"/>
      <c r="BW458" s="104" t="n"/>
      <c r="BX458" s="104" t="n"/>
    </row>
    <row r="459">
      <c r="AC459" s="104" t="n"/>
      <c r="AD459" s="104" t="n"/>
      <c r="AE459" s="104" t="n"/>
      <c r="AF459" s="104" t="n"/>
      <c r="AG459" s="104" t="n"/>
      <c r="AH459" s="104" t="n"/>
      <c r="AI459" s="104" t="n"/>
      <c r="AJ459" s="104" t="n"/>
      <c r="AK459" s="104" t="n"/>
      <c r="AL459" s="104" t="n"/>
      <c r="AM459" s="104" t="n"/>
      <c r="AN459" s="104" t="n"/>
      <c r="AO459" s="104" t="n"/>
      <c r="AP459" s="104" t="n"/>
      <c r="AQ459" s="104" t="n"/>
      <c r="AR459" s="104" t="n"/>
      <c r="AS459" s="104" t="n"/>
      <c r="AT459" s="104" t="n"/>
      <c r="AU459" s="104" t="n"/>
      <c r="AV459" s="104" t="n"/>
      <c r="AW459" s="104" t="n"/>
      <c r="AX459" s="104" t="n"/>
      <c r="AY459" s="104" t="n"/>
      <c r="AZ459" s="104" t="n"/>
      <c r="BA459" s="104" t="n"/>
      <c r="BB459" s="104" t="n"/>
      <c r="BC459" s="104" t="n"/>
      <c r="BD459" s="104" t="n"/>
      <c r="BE459" s="104" t="n"/>
      <c r="BF459" s="104" t="n"/>
      <c r="BG459" s="104" t="n"/>
      <c r="BH459" s="104" t="n"/>
      <c r="BI459" s="104" t="n"/>
      <c r="BJ459" s="104" t="n"/>
      <c r="BK459" s="104" t="n"/>
      <c r="BL459" s="104" t="n"/>
      <c r="BM459" s="104" t="n"/>
      <c r="BN459" s="104" t="n"/>
      <c r="BO459" s="104" t="n"/>
      <c r="BP459" s="104" t="n"/>
      <c r="BQ459" s="104" t="n"/>
      <c r="BR459" s="104" t="n"/>
      <c r="BS459" s="104" t="n"/>
      <c r="BT459" s="104" t="n"/>
      <c r="BU459" s="104" t="n"/>
      <c r="BV459" s="104" t="n"/>
      <c r="BW459" s="104" t="n"/>
      <c r="BX459" s="104" t="n"/>
    </row>
    <row r="460">
      <c r="AC460" s="104" t="n"/>
      <c r="AD460" s="104" t="n"/>
      <c r="AE460" s="104" t="n"/>
      <c r="AF460" s="104" t="n"/>
      <c r="AG460" s="104" t="n"/>
      <c r="AH460" s="104" t="n"/>
      <c r="AI460" s="104" t="n"/>
      <c r="AJ460" s="104" t="n"/>
      <c r="AK460" s="104" t="n"/>
      <c r="AL460" s="104" t="n"/>
      <c r="AM460" s="104" t="n"/>
      <c r="AN460" s="104" t="n"/>
      <c r="AO460" s="104" t="n"/>
      <c r="AP460" s="104" t="n"/>
      <c r="AQ460" s="104" t="n"/>
      <c r="AR460" s="104" t="n"/>
      <c r="AS460" s="104" t="n"/>
      <c r="AT460" s="104" t="n"/>
      <c r="AU460" s="104" t="n"/>
      <c r="AV460" s="104" t="n"/>
      <c r="AW460" s="104" t="n"/>
      <c r="AX460" s="104" t="n"/>
      <c r="AY460" s="104" t="n"/>
      <c r="AZ460" s="104" t="n"/>
      <c r="BA460" s="104" t="n"/>
      <c r="BB460" s="104" t="n"/>
      <c r="BC460" s="104" t="n"/>
      <c r="BD460" s="104" t="n"/>
      <c r="BE460" s="104" t="n"/>
      <c r="BF460" s="104" t="n"/>
      <c r="BG460" s="104" t="n"/>
      <c r="BH460" s="104" t="n"/>
      <c r="BI460" s="104" t="n"/>
      <c r="BJ460" s="104" t="n"/>
      <c r="BK460" s="104" t="n"/>
      <c r="BL460" s="104" t="n"/>
      <c r="BM460" s="104" t="n"/>
      <c r="BN460" s="104" t="n"/>
      <c r="BO460" s="104" t="n"/>
      <c r="BP460" s="104" t="n"/>
      <c r="BQ460" s="104" t="n"/>
      <c r="BR460" s="104" t="n"/>
      <c r="BS460" s="104" t="n"/>
      <c r="BT460" s="104" t="n"/>
      <c r="BU460" s="104" t="n"/>
      <c r="BV460" s="104" t="n"/>
      <c r="BW460" s="104" t="n"/>
      <c r="BX460" s="104" t="n"/>
    </row>
    <row r="461">
      <c r="AC461" s="104" t="n"/>
      <c r="AD461" s="104" t="n"/>
      <c r="AE461" s="104" t="n"/>
      <c r="AF461" s="104" t="n"/>
      <c r="AG461" s="104" t="n"/>
      <c r="AH461" s="104" t="n"/>
      <c r="AI461" s="104" t="n"/>
      <c r="AJ461" s="104" t="n"/>
      <c r="AK461" s="104" t="n"/>
      <c r="AL461" s="104" t="n"/>
      <c r="AM461" s="104" t="n"/>
      <c r="AN461" s="104" t="n"/>
      <c r="AO461" s="104" t="n"/>
      <c r="AP461" s="104" t="n"/>
      <c r="AQ461" s="104" t="n"/>
      <c r="AR461" s="104" t="n"/>
      <c r="AS461" s="104" t="n"/>
      <c r="AT461" s="104" t="n"/>
      <c r="AU461" s="104" t="n"/>
      <c r="AV461" s="104" t="n"/>
      <c r="AW461" s="104" t="n"/>
      <c r="AX461" s="104" t="n"/>
      <c r="AY461" s="104" t="n"/>
      <c r="AZ461" s="104" t="n"/>
      <c r="BA461" s="104" t="n"/>
      <c r="BB461" s="104" t="n"/>
      <c r="BC461" s="104" t="n"/>
      <c r="BD461" s="104" t="n"/>
      <c r="BE461" s="104" t="n"/>
      <c r="BF461" s="104" t="n"/>
      <c r="BG461" s="104" t="n"/>
      <c r="BH461" s="104" t="n"/>
      <c r="BI461" s="104" t="n"/>
      <c r="BJ461" s="104" t="n"/>
      <c r="BK461" s="104" t="n"/>
      <c r="BL461" s="104" t="n"/>
      <c r="BM461" s="104" t="n"/>
      <c r="BN461" s="104" t="n"/>
      <c r="BO461" s="104" t="n"/>
      <c r="BP461" s="104" t="n"/>
      <c r="BQ461" s="104" t="n"/>
      <c r="BR461" s="104" t="n"/>
      <c r="BS461" s="104" t="n"/>
      <c r="BT461" s="104" t="n"/>
      <c r="BU461" s="104" t="n"/>
      <c r="BV461" s="104" t="n"/>
      <c r="BW461" s="104" t="n"/>
      <c r="BX461" s="104" t="n"/>
    </row>
    <row r="462">
      <c r="AC462" s="104" t="n"/>
      <c r="AD462" s="104" t="n"/>
      <c r="AE462" s="104" t="n"/>
      <c r="AF462" s="104" t="n"/>
      <c r="AG462" s="104" t="n"/>
      <c r="AH462" s="104" t="n"/>
      <c r="AI462" s="104" t="n"/>
      <c r="AJ462" s="104" t="n"/>
      <c r="AK462" s="104" t="n"/>
      <c r="AL462" s="104" t="n"/>
      <c r="AM462" s="104" t="n"/>
      <c r="AN462" s="104" t="n"/>
      <c r="AO462" s="104" t="n"/>
      <c r="AP462" s="104" t="n"/>
      <c r="AQ462" s="104" t="n"/>
      <c r="AR462" s="104" t="n"/>
      <c r="AS462" s="104" t="n"/>
      <c r="AT462" s="104" t="n"/>
      <c r="AU462" s="104" t="n"/>
      <c r="AV462" s="104" t="n"/>
      <c r="AW462" s="104" t="n"/>
      <c r="AX462" s="104" t="n"/>
      <c r="AY462" s="104" t="n"/>
      <c r="AZ462" s="104" t="n"/>
      <c r="BA462" s="104" t="n"/>
      <c r="BB462" s="104" t="n"/>
      <c r="BC462" s="104" t="n"/>
      <c r="BD462" s="104" t="n"/>
      <c r="BE462" s="104" t="n"/>
      <c r="BF462" s="104" t="n"/>
      <c r="BG462" s="104" t="n"/>
      <c r="BH462" s="104" t="n"/>
      <c r="BI462" s="104" t="n"/>
      <c r="BJ462" s="104" t="n"/>
      <c r="BK462" s="104" t="n"/>
      <c r="BL462" s="104" t="n"/>
      <c r="BM462" s="104" t="n"/>
      <c r="BN462" s="104" t="n"/>
      <c r="BO462" s="104" t="n"/>
      <c r="BP462" s="104" t="n"/>
      <c r="BQ462" s="104" t="n"/>
      <c r="BR462" s="104" t="n"/>
      <c r="BS462" s="104" t="n"/>
      <c r="BT462" s="104" t="n"/>
      <c r="BU462" s="104" t="n"/>
      <c r="BV462" s="104" t="n"/>
      <c r="BW462" s="104" t="n"/>
      <c r="BX462" s="104" t="n"/>
    </row>
    <row r="463">
      <c r="AC463" s="104" t="n"/>
      <c r="AD463" s="104" t="n"/>
      <c r="AE463" s="104" t="n"/>
      <c r="AF463" s="104" t="n"/>
      <c r="AG463" s="104" t="n"/>
      <c r="AH463" s="104" t="n"/>
      <c r="AI463" s="104" t="n"/>
      <c r="AJ463" s="104" t="n"/>
      <c r="AK463" s="104" t="n"/>
      <c r="AL463" s="104" t="n"/>
      <c r="AM463" s="104" t="n"/>
      <c r="AN463" s="104" t="n"/>
      <c r="AO463" s="104" t="n"/>
      <c r="AP463" s="104" t="n"/>
      <c r="AQ463" s="104" t="n"/>
      <c r="AR463" s="104" t="n"/>
      <c r="AS463" s="104" t="n"/>
      <c r="AT463" s="104" t="n"/>
      <c r="AU463" s="104" t="n"/>
      <c r="AV463" s="104" t="n"/>
      <c r="AW463" s="104" t="n"/>
      <c r="AX463" s="104" t="n"/>
      <c r="AY463" s="104" t="n"/>
      <c r="AZ463" s="104" t="n"/>
      <c r="BA463" s="104" t="n"/>
      <c r="BB463" s="104" t="n"/>
      <c r="BC463" s="104" t="n"/>
      <c r="BD463" s="104" t="n"/>
      <c r="BE463" s="104" t="n"/>
      <c r="BF463" s="104" t="n"/>
      <c r="BG463" s="104" t="n"/>
      <c r="BH463" s="104" t="n"/>
      <c r="BI463" s="104" t="n"/>
      <c r="BJ463" s="104" t="n"/>
      <c r="BK463" s="104" t="n"/>
      <c r="BL463" s="104" t="n"/>
      <c r="BM463" s="104" t="n"/>
      <c r="BN463" s="104" t="n"/>
      <c r="BO463" s="104" t="n"/>
      <c r="BP463" s="104" t="n"/>
      <c r="BQ463" s="104" t="n"/>
      <c r="BR463" s="104" t="n"/>
      <c r="BS463" s="104" t="n"/>
      <c r="BT463" s="104" t="n"/>
      <c r="BU463" s="104" t="n"/>
      <c r="BV463" s="104" t="n"/>
      <c r="BW463" s="104" t="n"/>
      <c r="BX463" s="104" t="n"/>
    </row>
    <row r="464">
      <c r="AC464" s="104" t="n"/>
      <c r="AD464" s="104" t="n"/>
      <c r="AE464" s="104" t="n"/>
      <c r="AF464" s="104" t="n"/>
      <c r="AG464" s="104" t="n"/>
      <c r="AH464" s="104" t="n"/>
      <c r="AI464" s="104" t="n"/>
      <c r="AJ464" s="104" t="n"/>
      <c r="AK464" s="104" t="n"/>
      <c r="AL464" s="104" t="n"/>
      <c r="AM464" s="104" t="n"/>
      <c r="AN464" s="104" t="n"/>
      <c r="AO464" s="104" t="n"/>
      <c r="AP464" s="104" t="n"/>
      <c r="AQ464" s="104" t="n"/>
      <c r="AR464" s="104" t="n"/>
      <c r="AS464" s="104" t="n"/>
      <c r="AT464" s="104" t="n"/>
      <c r="AU464" s="104" t="n"/>
      <c r="AV464" s="104" t="n"/>
      <c r="AW464" s="104" t="n"/>
      <c r="AX464" s="104" t="n"/>
      <c r="AY464" s="104" t="n"/>
      <c r="AZ464" s="104" t="n"/>
      <c r="BA464" s="104" t="n"/>
      <c r="BB464" s="104" t="n"/>
      <c r="BC464" s="104" t="n"/>
      <c r="BD464" s="104" t="n"/>
      <c r="BE464" s="104" t="n"/>
      <c r="BF464" s="104" t="n"/>
      <c r="BG464" s="104" t="n"/>
      <c r="BH464" s="104" t="n"/>
      <c r="BI464" s="104" t="n"/>
      <c r="BJ464" s="104" t="n"/>
      <c r="BK464" s="104" t="n"/>
      <c r="BL464" s="104" t="n"/>
      <c r="BM464" s="104" t="n"/>
      <c r="BN464" s="104" t="n"/>
      <c r="BO464" s="104" t="n"/>
      <c r="BP464" s="104" t="n"/>
      <c r="BQ464" s="104" t="n"/>
      <c r="BR464" s="104" t="n"/>
      <c r="BS464" s="104" t="n"/>
      <c r="BT464" s="104" t="n"/>
      <c r="BU464" s="104" t="n"/>
      <c r="BV464" s="104" t="n"/>
      <c r="BW464" s="104" t="n"/>
      <c r="BX464" s="104" t="n"/>
    </row>
    <row r="465">
      <c r="AC465" s="104" t="n"/>
      <c r="AD465" s="104" t="n"/>
      <c r="AE465" s="104" t="n"/>
      <c r="AF465" s="104" t="n"/>
      <c r="AG465" s="104" t="n"/>
      <c r="AH465" s="104" t="n"/>
      <c r="AI465" s="104" t="n"/>
      <c r="AJ465" s="104" t="n"/>
      <c r="AK465" s="104" t="n"/>
      <c r="AL465" s="104" t="n"/>
      <c r="AM465" s="104" t="n"/>
      <c r="AN465" s="104" t="n"/>
      <c r="AO465" s="104" t="n"/>
      <c r="AP465" s="104" t="n"/>
      <c r="AQ465" s="104" t="n"/>
      <c r="AR465" s="104" t="n"/>
      <c r="AS465" s="104" t="n"/>
      <c r="AT465" s="104" t="n"/>
      <c r="AU465" s="104" t="n"/>
      <c r="AV465" s="104" t="n"/>
      <c r="AW465" s="104" t="n"/>
      <c r="AX465" s="104" t="n"/>
      <c r="AY465" s="104" t="n"/>
      <c r="AZ465" s="104" t="n"/>
      <c r="BA465" s="104" t="n"/>
      <c r="BB465" s="104" t="n"/>
      <c r="BC465" s="104" t="n"/>
      <c r="BD465" s="104" t="n"/>
      <c r="BE465" s="104" t="n"/>
      <c r="BF465" s="104" t="n"/>
      <c r="BG465" s="104" t="n"/>
      <c r="BH465" s="104" t="n"/>
      <c r="BI465" s="104" t="n"/>
      <c r="BJ465" s="104" t="n"/>
      <c r="BK465" s="104" t="n"/>
      <c r="BL465" s="104" t="n"/>
      <c r="BM465" s="104" t="n"/>
      <c r="BN465" s="104" t="n"/>
      <c r="BO465" s="104" t="n"/>
      <c r="BP465" s="104" t="n"/>
      <c r="BQ465" s="104" t="n"/>
      <c r="BR465" s="104" t="n"/>
      <c r="BS465" s="104" t="n"/>
      <c r="BT465" s="104" t="n"/>
      <c r="BU465" s="104" t="n"/>
      <c r="BV465" s="104" t="n"/>
      <c r="BW465" s="104" t="n"/>
      <c r="BX465" s="104" t="n"/>
    </row>
    <row r="466">
      <c r="AC466" s="104" t="n"/>
      <c r="AD466" s="104" t="n"/>
      <c r="AE466" s="104" t="n"/>
      <c r="AF466" s="104" t="n"/>
      <c r="AG466" s="104" t="n"/>
      <c r="AH466" s="104" t="n"/>
      <c r="AI466" s="104" t="n"/>
      <c r="AJ466" s="104" t="n"/>
      <c r="AK466" s="104" t="n"/>
      <c r="AL466" s="104" t="n"/>
      <c r="AM466" s="104" t="n"/>
      <c r="AN466" s="104" t="n"/>
      <c r="AO466" s="104" t="n"/>
      <c r="AP466" s="104" t="n"/>
      <c r="AQ466" s="104" t="n"/>
      <c r="AR466" s="104" t="n"/>
      <c r="AS466" s="104" t="n"/>
      <c r="AT466" s="104" t="n"/>
      <c r="AU466" s="104" t="n"/>
      <c r="AV466" s="104" t="n"/>
      <c r="AW466" s="104" t="n"/>
      <c r="AX466" s="104" t="n"/>
      <c r="AY466" s="104" t="n"/>
      <c r="AZ466" s="104" t="n"/>
      <c r="BA466" s="104" t="n"/>
      <c r="BB466" s="104" t="n"/>
      <c r="BC466" s="104" t="n"/>
      <c r="BD466" s="104" t="n"/>
      <c r="BE466" s="104" t="n"/>
      <c r="BF466" s="104" t="n"/>
      <c r="BG466" s="104" t="n"/>
      <c r="BH466" s="104" t="n"/>
      <c r="BI466" s="104" t="n"/>
      <c r="BJ466" s="104" t="n"/>
      <c r="BK466" s="104" t="n"/>
      <c r="BL466" s="104" t="n"/>
      <c r="BM466" s="104" t="n"/>
      <c r="BN466" s="104" t="n"/>
      <c r="BO466" s="104" t="n"/>
      <c r="BP466" s="104" t="n"/>
      <c r="BQ466" s="104" t="n"/>
      <c r="BR466" s="104" t="n"/>
      <c r="BS466" s="104" t="n"/>
      <c r="BT466" s="104" t="n"/>
      <c r="BU466" s="104" t="n"/>
      <c r="BV466" s="104" t="n"/>
      <c r="BW466" s="104" t="n"/>
      <c r="BX466" s="104" t="n"/>
    </row>
    <row r="467">
      <c r="AC467" s="104" t="n"/>
      <c r="AD467" s="104" t="n"/>
      <c r="AE467" s="104" t="n"/>
      <c r="AF467" s="104" t="n"/>
      <c r="AG467" s="104" t="n"/>
      <c r="AH467" s="104" t="n"/>
      <c r="AI467" s="104" t="n"/>
      <c r="AJ467" s="104" t="n"/>
      <c r="AK467" s="104" t="n"/>
      <c r="AL467" s="104" t="n"/>
      <c r="AM467" s="104" t="n"/>
      <c r="AN467" s="104" t="n"/>
      <c r="AO467" s="104" t="n"/>
      <c r="AP467" s="104" t="n"/>
      <c r="AQ467" s="104" t="n"/>
      <c r="AR467" s="104" t="n"/>
      <c r="AS467" s="104" t="n"/>
      <c r="AT467" s="104" t="n"/>
      <c r="AU467" s="104" t="n"/>
      <c r="AV467" s="104" t="n"/>
      <c r="AW467" s="104" t="n"/>
      <c r="AX467" s="104" t="n"/>
      <c r="AY467" s="104" t="n"/>
      <c r="AZ467" s="104" t="n"/>
      <c r="BA467" s="104" t="n"/>
      <c r="BB467" s="104" t="n"/>
      <c r="BC467" s="104" t="n"/>
      <c r="BD467" s="104" t="n"/>
      <c r="BE467" s="104" t="n"/>
      <c r="BF467" s="104" t="n"/>
      <c r="BG467" s="104" t="n"/>
      <c r="BH467" s="104" t="n"/>
      <c r="BI467" s="104" t="n"/>
      <c r="BJ467" s="104" t="n"/>
      <c r="BK467" s="104" t="n"/>
      <c r="BL467" s="104" t="n"/>
      <c r="BM467" s="104" t="n"/>
      <c r="BN467" s="104" t="n"/>
      <c r="BO467" s="104" t="n"/>
      <c r="BP467" s="104" t="n"/>
      <c r="BQ467" s="104" t="n"/>
      <c r="BR467" s="104" t="n"/>
      <c r="BS467" s="104" t="n"/>
      <c r="BT467" s="104" t="n"/>
      <c r="BU467" s="104" t="n"/>
      <c r="BV467" s="104" t="n"/>
      <c r="BW467" s="104" t="n"/>
      <c r="BX467" s="104" t="n"/>
    </row>
    <row r="468">
      <c r="AC468" s="104" t="n"/>
      <c r="AD468" s="104" t="n"/>
      <c r="AE468" s="104" t="n"/>
      <c r="AF468" s="104" t="n"/>
      <c r="AG468" s="104" t="n"/>
      <c r="AH468" s="104" t="n"/>
      <c r="AI468" s="104" t="n"/>
      <c r="AJ468" s="104" t="n"/>
      <c r="AK468" s="104" t="n"/>
      <c r="AL468" s="104" t="n"/>
      <c r="AM468" s="104" t="n"/>
      <c r="AN468" s="104" t="n"/>
      <c r="AO468" s="104" t="n"/>
      <c r="AP468" s="104" t="n"/>
      <c r="AQ468" s="104" t="n"/>
      <c r="AR468" s="104" t="n"/>
      <c r="AS468" s="104" t="n"/>
      <c r="AT468" s="104" t="n"/>
      <c r="AU468" s="104" t="n"/>
      <c r="AV468" s="104" t="n"/>
      <c r="AW468" s="104" t="n"/>
      <c r="AX468" s="104" t="n"/>
      <c r="AY468" s="104" t="n"/>
      <c r="AZ468" s="104" t="n"/>
      <c r="BA468" s="104" t="n"/>
      <c r="BB468" s="104" t="n"/>
      <c r="BC468" s="104" t="n"/>
      <c r="BD468" s="104" t="n"/>
      <c r="BE468" s="104" t="n"/>
      <c r="BF468" s="104" t="n"/>
      <c r="BG468" s="104" t="n"/>
      <c r="BH468" s="104" t="n"/>
      <c r="BI468" s="104" t="n"/>
      <c r="BJ468" s="104" t="n"/>
      <c r="BK468" s="104" t="n"/>
      <c r="BL468" s="104" t="n"/>
      <c r="BM468" s="104" t="n"/>
      <c r="BN468" s="104" t="n"/>
      <c r="BO468" s="104" t="n"/>
      <c r="BP468" s="104" t="n"/>
      <c r="BQ468" s="104" t="n"/>
      <c r="BR468" s="104" t="n"/>
      <c r="BS468" s="104" t="n"/>
      <c r="BT468" s="104" t="n"/>
      <c r="BU468" s="104" t="n"/>
      <c r="BV468" s="104" t="n"/>
      <c r="BW468" s="104" t="n"/>
      <c r="BX468" s="104" t="n"/>
    </row>
    <row r="469">
      <c r="AC469" s="104" t="n"/>
      <c r="AD469" s="104" t="n"/>
      <c r="AE469" s="104" t="n"/>
      <c r="AF469" s="104" t="n"/>
      <c r="AG469" s="104" t="n"/>
      <c r="AH469" s="104" t="n"/>
      <c r="AI469" s="104" t="n"/>
      <c r="AJ469" s="104" t="n"/>
      <c r="AK469" s="104" t="n"/>
      <c r="AL469" s="104" t="n"/>
      <c r="AM469" s="104" t="n"/>
      <c r="AN469" s="104" t="n"/>
      <c r="AO469" s="104" t="n"/>
      <c r="AP469" s="104" t="n"/>
      <c r="AQ469" s="104" t="n"/>
      <c r="AR469" s="104" t="n"/>
      <c r="AS469" s="104" t="n"/>
      <c r="AT469" s="104" t="n"/>
      <c r="AU469" s="104" t="n"/>
      <c r="AV469" s="104" t="n"/>
      <c r="AW469" s="104" t="n"/>
      <c r="AX469" s="104" t="n"/>
      <c r="AY469" s="104" t="n"/>
      <c r="AZ469" s="104" t="n"/>
      <c r="BA469" s="104" t="n"/>
      <c r="BB469" s="104" t="n"/>
      <c r="BC469" s="104" t="n"/>
      <c r="BD469" s="104" t="n"/>
      <c r="BE469" s="104" t="n"/>
      <c r="BF469" s="104" t="n"/>
      <c r="BG469" s="104" t="n"/>
      <c r="BH469" s="104" t="n"/>
      <c r="BI469" s="104" t="n"/>
      <c r="BJ469" s="104" t="n"/>
      <c r="BK469" s="104" t="n"/>
      <c r="BL469" s="104" t="n"/>
      <c r="BM469" s="104" t="n"/>
      <c r="BN469" s="104" t="n"/>
      <c r="BO469" s="104" t="n"/>
      <c r="BP469" s="104" t="n"/>
      <c r="BQ469" s="104" t="n"/>
      <c r="BR469" s="104" t="n"/>
      <c r="BS469" s="104" t="n"/>
      <c r="BT469" s="104" t="n"/>
      <c r="BU469" s="104" t="n"/>
      <c r="BV469" s="104" t="n"/>
      <c r="BW469" s="104" t="n"/>
      <c r="BX469" s="104" t="n"/>
    </row>
    <row r="470">
      <c r="AC470" s="104" t="n"/>
      <c r="AD470" s="104" t="n"/>
      <c r="AE470" s="104" t="n"/>
      <c r="AF470" s="104" t="n"/>
      <c r="AG470" s="104" t="n"/>
      <c r="AH470" s="104" t="n"/>
      <c r="AI470" s="104" t="n"/>
      <c r="AJ470" s="104" t="n"/>
      <c r="AK470" s="104" t="n"/>
      <c r="AL470" s="104" t="n"/>
      <c r="AM470" s="104" t="n"/>
      <c r="AN470" s="104" t="n"/>
      <c r="AO470" s="104" t="n"/>
      <c r="AP470" s="104" t="n"/>
      <c r="AQ470" s="104" t="n"/>
      <c r="AR470" s="104" t="n"/>
      <c r="AS470" s="104" t="n"/>
      <c r="AT470" s="104" t="n"/>
      <c r="AU470" s="104" t="n"/>
      <c r="AV470" s="104" t="n"/>
      <c r="AW470" s="104" t="n"/>
      <c r="AX470" s="104" t="n"/>
      <c r="AY470" s="104" t="n"/>
      <c r="AZ470" s="104" t="n"/>
      <c r="BA470" s="104" t="n"/>
      <c r="BB470" s="104" t="n"/>
      <c r="BC470" s="104" t="n"/>
      <c r="BD470" s="104" t="n"/>
      <c r="BE470" s="104" t="n"/>
      <c r="BF470" s="104" t="n"/>
      <c r="BG470" s="104" t="n"/>
      <c r="BH470" s="104" t="n"/>
      <c r="BI470" s="104" t="n"/>
      <c r="BJ470" s="104" t="n"/>
      <c r="BK470" s="104" t="n"/>
      <c r="BL470" s="104" t="n"/>
      <c r="BM470" s="104" t="n"/>
      <c r="BN470" s="104" t="n"/>
      <c r="BO470" s="104" t="n"/>
      <c r="BP470" s="104" t="n"/>
      <c r="BQ470" s="104" t="n"/>
      <c r="BR470" s="104" t="n"/>
      <c r="BS470" s="104" t="n"/>
      <c r="BT470" s="104" t="n"/>
      <c r="BU470" s="104" t="n"/>
      <c r="BV470" s="104" t="n"/>
      <c r="BW470" s="104" t="n"/>
      <c r="BX470" s="104" t="n"/>
    </row>
    <row r="471">
      <c r="AC471" s="104" t="n"/>
      <c r="AD471" s="104" t="n"/>
      <c r="AE471" s="104" t="n"/>
      <c r="AF471" s="104" t="n"/>
      <c r="AG471" s="104" t="n"/>
      <c r="AH471" s="104" t="n"/>
      <c r="AI471" s="104" t="n"/>
      <c r="AJ471" s="104" t="n"/>
      <c r="AK471" s="104" t="n"/>
      <c r="AL471" s="104" t="n"/>
      <c r="AM471" s="104" t="n"/>
      <c r="AN471" s="104" t="n"/>
      <c r="AO471" s="104" t="n"/>
      <c r="AP471" s="104" t="n"/>
      <c r="AQ471" s="104" t="n"/>
      <c r="AR471" s="104" t="n"/>
      <c r="AS471" s="104" t="n"/>
      <c r="AT471" s="104" t="n"/>
      <c r="AU471" s="104" t="n"/>
      <c r="AV471" s="104" t="n"/>
      <c r="AW471" s="104" t="n"/>
      <c r="AX471" s="104" t="n"/>
      <c r="AY471" s="104" t="n"/>
      <c r="AZ471" s="104" t="n"/>
      <c r="BA471" s="104" t="n"/>
      <c r="BB471" s="104" t="n"/>
      <c r="BC471" s="104" t="n"/>
      <c r="BD471" s="104" t="n"/>
      <c r="BE471" s="104" t="n"/>
      <c r="BF471" s="104" t="n"/>
      <c r="BG471" s="104" t="n"/>
      <c r="BH471" s="104" t="n"/>
      <c r="BI471" s="104" t="n"/>
      <c r="BJ471" s="104" t="n"/>
      <c r="BK471" s="104" t="n"/>
      <c r="BL471" s="104" t="n"/>
      <c r="BM471" s="104" t="n"/>
      <c r="BN471" s="104" t="n"/>
      <c r="BO471" s="104" t="n"/>
      <c r="BP471" s="104" t="n"/>
      <c r="BQ471" s="104" t="n"/>
      <c r="BR471" s="104" t="n"/>
      <c r="BS471" s="104" t="n"/>
      <c r="BT471" s="104" t="n"/>
      <c r="BU471" s="104" t="n"/>
      <c r="BV471" s="104" t="n"/>
      <c r="BW471" s="104" t="n"/>
      <c r="BX471" s="104" t="n"/>
    </row>
    <row r="472">
      <c r="AC472" s="104" t="n"/>
      <c r="AD472" s="104" t="n"/>
      <c r="AE472" s="104" t="n"/>
      <c r="AF472" s="104" t="n"/>
      <c r="AG472" s="104" t="n"/>
      <c r="AH472" s="104" t="n"/>
      <c r="AI472" s="104" t="n"/>
      <c r="AJ472" s="104" t="n"/>
      <c r="AK472" s="104" t="n"/>
      <c r="AL472" s="104" t="n"/>
      <c r="AM472" s="104" t="n"/>
      <c r="AN472" s="104" t="n"/>
      <c r="AO472" s="104" t="n"/>
      <c r="AP472" s="104" t="n"/>
      <c r="AQ472" s="104" t="n"/>
      <c r="AR472" s="104" t="n"/>
      <c r="AS472" s="104" t="n"/>
      <c r="AT472" s="104" t="n"/>
      <c r="AU472" s="104" t="n"/>
      <c r="AV472" s="104" t="n"/>
      <c r="AW472" s="104" t="n"/>
      <c r="AX472" s="104" t="n"/>
      <c r="AY472" s="104" t="n"/>
      <c r="AZ472" s="104" t="n"/>
      <c r="BA472" s="104" t="n"/>
      <c r="BB472" s="104" t="n"/>
      <c r="BC472" s="104" t="n"/>
      <c r="BD472" s="104" t="n"/>
      <c r="BE472" s="104" t="n"/>
      <c r="BF472" s="104" t="n"/>
      <c r="BG472" s="104" t="n"/>
      <c r="BH472" s="104" t="n"/>
      <c r="BI472" s="104" t="n"/>
      <c r="BJ472" s="104" t="n"/>
      <c r="BK472" s="104" t="n"/>
      <c r="BL472" s="104" t="n"/>
      <c r="BM472" s="104" t="n"/>
      <c r="BN472" s="104" t="n"/>
      <c r="BO472" s="104" t="n"/>
      <c r="BP472" s="104" t="n"/>
      <c r="BQ472" s="104" t="n"/>
      <c r="BR472" s="104" t="n"/>
      <c r="BS472" s="104" t="n"/>
      <c r="BT472" s="104" t="n"/>
      <c r="BU472" s="104" t="n"/>
      <c r="BV472" s="104" t="n"/>
      <c r="BW472" s="104" t="n"/>
      <c r="BX472" s="104" t="n"/>
    </row>
    <row r="473">
      <c r="AC473" s="104" t="n"/>
      <c r="AD473" s="104" t="n"/>
      <c r="AE473" s="104" t="n"/>
      <c r="AF473" s="104" t="n"/>
      <c r="AG473" s="104" t="n"/>
      <c r="AH473" s="104" t="n"/>
      <c r="AI473" s="104" t="n"/>
      <c r="AJ473" s="104" t="n"/>
      <c r="AK473" s="104" t="n"/>
      <c r="AL473" s="104" t="n"/>
      <c r="AM473" s="104" t="n"/>
      <c r="AN473" s="104" t="n"/>
      <c r="AO473" s="104" t="n"/>
      <c r="AP473" s="104" t="n"/>
      <c r="AQ473" s="104" t="n"/>
      <c r="AR473" s="104" t="n"/>
      <c r="AS473" s="104" t="n"/>
      <c r="AT473" s="104" t="n"/>
      <c r="AU473" s="104" t="n"/>
      <c r="AV473" s="104" t="n"/>
      <c r="AW473" s="104" t="n"/>
      <c r="AX473" s="104" t="n"/>
      <c r="AY473" s="104" t="n"/>
      <c r="AZ473" s="104" t="n"/>
      <c r="BA473" s="104" t="n"/>
      <c r="BB473" s="104" t="n"/>
      <c r="BC473" s="104" t="n"/>
      <c r="BD473" s="104" t="n"/>
      <c r="BE473" s="104" t="n"/>
      <c r="BF473" s="104" t="n"/>
      <c r="BG473" s="104" t="n"/>
      <c r="BH473" s="104" t="n"/>
      <c r="BI473" s="104" t="n"/>
      <c r="BJ473" s="104" t="n"/>
      <c r="BK473" s="104" t="n"/>
      <c r="BL473" s="104" t="n"/>
      <c r="BM473" s="104" t="n"/>
      <c r="BN473" s="104" t="n"/>
      <c r="BO473" s="104" t="n"/>
      <c r="BP473" s="104" t="n"/>
      <c r="BQ473" s="104" t="n"/>
      <c r="BR473" s="104" t="n"/>
      <c r="BS473" s="104" t="n"/>
      <c r="BT473" s="104" t="n"/>
      <c r="BU473" s="104" t="n"/>
      <c r="BV473" s="104" t="n"/>
      <c r="BW473" s="104" t="n"/>
      <c r="BX473" s="104" t="n"/>
    </row>
    <row r="474">
      <c r="AC474" s="104" t="n"/>
      <c r="AD474" s="104" t="n"/>
      <c r="AE474" s="104" t="n"/>
      <c r="AF474" s="104" t="n"/>
      <c r="AG474" s="104" t="n"/>
      <c r="AH474" s="104" t="n"/>
      <c r="AI474" s="104" t="n"/>
      <c r="AJ474" s="104" t="n"/>
      <c r="AK474" s="104" t="n"/>
      <c r="AL474" s="104" t="n"/>
      <c r="AM474" s="104" t="n"/>
      <c r="AN474" s="104" t="n"/>
      <c r="AO474" s="104" t="n"/>
      <c r="AP474" s="104" t="n"/>
      <c r="AQ474" s="104" t="n"/>
      <c r="AR474" s="104" t="n"/>
      <c r="AS474" s="104" t="n"/>
      <c r="AT474" s="104" t="n"/>
      <c r="AU474" s="104" t="n"/>
      <c r="AV474" s="104" t="n"/>
      <c r="AW474" s="104" t="n"/>
      <c r="AX474" s="104" t="n"/>
      <c r="AY474" s="104" t="n"/>
      <c r="AZ474" s="104" t="n"/>
      <c r="BA474" s="104" t="n"/>
      <c r="BB474" s="104" t="n"/>
      <c r="BC474" s="104" t="n"/>
      <c r="BD474" s="104" t="n"/>
      <c r="BE474" s="104" t="n"/>
      <c r="BF474" s="104" t="n"/>
      <c r="BG474" s="104" t="n"/>
      <c r="BH474" s="104" t="n"/>
      <c r="BI474" s="104" t="n"/>
      <c r="BJ474" s="104" t="n"/>
      <c r="BK474" s="104" t="n"/>
      <c r="BL474" s="104" t="n"/>
      <c r="BM474" s="104" t="n"/>
      <c r="BN474" s="104" t="n"/>
      <c r="BO474" s="104" t="n"/>
      <c r="BP474" s="104" t="n"/>
      <c r="BQ474" s="104" t="n"/>
      <c r="BR474" s="104" t="n"/>
      <c r="BS474" s="104" t="n"/>
      <c r="BT474" s="104" t="n"/>
      <c r="BU474" s="104" t="n"/>
      <c r="BV474" s="104" t="n"/>
      <c r="BW474" s="104" t="n"/>
      <c r="BX474" s="104" t="n"/>
    </row>
    <row r="475">
      <c r="AC475" s="104" t="n"/>
      <c r="AD475" s="104" t="n"/>
      <c r="AE475" s="104" t="n"/>
      <c r="AF475" s="104" t="n"/>
      <c r="AG475" s="104" t="n"/>
      <c r="AH475" s="104" t="n"/>
      <c r="AI475" s="104" t="n"/>
      <c r="AJ475" s="104" t="n"/>
      <c r="AK475" s="104" t="n"/>
      <c r="AL475" s="104" t="n"/>
      <c r="AM475" s="104" t="n"/>
      <c r="AN475" s="104" t="n"/>
      <c r="AO475" s="104" t="n"/>
      <c r="AP475" s="104" t="n"/>
      <c r="AQ475" s="104" t="n"/>
      <c r="AR475" s="104" t="n"/>
      <c r="AS475" s="104" t="n"/>
      <c r="AT475" s="104" t="n"/>
      <c r="AU475" s="104" t="n"/>
      <c r="AV475" s="104" t="n"/>
      <c r="AW475" s="104" t="n"/>
      <c r="AX475" s="104" t="n"/>
      <c r="AY475" s="104" t="n"/>
      <c r="AZ475" s="104" t="n"/>
      <c r="BA475" s="104" t="n"/>
      <c r="BB475" s="104" t="n"/>
      <c r="BC475" s="104" t="n"/>
      <c r="BD475" s="104" t="n"/>
      <c r="BE475" s="104" t="n"/>
      <c r="BF475" s="104" t="n"/>
      <c r="BG475" s="104" t="n"/>
      <c r="BH475" s="104" t="n"/>
      <c r="BI475" s="104" t="n"/>
      <c r="BJ475" s="104" t="n"/>
      <c r="BK475" s="104" t="n"/>
      <c r="BL475" s="104" t="n"/>
      <c r="BM475" s="104" t="n"/>
      <c r="BN475" s="104" t="n"/>
      <c r="BO475" s="104" t="n"/>
      <c r="BP475" s="104" t="n"/>
      <c r="BQ475" s="104" t="n"/>
      <c r="BR475" s="104" t="n"/>
      <c r="BS475" s="104" t="n"/>
      <c r="BT475" s="104" t="n"/>
      <c r="BU475" s="104" t="n"/>
      <c r="BV475" s="104" t="n"/>
      <c r="BW475" s="104" t="n"/>
      <c r="BX475" s="104" t="n"/>
    </row>
    <row r="476">
      <c r="AC476" s="104" t="n"/>
      <c r="AD476" s="104" t="n"/>
      <c r="AE476" s="104" t="n"/>
      <c r="AF476" s="104" t="n"/>
      <c r="AG476" s="104" t="n"/>
      <c r="AH476" s="104" t="n"/>
      <c r="AI476" s="104" t="n"/>
      <c r="AJ476" s="104" t="n"/>
      <c r="AK476" s="104" t="n"/>
      <c r="AL476" s="104" t="n"/>
      <c r="AM476" s="104" t="n"/>
      <c r="AN476" s="104" t="n"/>
      <c r="AO476" s="104" t="n"/>
      <c r="AP476" s="104" t="n"/>
      <c r="AQ476" s="104" t="n"/>
      <c r="AR476" s="104" t="n"/>
      <c r="AS476" s="104" t="n"/>
      <c r="AT476" s="104" t="n"/>
      <c r="AU476" s="104" t="n"/>
      <c r="AV476" s="104" t="n"/>
      <c r="AW476" s="104" t="n"/>
      <c r="AX476" s="104" t="n"/>
      <c r="AY476" s="104" t="n"/>
      <c r="AZ476" s="104" t="n"/>
      <c r="BA476" s="104" t="n"/>
      <c r="BB476" s="104" t="n"/>
      <c r="BC476" s="104" t="n"/>
      <c r="BD476" s="104" t="n"/>
      <c r="BE476" s="104" t="n"/>
      <c r="BF476" s="104" t="n"/>
      <c r="BG476" s="104" t="n"/>
      <c r="BH476" s="104" t="n"/>
      <c r="BI476" s="104" t="n"/>
      <c r="BJ476" s="104" t="n"/>
      <c r="BK476" s="104" t="n"/>
      <c r="BL476" s="104" t="n"/>
      <c r="BM476" s="104" t="n"/>
      <c r="BN476" s="104" t="n"/>
      <c r="BO476" s="104" t="n"/>
      <c r="BP476" s="104" t="n"/>
      <c r="BQ476" s="104" t="n"/>
      <c r="BR476" s="104" t="n"/>
      <c r="BS476" s="104" t="n"/>
      <c r="BT476" s="104" t="n"/>
      <c r="BU476" s="104" t="n"/>
      <c r="BV476" s="104" t="n"/>
      <c r="BW476" s="104" t="n"/>
      <c r="BX476" s="104" t="n"/>
    </row>
    <row r="477">
      <c r="AC477" s="104" t="n"/>
      <c r="AD477" s="104" t="n"/>
      <c r="AE477" s="104" t="n"/>
      <c r="AF477" s="104" t="n"/>
      <c r="AG477" s="104" t="n"/>
      <c r="AH477" s="104" t="n"/>
      <c r="AI477" s="104" t="n"/>
      <c r="AJ477" s="104" t="n"/>
      <c r="AK477" s="104" t="n"/>
      <c r="AL477" s="104" t="n"/>
      <c r="AM477" s="104" t="n"/>
      <c r="AN477" s="104" t="n"/>
      <c r="AO477" s="104" t="n"/>
      <c r="AP477" s="104" t="n"/>
      <c r="AQ477" s="104" t="n"/>
      <c r="AR477" s="104" t="n"/>
      <c r="AS477" s="104" t="n"/>
      <c r="AT477" s="104" t="n"/>
      <c r="AU477" s="104" t="n"/>
      <c r="AV477" s="104" t="n"/>
      <c r="AW477" s="104" t="n"/>
      <c r="AX477" s="104" t="n"/>
      <c r="AY477" s="104" t="n"/>
      <c r="AZ477" s="104" t="n"/>
      <c r="BA477" s="104" t="n"/>
      <c r="BB477" s="104" t="n"/>
      <c r="BC477" s="104" t="n"/>
      <c r="BD477" s="104" t="n"/>
      <c r="BE477" s="104" t="n"/>
      <c r="BF477" s="104" t="n"/>
      <c r="BG477" s="104" t="n"/>
      <c r="BH477" s="104" t="n"/>
      <c r="BI477" s="104" t="n"/>
      <c r="BJ477" s="104" t="n"/>
      <c r="BK477" s="104" t="n"/>
      <c r="BL477" s="104" t="n"/>
      <c r="BM477" s="104" t="n"/>
      <c r="BN477" s="104" t="n"/>
      <c r="BO477" s="104" t="n"/>
      <c r="BP477" s="104" t="n"/>
      <c r="BQ477" s="104" t="n"/>
      <c r="BR477" s="104" t="n"/>
      <c r="BS477" s="104" t="n"/>
      <c r="BT477" s="104" t="n"/>
      <c r="BU477" s="104" t="n"/>
      <c r="BV477" s="104" t="n"/>
      <c r="BW477" s="104" t="n"/>
      <c r="BX477" s="104" t="n"/>
    </row>
    <row r="478">
      <c r="AC478" s="104" t="n"/>
      <c r="AD478" s="104" t="n"/>
      <c r="AE478" s="104" t="n"/>
      <c r="AF478" s="104" t="n"/>
      <c r="AG478" s="104" t="n"/>
      <c r="AH478" s="104" t="n"/>
      <c r="AI478" s="104" t="n"/>
      <c r="AJ478" s="104" t="n"/>
      <c r="AK478" s="104" t="n"/>
      <c r="AL478" s="104" t="n"/>
      <c r="AM478" s="104" t="n"/>
      <c r="AN478" s="104" t="n"/>
      <c r="AO478" s="104" t="n"/>
      <c r="AP478" s="104" t="n"/>
      <c r="AQ478" s="104" t="n"/>
      <c r="AR478" s="104" t="n"/>
      <c r="AS478" s="104" t="n"/>
      <c r="AT478" s="104" t="n"/>
      <c r="AU478" s="104" t="n"/>
      <c r="AV478" s="104" t="n"/>
      <c r="AW478" s="104" t="n"/>
      <c r="AX478" s="104" t="n"/>
      <c r="AY478" s="104" t="n"/>
      <c r="AZ478" s="104" t="n"/>
      <c r="BA478" s="104" t="n"/>
      <c r="BB478" s="104" t="n"/>
      <c r="BC478" s="104" t="n"/>
      <c r="BD478" s="104" t="n"/>
      <c r="BE478" s="104" t="n"/>
      <c r="BF478" s="104" t="n"/>
      <c r="BG478" s="104" t="n"/>
      <c r="BH478" s="104" t="n"/>
      <c r="BI478" s="104" t="n"/>
      <c r="BJ478" s="104" t="n"/>
      <c r="BK478" s="104" t="n"/>
      <c r="BL478" s="104" t="n"/>
      <c r="BM478" s="104" t="n"/>
      <c r="BN478" s="104" t="n"/>
      <c r="BO478" s="104" t="n"/>
      <c r="BP478" s="104" t="n"/>
      <c r="BQ478" s="104" t="n"/>
      <c r="BR478" s="104" t="n"/>
      <c r="BS478" s="104" t="n"/>
      <c r="BT478" s="104" t="n"/>
      <c r="BU478" s="104" t="n"/>
      <c r="BV478" s="104" t="n"/>
      <c r="BW478" s="104" t="n"/>
      <c r="BX478" s="104" t="n"/>
    </row>
    <row r="479">
      <c r="AC479" s="104" t="n"/>
      <c r="AD479" s="104" t="n"/>
      <c r="AE479" s="104" t="n"/>
      <c r="AF479" s="104" t="n"/>
      <c r="AG479" s="104" t="n"/>
      <c r="AH479" s="104" t="n"/>
      <c r="AI479" s="104" t="n"/>
      <c r="AJ479" s="104" t="n"/>
      <c r="AK479" s="104" t="n"/>
      <c r="AL479" s="104" t="n"/>
      <c r="AM479" s="104" t="n"/>
      <c r="AN479" s="104" t="n"/>
      <c r="AO479" s="104" t="n"/>
      <c r="AP479" s="104" t="n"/>
      <c r="AQ479" s="104" t="n"/>
      <c r="AR479" s="104" t="n"/>
      <c r="AS479" s="104" t="n"/>
      <c r="AT479" s="104" t="n"/>
      <c r="AU479" s="104" t="n"/>
      <c r="AV479" s="104" t="n"/>
      <c r="AW479" s="104" t="n"/>
      <c r="AX479" s="104" t="n"/>
      <c r="AY479" s="104" t="n"/>
      <c r="AZ479" s="104" t="n"/>
      <c r="BA479" s="104" t="n"/>
      <c r="BB479" s="104" t="n"/>
      <c r="BC479" s="104" t="n"/>
      <c r="BD479" s="104" t="n"/>
      <c r="BE479" s="104" t="n"/>
      <c r="BF479" s="104" t="n"/>
      <c r="BG479" s="104" t="n"/>
      <c r="BH479" s="104" t="n"/>
      <c r="BI479" s="104" t="n"/>
      <c r="BJ479" s="104" t="n"/>
      <c r="BK479" s="104" t="n"/>
      <c r="BL479" s="104" t="n"/>
      <c r="BM479" s="104" t="n"/>
      <c r="BN479" s="104" t="n"/>
      <c r="BO479" s="104" t="n"/>
      <c r="BP479" s="104" t="n"/>
      <c r="BQ479" s="104" t="n"/>
      <c r="BR479" s="104" t="n"/>
      <c r="BS479" s="104" t="n"/>
      <c r="BT479" s="104" t="n"/>
      <c r="BU479" s="104" t="n"/>
      <c r="BV479" s="104" t="n"/>
      <c r="BW479" s="104" t="n"/>
      <c r="BX479" s="104" t="n"/>
    </row>
    <row r="480">
      <c r="AC480" s="104" t="n"/>
      <c r="AD480" s="104" t="n"/>
      <c r="AE480" s="104" t="n"/>
      <c r="AF480" s="104" t="n"/>
      <c r="AG480" s="104" t="n"/>
      <c r="AH480" s="104" t="n"/>
      <c r="AI480" s="104" t="n"/>
      <c r="AJ480" s="104" t="n"/>
      <c r="AK480" s="104" t="n"/>
      <c r="AL480" s="104" t="n"/>
      <c r="AM480" s="104" t="n"/>
      <c r="AN480" s="104" t="n"/>
      <c r="AO480" s="104" t="n"/>
      <c r="AP480" s="104" t="n"/>
      <c r="AQ480" s="104" t="n"/>
      <c r="AR480" s="104" t="n"/>
      <c r="AS480" s="104" t="n"/>
      <c r="AT480" s="104" t="n"/>
      <c r="AU480" s="104" t="n"/>
      <c r="AV480" s="104" t="n"/>
      <c r="AW480" s="104" t="n"/>
      <c r="AX480" s="104" t="n"/>
      <c r="AY480" s="104" t="n"/>
      <c r="AZ480" s="104" t="n"/>
      <c r="BA480" s="104" t="n"/>
      <c r="BB480" s="104" t="n"/>
      <c r="BC480" s="104" t="n"/>
      <c r="BD480" s="104" t="n"/>
      <c r="BE480" s="104" t="n"/>
      <c r="BF480" s="104" t="n"/>
      <c r="BG480" s="104" t="n"/>
      <c r="BH480" s="104" t="n"/>
      <c r="BI480" s="104" t="n"/>
      <c r="BJ480" s="104" t="n"/>
      <c r="BK480" s="104" t="n"/>
      <c r="BL480" s="104" t="n"/>
      <c r="BM480" s="104" t="n"/>
      <c r="BN480" s="104" t="n"/>
      <c r="BO480" s="104" t="n"/>
      <c r="BP480" s="104" t="n"/>
      <c r="BQ480" s="104" t="n"/>
      <c r="BR480" s="104" t="n"/>
      <c r="BS480" s="104" t="n"/>
      <c r="BT480" s="104" t="n"/>
      <c r="BU480" s="104" t="n"/>
      <c r="BV480" s="104" t="n"/>
      <c r="BW480" s="104" t="n"/>
      <c r="BX480" s="104" t="n"/>
    </row>
    <row r="481">
      <c r="AC481" s="104" t="n"/>
      <c r="AD481" s="104" t="n"/>
      <c r="AE481" s="104" t="n"/>
      <c r="AF481" s="104" t="n"/>
      <c r="AG481" s="104" t="n"/>
      <c r="AH481" s="104" t="n"/>
      <c r="AI481" s="104" t="n"/>
      <c r="AJ481" s="104" t="n"/>
      <c r="AK481" s="104" t="n"/>
      <c r="AL481" s="104" t="n"/>
      <c r="AM481" s="104" t="n"/>
      <c r="AN481" s="104" t="n"/>
      <c r="AO481" s="104" t="n"/>
      <c r="AP481" s="104" t="n"/>
      <c r="AQ481" s="104" t="n"/>
      <c r="AR481" s="104" t="n"/>
      <c r="AS481" s="104" t="n"/>
      <c r="AT481" s="104" t="n"/>
      <c r="AU481" s="104" t="n"/>
      <c r="AV481" s="104" t="n"/>
      <c r="AW481" s="104" t="n"/>
      <c r="AX481" s="104" t="n"/>
      <c r="AY481" s="104" t="n"/>
      <c r="AZ481" s="104" t="n"/>
      <c r="BA481" s="104" t="n"/>
      <c r="BB481" s="104" t="n"/>
      <c r="BC481" s="104" t="n"/>
      <c r="BD481" s="104" t="n"/>
      <c r="BE481" s="104" t="n"/>
      <c r="BF481" s="104" t="n"/>
      <c r="BG481" s="104" t="n"/>
      <c r="BH481" s="104" t="n"/>
      <c r="BI481" s="104" t="n"/>
      <c r="BJ481" s="104" t="n"/>
      <c r="BK481" s="104" t="n"/>
      <c r="BL481" s="104" t="n"/>
      <c r="BM481" s="104" t="n"/>
      <c r="BN481" s="104" t="n"/>
      <c r="BO481" s="104" t="n"/>
      <c r="BP481" s="104" t="n"/>
      <c r="BQ481" s="104" t="n"/>
      <c r="BR481" s="104" t="n"/>
      <c r="BS481" s="104" t="n"/>
      <c r="BT481" s="104" t="n"/>
      <c r="BU481" s="104" t="n"/>
      <c r="BV481" s="104" t="n"/>
      <c r="BW481" s="104" t="n"/>
      <c r="BX481" s="104" t="n"/>
    </row>
    <row r="482">
      <c r="AC482" s="104" t="n"/>
      <c r="AD482" s="104" t="n"/>
      <c r="AE482" s="104" t="n"/>
      <c r="AF482" s="104" t="n"/>
      <c r="AG482" s="104" t="n"/>
      <c r="AH482" s="104" t="n"/>
      <c r="AI482" s="104" t="n"/>
      <c r="AJ482" s="104" t="n"/>
      <c r="AK482" s="104" t="n"/>
      <c r="AL482" s="104" t="n"/>
      <c r="AM482" s="104" t="n"/>
      <c r="AN482" s="104" t="n"/>
      <c r="AO482" s="104" t="n"/>
      <c r="AP482" s="104" t="n"/>
      <c r="AQ482" s="104" t="n"/>
      <c r="AR482" s="104" t="n"/>
      <c r="AS482" s="104" t="n"/>
      <c r="AT482" s="104" t="n"/>
      <c r="AU482" s="104" t="n"/>
      <c r="AV482" s="104" t="n"/>
      <c r="AW482" s="104" t="n"/>
      <c r="AX482" s="104" t="n"/>
      <c r="AY482" s="104" t="n"/>
      <c r="AZ482" s="104" t="n"/>
      <c r="BA482" s="104" t="n"/>
      <c r="BB482" s="104" t="n"/>
      <c r="BC482" s="104" t="n"/>
      <c r="BD482" s="104" t="n"/>
      <c r="BE482" s="104" t="n"/>
      <c r="BF482" s="104" t="n"/>
      <c r="BG482" s="104" t="n"/>
      <c r="BH482" s="104" t="n"/>
      <c r="BI482" s="104" t="n"/>
      <c r="BJ482" s="104" t="n"/>
      <c r="BK482" s="104" t="n"/>
      <c r="BL482" s="104" t="n"/>
      <c r="BM482" s="104" t="n"/>
      <c r="BN482" s="104" t="n"/>
      <c r="BO482" s="104" t="n"/>
      <c r="BP482" s="104" t="n"/>
      <c r="BQ482" s="104" t="n"/>
      <c r="BR482" s="104" t="n"/>
      <c r="BS482" s="104" t="n"/>
      <c r="BT482" s="104" t="n"/>
      <c r="BU482" s="104" t="n"/>
      <c r="BV482" s="104" t="n"/>
      <c r="BW482" s="104" t="n"/>
      <c r="BX482" s="104" t="n"/>
    </row>
    <row r="483">
      <c r="AC483" s="104" t="n"/>
      <c r="AD483" s="104" t="n"/>
      <c r="AE483" s="104" t="n"/>
      <c r="AF483" s="104" t="n"/>
      <c r="AG483" s="104" t="n"/>
      <c r="AH483" s="104" t="n"/>
      <c r="AI483" s="104" t="n"/>
      <c r="AJ483" s="104" t="n"/>
      <c r="AK483" s="104" t="n"/>
      <c r="AL483" s="104" t="n"/>
      <c r="AM483" s="104" t="n"/>
      <c r="AN483" s="104" t="n"/>
      <c r="AO483" s="104" t="n"/>
      <c r="AP483" s="104" t="n"/>
      <c r="AQ483" s="104" t="n"/>
      <c r="AR483" s="104" t="n"/>
      <c r="AS483" s="104" t="n"/>
      <c r="AT483" s="104" t="n"/>
      <c r="AU483" s="104" t="n"/>
      <c r="AV483" s="104" t="n"/>
      <c r="AW483" s="104" t="n"/>
      <c r="AX483" s="104" t="n"/>
      <c r="AY483" s="104" t="n"/>
      <c r="AZ483" s="104" t="n"/>
      <c r="BA483" s="104" t="n"/>
      <c r="BB483" s="104" t="n"/>
      <c r="BC483" s="104" t="n"/>
      <c r="BD483" s="104" t="n"/>
      <c r="BE483" s="104" t="n"/>
      <c r="BF483" s="104" t="n"/>
      <c r="BG483" s="104" t="n"/>
      <c r="BH483" s="104" t="n"/>
      <c r="BI483" s="104" t="n"/>
      <c r="BJ483" s="104" t="n"/>
      <c r="BK483" s="104" t="n"/>
      <c r="BL483" s="104" t="n"/>
      <c r="BM483" s="104" t="n"/>
      <c r="BN483" s="104" t="n"/>
      <c r="BO483" s="104" t="n"/>
      <c r="BP483" s="104" t="n"/>
      <c r="BQ483" s="104" t="n"/>
      <c r="BR483" s="104" t="n"/>
      <c r="BS483" s="104" t="n"/>
      <c r="BT483" s="104" t="n"/>
      <c r="BU483" s="104" t="n"/>
      <c r="BV483" s="104" t="n"/>
      <c r="BW483" s="104" t="n"/>
      <c r="BX483" s="104" t="n"/>
    </row>
    <row r="484">
      <c r="AC484" s="104" t="n"/>
      <c r="AD484" s="104" t="n"/>
      <c r="AE484" s="104" t="n"/>
      <c r="AF484" s="104" t="n"/>
      <c r="AG484" s="104" t="n"/>
      <c r="AH484" s="104" t="n"/>
      <c r="AI484" s="104" t="n"/>
      <c r="AJ484" s="104" t="n"/>
      <c r="AK484" s="104" t="n"/>
      <c r="AL484" s="104" t="n"/>
      <c r="AM484" s="104" t="n"/>
      <c r="AN484" s="104" t="n"/>
      <c r="AO484" s="104" t="n"/>
      <c r="AP484" s="104" t="n"/>
      <c r="AQ484" s="104" t="n"/>
      <c r="AR484" s="104" t="n"/>
      <c r="AS484" s="104" t="n"/>
      <c r="AT484" s="104" t="n"/>
      <c r="AU484" s="104" t="n"/>
      <c r="AV484" s="104" t="n"/>
      <c r="AW484" s="104" t="n"/>
      <c r="AX484" s="104" t="n"/>
      <c r="AY484" s="104" t="n"/>
      <c r="AZ484" s="104" t="n"/>
      <c r="BA484" s="104" t="n"/>
      <c r="BB484" s="104" t="n"/>
      <c r="BC484" s="104" t="n"/>
      <c r="BD484" s="104" t="n"/>
      <c r="BE484" s="104" t="n"/>
      <c r="BF484" s="104" t="n"/>
      <c r="BG484" s="104" t="n"/>
      <c r="BH484" s="104" t="n"/>
      <c r="BI484" s="104" t="n"/>
      <c r="BJ484" s="104" t="n"/>
      <c r="BK484" s="104" t="n"/>
      <c r="BL484" s="104" t="n"/>
      <c r="BM484" s="104" t="n"/>
      <c r="BN484" s="104" t="n"/>
      <c r="BO484" s="104" t="n"/>
      <c r="BP484" s="104" t="n"/>
      <c r="BQ484" s="104" t="n"/>
      <c r="BR484" s="104" t="n"/>
      <c r="BS484" s="104" t="n"/>
      <c r="BT484" s="104" t="n"/>
      <c r="BU484" s="104" t="n"/>
      <c r="BV484" s="104" t="n"/>
      <c r="BW484" s="104" t="n"/>
      <c r="BX484" s="104" t="n"/>
    </row>
    <row r="485">
      <c r="AC485" s="104" t="n"/>
      <c r="AD485" s="104" t="n"/>
      <c r="AE485" s="104" t="n"/>
      <c r="AF485" s="104" t="n"/>
      <c r="AG485" s="104" t="n"/>
      <c r="AH485" s="104" t="n"/>
      <c r="AI485" s="104" t="n"/>
      <c r="AJ485" s="104" t="n"/>
      <c r="AK485" s="104" t="n"/>
      <c r="AL485" s="104" t="n"/>
      <c r="AM485" s="104" t="n"/>
      <c r="AN485" s="104" t="n"/>
      <c r="AO485" s="104" t="n"/>
      <c r="AP485" s="104" t="n"/>
      <c r="AQ485" s="104" t="n"/>
      <c r="AR485" s="104" t="n"/>
      <c r="AS485" s="104" t="n"/>
      <c r="AT485" s="104" t="n"/>
      <c r="AU485" s="104" t="n"/>
      <c r="AV485" s="104" t="n"/>
      <c r="AW485" s="104" t="n"/>
      <c r="AX485" s="104" t="n"/>
      <c r="AY485" s="104" t="n"/>
      <c r="AZ485" s="104" t="n"/>
      <c r="BA485" s="104" t="n"/>
      <c r="BB485" s="104" t="n"/>
      <c r="BC485" s="104" t="n"/>
      <c r="BD485" s="104" t="n"/>
      <c r="BE485" s="104" t="n"/>
      <c r="BF485" s="104" t="n"/>
      <c r="BG485" s="104" t="n"/>
      <c r="BH485" s="104" t="n"/>
      <c r="BI485" s="104" t="n"/>
      <c r="BJ485" s="104" t="n"/>
      <c r="BK485" s="104" t="n"/>
      <c r="BL485" s="104" t="n"/>
      <c r="BM485" s="104" t="n"/>
      <c r="BN485" s="104" t="n"/>
      <c r="BO485" s="104" t="n"/>
      <c r="BP485" s="104" t="n"/>
      <c r="BQ485" s="104" t="n"/>
      <c r="BR485" s="104" t="n"/>
      <c r="BS485" s="104" t="n"/>
      <c r="BT485" s="104" t="n"/>
      <c r="BU485" s="104" t="n"/>
      <c r="BV485" s="104" t="n"/>
      <c r="BW485" s="104" t="n"/>
      <c r="BX485" s="104" t="n"/>
    </row>
    <row r="486">
      <c r="AC486" s="104" t="n"/>
      <c r="AD486" s="104" t="n"/>
      <c r="AE486" s="104" t="n"/>
      <c r="AF486" s="104" t="n"/>
      <c r="AG486" s="104" t="n"/>
      <c r="AH486" s="104" t="n"/>
      <c r="AI486" s="104" t="n"/>
      <c r="AJ486" s="104" t="n"/>
      <c r="AK486" s="104" t="n"/>
      <c r="AL486" s="104" t="n"/>
      <c r="AM486" s="104" t="n"/>
      <c r="AN486" s="104" t="n"/>
      <c r="AO486" s="104" t="n"/>
      <c r="AP486" s="104" t="n"/>
      <c r="AQ486" s="104" t="n"/>
      <c r="AR486" s="104" t="n"/>
      <c r="AS486" s="104" t="n"/>
      <c r="AT486" s="104" t="n"/>
      <c r="AU486" s="104" t="n"/>
      <c r="AV486" s="104" t="n"/>
      <c r="AW486" s="104" t="n"/>
      <c r="AX486" s="104" t="n"/>
      <c r="AY486" s="104" t="n"/>
      <c r="AZ486" s="104" t="n"/>
      <c r="BA486" s="104" t="n"/>
      <c r="BB486" s="104" t="n"/>
      <c r="BC486" s="104" t="n"/>
      <c r="BD486" s="104" t="n"/>
      <c r="BE486" s="104" t="n"/>
      <c r="BF486" s="104" t="n"/>
      <c r="BG486" s="104" t="n"/>
      <c r="BH486" s="104" t="n"/>
      <c r="BI486" s="104" t="n"/>
      <c r="BJ486" s="104" t="n"/>
      <c r="BK486" s="104" t="n"/>
      <c r="BL486" s="104" t="n"/>
      <c r="BM486" s="104" t="n"/>
      <c r="BN486" s="104" t="n"/>
      <c r="BO486" s="104" t="n"/>
      <c r="BP486" s="104" t="n"/>
      <c r="BQ486" s="104" t="n"/>
      <c r="BR486" s="104" t="n"/>
      <c r="BS486" s="104" t="n"/>
      <c r="BT486" s="104" t="n"/>
      <c r="BU486" s="104" t="n"/>
      <c r="BV486" s="104" t="n"/>
      <c r="BW486" s="104" t="n"/>
      <c r="BX486" s="104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D43:I43"/>
    <mergeCell ref="H39:I39"/>
    <mergeCell ref="D6:K6"/>
    <mergeCell ref="C12:C13"/>
    <mergeCell ref="B11:L11"/>
    <mergeCell ref="G12:J12"/>
    <mergeCell ref="B42:C42"/>
    <mergeCell ref="K12:K13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45:G45"/>
    <mergeCell ref="B34:C34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abSelected="1" zoomScaleNormal="100" workbookViewId="0">
      <pane xSplit="1" topLeftCell="B1" activePane="topRight" state="frozen"/>
      <selection pane="topRight" activeCell="H42" sqref="H42"/>
    </sheetView>
  </sheetViews>
  <sheetFormatPr baseColWidth="8" defaultColWidth="9" defaultRowHeight="15"/>
  <cols>
    <col width="28.85546875" customWidth="1" style="1" min="2" max="2"/>
    <col width="21.85546875" customWidth="1" style="6" min="3" max="3"/>
    <col width="9" customWidth="1" style="6" min="4" max="4"/>
    <col width="13.5703125" customWidth="1" style="6" min="6" max="6"/>
    <col width="11.85546875" customWidth="1" style="6" min="7" max="9"/>
    <col width="10.140625" customWidth="1" style="6" min="10" max="10"/>
    <col width="9.42578125" customWidth="1" style="6" min="11" max="11"/>
    <col width="9.28515625" customWidth="1" style="6" min="12" max="12"/>
    <col width="12.85546875" customWidth="1" style="6" min="14" max="19"/>
    <col width="12.85546875" customWidth="1" style="7" min="20" max="20"/>
    <col width="10.85546875" customWidth="1" style="6" min="21" max="25"/>
    <col width="10.85546875" customWidth="1" style="7" min="26" max="26"/>
    <col width="10.5703125" customWidth="1" style="6" min="27" max="27"/>
    <col width="9" customWidth="1" style="7" min="32" max="32"/>
    <col width="10.85546875" customWidth="1" style="6" min="33" max="33"/>
    <col width="10.85546875" customWidth="1" style="5" min="39" max="39"/>
    <col width="8.7109375" customWidth="1" style="5" min="40" max="43"/>
    <col width="8.7109375" customWidth="1" style="8" min="44" max="44"/>
    <col width="10.85546875" customWidth="1" style="8" min="45" max="45"/>
    <col width="8.7109375" customWidth="1" style="8" min="46" max="50"/>
    <col width="11" customWidth="1" style="5" min="51" max="51"/>
    <col width="8.7109375" customWidth="1" style="5" min="52" max="55"/>
    <col width="8.7109375" customWidth="1" style="8" min="56" max="56"/>
    <col width="11" customWidth="1" style="8" min="57" max="57"/>
    <col width="8.7109375" customWidth="1" style="8" min="58" max="62"/>
    <col width="11.85546875" customWidth="1" style="8" min="63" max="63"/>
    <col width="9.42578125" customWidth="1" style="8" min="64" max="64"/>
    <col width="10" customWidth="1" style="8" min="65" max="65"/>
    <col width="9.5703125" customWidth="1" style="8" min="66" max="66"/>
    <col width="9" customWidth="1" style="7" min="67" max="68"/>
    <col width="10.85546875" customWidth="1" style="7" min="69" max="69"/>
    <col width="9" customWidth="1" style="7" min="70" max="73"/>
    <col width="9.85546875" customWidth="1" style="7" min="74" max="74"/>
    <col width="11.85546875" customWidth="1" style="7" min="75" max="75"/>
    <col width="9" customWidth="1" style="7" min="76" max="80"/>
    <col width="11.28515625" customWidth="1" style="7" min="81" max="81"/>
    <col width="9" customWidth="1" style="7" min="82" max="86"/>
    <col width="10.7109375" customWidth="1" style="7" min="87" max="87"/>
    <col width="9" customWidth="1" style="7" min="88" max="92"/>
    <col width="11.140625" customWidth="1" style="7" min="93" max="93"/>
    <col width="9" customWidth="1" style="7" min="94" max="98"/>
    <col width="11.140625" customWidth="1" style="7" min="99" max="99"/>
    <col width="9" customWidth="1" style="7" min="100" max="104"/>
    <col width="11.85546875" customWidth="1" style="7" min="105" max="105"/>
    <col width="9" customWidth="1" style="7" min="106" max="110"/>
    <col width="10.85546875" customWidth="1" style="7" min="111" max="111"/>
    <col width="8.7109375" customWidth="1" style="9" min="112" max="112"/>
    <col width="8.7109375" customWidth="1" style="10" min="113" max="113"/>
    <col width="15.42578125" customWidth="1" style="6" min="114" max="114"/>
    <col width="15.140625" customWidth="1" style="6" min="115" max="115"/>
    <col width="14.42578125" customWidth="1" style="6" min="116" max="117"/>
    <col width="14.85546875" customWidth="1" style="6" min="118" max="118"/>
    <col width="15.140625" customWidth="1" style="6" min="119" max="119"/>
    <col width="14.28515625" customWidth="1" style="6" min="120" max="120"/>
    <col width="15" customWidth="1" style="6" min="121" max="121"/>
    <col width="9.85546875" customWidth="1" style="6" min="122" max="122"/>
    <col width="14.28515625" customWidth="1" style="6" min="124" max="124"/>
    <col width="14.42578125" customWidth="1" style="6" min="125" max="126"/>
    <col width="15.42578125" customWidth="1" style="6" min="127" max="127"/>
    <col width="15.140625" customWidth="1" style="6" min="128" max="128"/>
    <col width="14.85546875" customWidth="1" style="6" min="129" max="129"/>
    <col width="16.28515625" customWidth="1" style="6" min="130" max="130"/>
    <col width="70.42578125" customWidth="1" style="6" min="131" max="131"/>
    <col width="71.42578125" customWidth="1" style="6" min="132" max="132"/>
    <col width="36.140625" customWidth="1" style="11" min="133" max="133"/>
    <col width="70.42578125" customWidth="1" style="6" min="134" max="134"/>
  </cols>
  <sheetData>
    <row r="1" ht="14.45" customHeight="1" s="6">
      <c r="A1" s="12" t="n">
        <v>1</v>
      </c>
      <c r="B1" s="12" t="n">
        <v>2</v>
      </c>
      <c r="C1" s="12" t="n">
        <v>3</v>
      </c>
      <c r="D1" s="12" t="n">
        <v>4</v>
      </c>
      <c r="E1" s="12" t="n">
        <v>5</v>
      </c>
      <c r="F1" s="12" t="n">
        <v>6</v>
      </c>
      <c r="G1" s="12" t="n">
        <v>7</v>
      </c>
      <c r="H1" s="12" t="n">
        <v>8</v>
      </c>
      <c r="I1" s="12" t="n">
        <v>9</v>
      </c>
      <c r="J1" s="12" t="n">
        <v>10</v>
      </c>
      <c r="K1" s="12" t="n">
        <v>11</v>
      </c>
      <c r="L1" s="12" t="n">
        <v>12</v>
      </c>
      <c r="M1" s="12" t="n">
        <v>13</v>
      </c>
      <c r="N1" s="12" t="n">
        <v>14</v>
      </c>
      <c r="O1" s="12" t="n">
        <v>15</v>
      </c>
      <c r="P1" s="12" t="n">
        <v>16</v>
      </c>
      <c r="Q1" s="12" t="n">
        <v>17</v>
      </c>
      <c r="R1" s="12" t="n">
        <v>18</v>
      </c>
      <c r="S1" s="12" t="n">
        <v>19</v>
      </c>
      <c r="T1" s="12" t="n">
        <v>20</v>
      </c>
      <c r="U1" s="12" t="n">
        <v>21</v>
      </c>
      <c r="V1" s="12" t="n">
        <v>22</v>
      </c>
      <c r="W1" s="12" t="n">
        <v>23</v>
      </c>
      <c r="X1" s="12" t="n">
        <v>24</v>
      </c>
      <c r="Y1" s="12" t="n">
        <v>25</v>
      </c>
      <c r="Z1" s="12" t="n">
        <v>26</v>
      </c>
      <c r="AA1" s="12" t="n">
        <v>27</v>
      </c>
      <c r="AB1" s="12" t="n">
        <v>28</v>
      </c>
      <c r="AC1" s="12" t="n">
        <v>29</v>
      </c>
      <c r="AD1" s="12" t="n">
        <v>30</v>
      </c>
      <c r="AE1" s="12" t="n">
        <v>31</v>
      </c>
      <c r="AF1" s="12" t="n">
        <v>32</v>
      </c>
      <c r="AG1" s="12" t="n">
        <v>33</v>
      </c>
      <c r="AH1" s="12" t="n">
        <v>34</v>
      </c>
      <c r="AI1" s="12" t="n">
        <v>35</v>
      </c>
      <c r="AJ1" s="12" t="n">
        <v>36</v>
      </c>
      <c r="AK1" s="12" t="n">
        <v>37</v>
      </c>
      <c r="AL1" s="12" t="n">
        <v>38</v>
      </c>
      <c r="AM1" s="12" t="n">
        <v>39</v>
      </c>
      <c r="AN1" s="12" t="n">
        <v>40</v>
      </c>
      <c r="AO1" s="12" t="n">
        <v>41</v>
      </c>
      <c r="AP1" s="12" t="n">
        <v>42</v>
      </c>
      <c r="AQ1" s="12" t="n">
        <v>43</v>
      </c>
      <c r="AR1" s="12" t="n">
        <v>44</v>
      </c>
      <c r="AS1" s="12" t="n">
        <v>45</v>
      </c>
      <c r="AT1" s="12" t="n">
        <v>46</v>
      </c>
      <c r="AU1" s="12" t="n">
        <v>47</v>
      </c>
      <c r="AV1" s="12" t="n">
        <v>48</v>
      </c>
      <c r="AW1" s="12" t="n">
        <v>49</v>
      </c>
      <c r="AX1" s="12" t="n">
        <v>50</v>
      </c>
      <c r="AY1" s="12" t="n">
        <v>51</v>
      </c>
      <c r="AZ1" s="12" t="n">
        <v>52</v>
      </c>
      <c r="BA1" s="12" t="n">
        <v>53</v>
      </c>
      <c r="BB1" s="12" t="n">
        <v>54</v>
      </c>
      <c r="BC1" s="12" t="n">
        <v>55</v>
      </c>
      <c r="BD1" s="12" t="n">
        <v>56</v>
      </c>
      <c r="BE1" s="12" t="n">
        <v>57</v>
      </c>
      <c r="BF1" s="12" t="n">
        <v>58</v>
      </c>
      <c r="BG1" s="12" t="n">
        <v>59</v>
      </c>
      <c r="BH1" s="12" t="n">
        <v>60</v>
      </c>
      <c r="BI1" s="12" t="n">
        <v>61</v>
      </c>
      <c r="BJ1" s="12" t="n">
        <v>62</v>
      </c>
      <c r="BK1" s="12" t="n">
        <v>63</v>
      </c>
      <c r="BL1" s="12" t="n">
        <v>64</v>
      </c>
      <c r="BM1" s="12" t="n">
        <v>65</v>
      </c>
      <c r="BN1" s="12" t="n">
        <v>66</v>
      </c>
      <c r="BO1" s="12" t="n">
        <v>67</v>
      </c>
      <c r="BP1" s="12" t="n">
        <v>68</v>
      </c>
      <c r="BQ1" s="12" t="n">
        <v>69</v>
      </c>
      <c r="BR1" s="12" t="n">
        <v>70</v>
      </c>
      <c r="BS1" s="12" t="n">
        <v>71</v>
      </c>
      <c r="BT1" s="12" t="n">
        <v>72</v>
      </c>
      <c r="BU1" s="12" t="n">
        <v>73</v>
      </c>
      <c r="BV1" s="12" t="n">
        <v>74</v>
      </c>
      <c r="BW1" s="12" t="n">
        <v>75</v>
      </c>
      <c r="BX1" s="12" t="n">
        <v>76</v>
      </c>
      <c r="BY1" s="12" t="n">
        <v>77</v>
      </c>
      <c r="BZ1" s="12" t="n">
        <v>78</v>
      </c>
      <c r="CA1" s="12" t="n">
        <v>79</v>
      </c>
      <c r="CB1" s="12" t="n">
        <v>80</v>
      </c>
      <c r="CC1" s="12" t="n">
        <v>81</v>
      </c>
      <c r="CD1" s="12" t="n">
        <v>82</v>
      </c>
      <c r="CE1" s="12" t="n">
        <v>83</v>
      </c>
      <c r="CF1" s="12" t="n">
        <v>84</v>
      </c>
      <c r="CG1" s="12" t="n">
        <v>85</v>
      </c>
      <c r="CH1" s="12" t="n">
        <v>86</v>
      </c>
      <c r="CI1" s="12" t="n">
        <v>87</v>
      </c>
      <c r="CJ1" s="12" t="n">
        <v>88</v>
      </c>
      <c r="CK1" s="12" t="n">
        <v>89</v>
      </c>
      <c r="CL1" s="12" t="n">
        <v>90</v>
      </c>
      <c r="CM1" s="12" t="n">
        <v>91</v>
      </c>
      <c r="CN1" s="12" t="n">
        <v>92</v>
      </c>
      <c r="CO1" s="12" t="n">
        <v>93</v>
      </c>
      <c r="CP1" s="12" t="n">
        <v>94</v>
      </c>
      <c r="CQ1" s="12" t="n">
        <v>95</v>
      </c>
      <c r="CR1" s="12" t="n">
        <v>96</v>
      </c>
      <c r="CS1" s="12" t="n">
        <v>97</v>
      </c>
      <c r="CT1" s="12" t="n">
        <v>98</v>
      </c>
      <c r="CU1" s="12" t="n">
        <v>99</v>
      </c>
      <c r="CV1" s="12" t="n">
        <v>100</v>
      </c>
      <c r="CW1" s="12" t="n">
        <v>101</v>
      </c>
      <c r="CX1" s="12" t="n">
        <v>102</v>
      </c>
      <c r="CY1" s="12" t="n">
        <v>103</v>
      </c>
      <c r="CZ1" s="12" t="n">
        <v>104</v>
      </c>
      <c r="DA1" s="12" t="n">
        <v>105</v>
      </c>
      <c r="DB1" s="12" t="n">
        <v>106</v>
      </c>
      <c r="DC1" s="12" t="n">
        <v>107</v>
      </c>
      <c r="DD1" s="12" t="n">
        <v>108</v>
      </c>
      <c r="DE1" s="12" t="n">
        <v>109</v>
      </c>
      <c r="DF1" s="12" t="n">
        <v>110</v>
      </c>
      <c r="DG1" s="12" t="n">
        <v>111</v>
      </c>
      <c r="DH1" s="12" t="n">
        <v>112</v>
      </c>
      <c r="DI1" s="12" t="n">
        <v>113</v>
      </c>
      <c r="DJ1" s="12" t="n">
        <v>114</v>
      </c>
      <c r="DK1" s="12" t="n">
        <v>115</v>
      </c>
      <c r="DL1" s="12" t="n">
        <v>116</v>
      </c>
      <c r="DM1" s="12" t="n">
        <v>117</v>
      </c>
      <c r="DN1" s="12" t="n">
        <v>118</v>
      </c>
      <c r="DO1" s="12" t="n">
        <v>119</v>
      </c>
      <c r="DP1" s="12" t="n">
        <v>120</v>
      </c>
      <c r="DQ1" s="12" t="n">
        <v>121</v>
      </c>
      <c r="DR1" s="12" t="n">
        <v>122</v>
      </c>
      <c r="DS1" s="12" t="n">
        <v>123</v>
      </c>
      <c r="DT1" s="12" t="n">
        <v>124</v>
      </c>
      <c r="DU1" s="12" t="n">
        <v>125</v>
      </c>
      <c r="DV1" s="12" t="n">
        <v>126</v>
      </c>
      <c r="DW1" s="12" t="n">
        <v>127</v>
      </c>
      <c r="DX1" s="12" t="n">
        <v>128</v>
      </c>
      <c r="DY1" s="12" t="n">
        <v>129</v>
      </c>
      <c r="DZ1" s="12" t="n">
        <v>130</v>
      </c>
      <c r="EA1" s="12" t="n">
        <v>131</v>
      </c>
      <c r="EB1" s="12" t="n">
        <v>132</v>
      </c>
      <c r="EC1" s="12" t="n">
        <v>133</v>
      </c>
      <c r="ED1" s="12" t="n">
        <v>134</v>
      </c>
    </row>
    <row r="2" ht="30.95" customFormat="1" customHeight="1" s="5">
      <c r="A2" s="13" t="n"/>
      <c r="B2" s="14" t="n"/>
      <c r="C2" s="13" t="n"/>
      <c r="D2" s="13" t="n"/>
      <c r="E2" s="13" t="n"/>
      <c r="F2" s="13" t="n"/>
      <c r="G2" s="13" t="n"/>
      <c r="H2" s="13" t="n"/>
      <c r="I2" s="13" t="n"/>
      <c r="J2" s="205" t="inlineStr">
        <is>
          <t>General Mathematics</t>
        </is>
      </c>
      <c r="K2" s="195" t="n"/>
      <c r="L2" s="195" t="n"/>
      <c r="M2" s="195" t="n"/>
      <c r="N2" s="195" t="n"/>
      <c r="O2" s="196" t="n"/>
      <c r="P2" s="194" t="inlineStr">
        <is>
          <t>English Language</t>
        </is>
      </c>
      <c r="Q2" s="195" t="n"/>
      <c r="R2" s="195" t="n"/>
      <c r="S2" s="195" t="n"/>
      <c r="T2" s="195" t="n"/>
      <c r="U2" s="196" t="n"/>
      <c r="V2" s="198" t="inlineStr">
        <is>
          <t>Basic Science</t>
        </is>
      </c>
      <c r="W2" s="195" t="n"/>
      <c r="X2" s="195" t="n"/>
      <c r="Y2" s="195" t="n"/>
      <c r="Z2" s="195" t="n"/>
      <c r="AA2" s="196" t="n"/>
      <c r="AB2" s="197" t="inlineStr">
        <is>
          <t>Basic Technology</t>
        </is>
      </c>
      <c r="AC2" s="195" t="n"/>
      <c r="AD2" s="195" t="n"/>
      <c r="AE2" s="195" t="n"/>
      <c r="AF2" s="195" t="n"/>
      <c r="AG2" s="196" t="n"/>
      <c r="AH2" s="198" t="inlineStr">
        <is>
          <t>Business Studies</t>
        </is>
      </c>
      <c r="AI2" s="195" t="n"/>
      <c r="AJ2" s="195" t="n"/>
      <c r="AK2" s="195" t="n"/>
      <c r="AL2" s="195" t="n"/>
      <c r="AM2" s="196" t="n"/>
      <c r="AN2" s="197" t="inlineStr">
        <is>
          <t>CCA</t>
        </is>
      </c>
      <c r="AO2" s="195" t="n"/>
      <c r="AP2" s="195" t="n"/>
      <c r="AQ2" s="195" t="n"/>
      <c r="AR2" s="195" t="n"/>
      <c r="AS2" s="196" t="n"/>
      <c r="AT2" s="203" t="inlineStr">
        <is>
          <t>Social Studies</t>
        </is>
      </c>
      <c r="AU2" s="195" t="n"/>
      <c r="AV2" s="195" t="n"/>
      <c r="AW2" s="195" t="n"/>
      <c r="AX2" s="195" t="n"/>
      <c r="AY2" s="196" t="n"/>
      <c r="AZ2" s="204" t="inlineStr">
        <is>
          <t>Agriculture-Science</t>
        </is>
      </c>
      <c r="BA2" s="195" t="n"/>
      <c r="BB2" s="195" t="n"/>
      <c r="BC2" s="195" t="n"/>
      <c r="BD2" s="195" t="n"/>
      <c r="BE2" s="196" t="n"/>
      <c r="BF2" s="198" t="inlineStr">
        <is>
          <t>Yoruba</t>
        </is>
      </c>
      <c r="BG2" s="195" t="n"/>
      <c r="BH2" s="195" t="n"/>
      <c r="BI2" s="195" t="n"/>
      <c r="BJ2" s="195" t="n"/>
      <c r="BK2" s="196" t="n"/>
      <c r="BL2" s="197" t="inlineStr">
        <is>
          <t>PHE</t>
        </is>
      </c>
      <c r="BM2" s="195" t="n"/>
      <c r="BN2" s="195" t="n"/>
      <c r="BO2" s="195" t="n"/>
      <c r="BP2" s="195" t="n"/>
      <c r="BQ2" s="196" t="n"/>
      <c r="BR2" s="198" t="inlineStr">
        <is>
          <t>Home-Economics</t>
        </is>
      </c>
      <c r="BS2" s="195" t="n"/>
      <c r="BT2" s="195" t="n"/>
      <c r="BU2" s="195" t="n"/>
      <c r="BV2" s="195" t="n"/>
      <c r="BW2" s="196" t="n"/>
      <c r="BX2" s="197" t="inlineStr">
        <is>
          <t>Civic Education</t>
        </is>
      </c>
      <c r="BY2" s="195" t="n"/>
      <c r="BZ2" s="195" t="n"/>
      <c r="CA2" s="195" t="n"/>
      <c r="CB2" s="195" t="n"/>
      <c r="CC2" s="196" t="n"/>
      <c r="CD2" s="198" t="inlineStr">
        <is>
          <t>Computer Studies</t>
        </is>
      </c>
      <c r="CE2" s="195" t="n"/>
      <c r="CF2" s="195" t="n"/>
      <c r="CG2" s="195" t="n"/>
      <c r="CH2" s="195" t="n"/>
      <c r="CI2" s="196" t="n"/>
      <c r="CJ2" s="197" t="inlineStr">
        <is>
          <t>History</t>
        </is>
      </c>
      <c r="CK2" s="195" t="n"/>
      <c r="CL2" s="195" t="n"/>
      <c r="CM2" s="195" t="n"/>
      <c r="CN2" s="195" t="n"/>
      <c r="CO2" s="196" t="n"/>
      <c r="CP2" s="198" t="inlineStr">
        <is>
          <t>Islamic Studies</t>
        </is>
      </c>
      <c r="CQ2" s="195" t="n"/>
      <c r="CR2" s="195" t="n"/>
      <c r="CS2" s="195" t="n"/>
      <c r="CT2" s="195" t="n"/>
      <c r="CU2" s="196" t="n"/>
      <c r="CV2" s="197" t="inlineStr">
        <is>
          <t>C.R.S</t>
        </is>
      </c>
      <c r="CW2" s="195" t="n"/>
      <c r="CX2" s="195" t="n"/>
      <c r="CY2" s="195" t="n"/>
      <c r="CZ2" s="195" t="n"/>
      <c r="DA2" s="196" t="n"/>
      <c r="DB2" s="198" t="inlineStr">
        <is>
          <t>French</t>
        </is>
      </c>
      <c r="DC2" s="195" t="n"/>
      <c r="DD2" s="195" t="n"/>
      <c r="DE2" s="195" t="n"/>
      <c r="DF2" s="195" t="n"/>
      <c r="DG2" s="196" t="n"/>
      <c r="DH2" s="32" t="n"/>
      <c r="DI2" s="35" t="n"/>
      <c r="DJ2" s="199" t="inlineStr">
        <is>
          <t>AFFECTIVE DOMAIN</t>
        </is>
      </c>
      <c r="DK2" s="200" t="n"/>
      <c r="DL2" s="200" t="n"/>
      <c r="DM2" s="200" t="n"/>
      <c r="DN2" s="200" t="n"/>
      <c r="DO2" s="200" t="n"/>
      <c r="DP2" s="200" t="n"/>
      <c r="DQ2" s="200" t="n"/>
      <c r="DR2" s="41" t="n"/>
      <c r="DS2" s="42" t="n"/>
      <c r="DT2" s="201" t="inlineStr">
        <is>
          <t>PSYCHOMOTOR DOMAIN</t>
        </is>
      </c>
      <c r="DU2" s="200" t="n"/>
      <c r="DV2" s="200" t="n"/>
      <c r="DW2" s="200" t="n"/>
      <c r="DX2" s="200" t="n"/>
      <c r="DY2" s="200" t="n"/>
      <c r="DZ2" s="202" t="n"/>
      <c r="EA2" s="46" t="n"/>
      <c r="EB2" s="47" t="n"/>
      <c r="EC2" s="47" t="n"/>
      <c r="ED2" s="47" t="n"/>
      <c r="EE2" s="48" t="n"/>
      <c r="EF2" s="48" t="n"/>
    </row>
    <row r="3" ht="69.59999999999999" customFormat="1" customHeight="1" s="5">
      <c r="A3" s="15" t="inlineStr">
        <is>
          <t>S/N</t>
        </is>
      </c>
      <c r="B3" s="16" t="inlineStr">
        <is>
          <t>Name</t>
        </is>
      </c>
      <c r="C3" s="16" t="inlineStr">
        <is>
          <t>Admission Number</t>
        </is>
      </c>
      <c r="D3" s="16" t="inlineStr">
        <is>
          <t>Gender</t>
        </is>
      </c>
      <c r="E3" s="17" t="inlineStr">
        <is>
          <t>Class</t>
        </is>
      </c>
      <c r="F3" s="17" t="inlineStr">
        <is>
          <t>NO OF STUDENTS IN CLASS</t>
        </is>
      </c>
      <c r="G3" s="17" t="inlineStr">
        <is>
          <t>NO OF TIMES SCHOOL OPENED</t>
        </is>
      </c>
      <c r="H3" s="17" t="inlineStr">
        <is>
          <t>NO OF TIMES PRESENT</t>
        </is>
      </c>
      <c r="I3" s="17" t="inlineStr">
        <is>
          <t>NO OF TIMES ABSENT</t>
        </is>
      </c>
      <c r="J3" s="23" t="inlineStr">
        <is>
          <t>3RD  TERM  C.A. (30%)</t>
        </is>
      </c>
      <c r="K3" s="23" t="inlineStr">
        <is>
          <t>3RD  TERM EXAM (70%)</t>
        </is>
      </c>
      <c r="L3" s="23" t="inlineStr">
        <is>
          <t>3RD  TERM  TOTAL (100%)</t>
        </is>
      </c>
      <c r="M3" s="23" t="inlineStr">
        <is>
          <t>2ND  TERM TOTAL (100%)</t>
        </is>
      </c>
      <c r="N3" s="23" t="inlineStr">
        <is>
          <t>1ST  TERM TOTAL  (100%)</t>
        </is>
      </c>
      <c r="O3" s="24" t="inlineStr">
        <is>
          <t xml:space="preserve"> AVERAGE SCORE</t>
        </is>
      </c>
      <c r="P3" s="25" t="inlineStr">
        <is>
          <t>3RD  TERM C.A.    (30%)</t>
        </is>
      </c>
      <c r="Q3" s="23" t="inlineStr">
        <is>
          <t>3RD  TERM  EXAM (70%)</t>
        </is>
      </c>
      <c r="R3" s="23" t="inlineStr">
        <is>
          <t>3RD  TERM  TOTAL (100%)</t>
        </is>
      </c>
      <c r="S3" s="23" t="inlineStr">
        <is>
          <t>2ND  TERM TOTAL (100%)</t>
        </is>
      </c>
      <c r="T3" s="23" t="inlineStr">
        <is>
          <t>1ST  TERM TOTAL (100%)</t>
        </is>
      </c>
      <c r="U3" s="24" t="inlineStr">
        <is>
          <t xml:space="preserve"> AVERAGE SCORE</t>
        </is>
      </c>
      <c r="V3" s="25" t="inlineStr">
        <is>
          <t>3RD TERM C.A.  (30%)</t>
        </is>
      </c>
      <c r="W3" s="25" t="inlineStr">
        <is>
          <t>3RD  TERM EXAM (70%)</t>
        </is>
      </c>
      <c r="X3" s="23" t="inlineStr">
        <is>
          <t>3RD  TERM  TOTAL (100%)</t>
        </is>
      </c>
      <c r="Y3" s="23" t="inlineStr">
        <is>
          <t>2ND  TERM TOTAL (100%)</t>
        </is>
      </c>
      <c r="Z3" s="23" t="inlineStr">
        <is>
          <t>1ST  TERM TOTAL (100%)</t>
        </is>
      </c>
      <c r="AA3" s="24" t="inlineStr">
        <is>
          <t>AVERAGE SCORE</t>
        </is>
      </c>
      <c r="AB3" s="25" t="inlineStr">
        <is>
          <t>3RD TERM C.A. (30%)</t>
        </is>
      </c>
      <c r="AC3" s="25" t="inlineStr">
        <is>
          <t>3RD  TERM EXAM (70%)</t>
        </is>
      </c>
      <c r="AD3" s="23" t="inlineStr">
        <is>
          <t>3RD  TERM  TOTAL (100%)</t>
        </is>
      </c>
      <c r="AE3" s="23" t="inlineStr">
        <is>
          <t>2ND  TERM TOTAL (100%)</t>
        </is>
      </c>
      <c r="AF3" s="23" t="inlineStr">
        <is>
          <t>1ST  TERM TOTAL (100%)</t>
        </is>
      </c>
      <c r="AG3" s="24" t="inlineStr">
        <is>
          <t>AVERAGE SCORE</t>
        </is>
      </c>
      <c r="AH3" s="25" t="inlineStr">
        <is>
          <t>3RD  TERM C.A. (30%)</t>
        </is>
      </c>
      <c r="AI3" s="25" t="inlineStr">
        <is>
          <t>3RD  TERM EXAM (70%)</t>
        </is>
      </c>
      <c r="AJ3" s="23" t="inlineStr">
        <is>
          <t>3RD  TERM  TOTAL (100%)</t>
        </is>
      </c>
      <c r="AK3" s="23" t="inlineStr">
        <is>
          <t>2ND  TERM TOTAL (100%)</t>
        </is>
      </c>
      <c r="AL3" s="23" t="inlineStr">
        <is>
          <t>1ST  TERM TOTAL (100%)</t>
        </is>
      </c>
      <c r="AM3" s="24" t="inlineStr">
        <is>
          <t>AVERAGE SCORE</t>
        </is>
      </c>
      <c r="AN3" s="25" t="inlineStr">
        <is>
          <t>3RD TERM C.A. (30%)</t>
        </is>
      </c>
      <c r="AO3" s="25" t="inlineStr">
        <is>
          <t>3RD  TERM EXAM (70%)</t>
        </is>
      </c>
      <c r="AP3" s="23" t="inlineStr">
        <is>
          <t>3RD  TERM  TOTAL   (100%)</t>
        </is>
      </c>
      <c r="AQ3" s="23" t="inlineStr">
        <is>
          <t>2ND  TERM TOTAL (100%)</t>
        </is>
      </c>
      <c r="AR3" s="23" t="inlineStr">
        <is>
          <t>1ST  TERM TOTAL (100%)</t>
        </is>
      </c>
      <c r="AS3" s="24" t="inlineStr">
        <is>
          <t>AVERAGE SCORE</t>
        </is>
      </c>
      <c r="AT3" s="25" t="inlineStr">
        <is>
          <t>3RD TERM C.A. (30%)</t>
        </is>
      </c>
      <c r="AU3" s="25" t="inlineStr">
        <is>
          <t>3RD  TERM EXAM (70%)</t>
        </is>
      </c>
      <c r="AV3" s="23" t="inlineStr">
        <is>
          <t>3RD  TERM  TOTAL (100%)</t>
        </is>
      </c>
      <c r="AW3" s="23" t="inlineStr">
        <is>
          <t>2ND  TERM TOTAL (100%)</t>
        </is>
      </c>
      <c r="AX3" s="23" t="inlineStr">
        <is>
          <t>1ST  TERM TOTAL (100%)</t>
        </is>
      </c>
      <c r="AY3" s="24" t="inlineStr">
        <is>
          <t>AVERAGE SCORE</t>
        </is>
      </c>
      <c r="AZ3" s="25" t="inlineStr">
        <is>
          <t>3RD TERM C.A. (30%)</t>
        </is>
      </c>
      <c r="BA3" s="25" t="inlineStr">
        <is>
          <t>3RD  TERM EXAM (70%)</t>
        </is>
      </c>
      <c r="BB3" s="23" t="inlineStr">
        <is>
          <t>3RD  TERM  TOTAL (100%)</t>
        </is>
      </c>
      <c r="BC3" s="23" t="inlineStr">
        <is>
          <t>2ND  TERM TOTAL (100%)</t>
        </is>
      </c>
      <c r="BD3" s="23" t="inlineStr">
        <is>
          <t>1ST  TERM TOTAL  (100%)</t>
        </is>
      </c>
      <c r="BE3" s="24" t="inlineStr">
        <is>
          <t>AVERAGE SCORE</t>
        </is>
      </c>
      <c r="BF3" s="25" t="inlineStr">
        <is>
          <t>3RD TERM C.A. (30%)</t>
        </is>
      </c>
      <c r="BG3" s="25" t="inlineStr">
        <is>
          <t>3RD  TERM EXAM (70%)</t>
        </is>
      </c>
      <c r="BH3" s="23" t="inlineStr">
        <is>
          <t>3RD  TERM  TOTAL (100%)</t>
        </is>
      </c>
      <c r="BI3" s="23" t="inlineStr">
        <is>
          <t>2ND  TERM TOTAL (100%)</t>
        </is>
      </c>
      <c r="BJ3" s="23" t="inlineStr">
        <is>
          <t>1ST  TERM TOTAL (100%)</t>
        </is>
      </c>
      <c r="BK3" s="24" t="inlineStr">
        <is>
          <t>AVERAGE SCORE</t>
        </is>
      </c>
      <c r="BL3" s="25" t="inlineStr">
        <is>
          <t>3RD TERM C.A. (30%)</t>
        </is>
      </c>
      <c r="BM3" s="25" t="inlineStr">
        <is>
          <t>3RD  TERM EXAM (70%)</t>
        </is>
      </c>
      <c r="BN3" s="23" t="inlineStr">
        <is>
          <t>3RD  TERM  TOTAL (100%)</t>
        </is>
      </c>
      <c r="BO3" s="23" t="inlineStr">
        <is>
          <t>2ND  TERM TOTAL (100%)</t>
        </is>
      </c>
      <c r="BP3" s="23" t="inlineStr">
        <is>
          <t>1ST  TERM TOTAL (100%)</t>
        </is>
      </c>
      <c r="BQ3" s="24" t="inlineStr">
        <is>
          <t>AVERAGE SCORE</t>
        </is>
      </c>
      <c r="BR3" s="25" t="inlineStr">
        <is>
          <t>3RD TERM C.A. (30%)</t>
        </is>
      </c>
      <c r="BS3" s="25" t="inlineStr">
        <is>
          <t>3RD  TERM EXAM (70%)</t>
        </is>
      </c>
      <c r="BT3" s="23" t="inlineStr">
        <is>
          <t>3RD  TERM  TOTAL (100%)</t>
        </is>
      </c>
      <c r="BU3" s="23" t="inlineStr">
        <is>
          <t>2ND  TERM TOTAL (100%)</t>
        </is>
      </c>
      <c r="BV3" s="23" t="inlineStr">
        <is>
          <t>1ST  TERM TOTAL (100%)</t>
        </is>
      </c>
      <c r="BW3" s="24" t="inlineStr">
        <is>
          <t>AVERAGE SCORE</t>
        </is>
      </c>
      <c r="BX3" s="25" t="inlineStr">
        <is>
          <t>3RD TERM C.A. (30%)</t>
        </is>
      </c>
      <c r="BY3" s="25" t="inlineStr">
        <is>
          <t>3RD  TERM EXAM (70%)</t>
        </is>
      </c>
      <c r="BZ3" s="23" t="inlineStr">
        <is>
          <t>3RD  TERM  TOTAL (100%)</t>
        </is>
      </c>
      <c r="CA3" s="23" t="inlineStr">
        <is>
          <t>2ND  TERM TOTAL (100%)</t>
        </is>
      </c>
      <c r="CB3" s="23" t="inlineStr">
        <is>
          <t>1ST  TERM TOTAL (100%)</t>
        </is>
      </c>
      <c r="CC3" s="24" t="inlineStr">
        <is>
          <t>AVERAGE SCORE</t>
        </is>
      </c>
      <c r="CD3" s="25" t="inlineStr">
        <is>
          <t>3RD TERM C.A. (30%)</t>
        </is>
      </c>
      <c r="CE3" s="25" t="inlineStr">
        <is>
          <t>3RD  TERM EXAM (70%)</t>
        </is>
      </c>
      <c r="CF3" s="23" t="inlineStr">
        <is>
          <t>3RD  TERM  TOTAL (100%)</t>
        </is>
      </c>
      <c r="CG3" s="23" t="inlineStr">
        <is>
          <t>2ND  TERM TOTAL (100%)</t>
        </is>
      </c>
      <c r="CH3" s="23" t="inlineStr">
        <is>
          <t>1ST  TERM TOTAL (100%)</t>
        </is>
      </c>
      <c r="CI3" s="24" t="inlineStr">
        <is>
          <t>AVERAGE SCORE</t>
        </is>
      </c>
      <c r="CJ3" s="25" t="inlineStr">
        <is>
          <t>3RD TERM C.A. (30%)</t>
        </is>
      </c>
      <c r="CK3" s="25" t="inlineStr">
        <is>
          <t>3RD  TERM EXAM (70%)</t>
        </is>
      </c>
      <c r="CL3" s="23" t="inlineStr">
        <is>
          <t>3RD  TERM  TOTAL (100%)</t>
        </is>
      </c>
      <c r="CM3" s="23" t="inlineStr">
        <is>
          <t>2ND  TERM TOTAL (100%)</t>
        </is>
      </c>
      <c r="CN3" s="23" t="inlineStr">
        <is>
          <t>1ST  TERM TOTAL (100%)</t>
        </is>
      </c>
      <c r="CO3" s="24" t="inlineStr">
        <is>
          <t>AVERAGE SCORE</t>
        </is>
      </c>
      <c r="CP3" s="25" t="inlineStr">
        <is>
          <t>3RD TERM C.A. (30%)</t>
        </is>
      </c>
      <c r="CQ3" s="25" t="inlineStr">
        <is>
          <t>3RD  TERM EXAM (70%)</t>
        </is>
      </c>
      <c r="CR3" s="23" t="inlineStr">
        <is>
          <t>3RD  TERM  TOTAL (100%)</t>
        </is>
      </c>
      <c r="CS3" s="23" t="inlineStr">
        <is>
          <t>2ND  TERM TOTAL (100%)</t>
        </is>
      </c>
      <c r="CT3" s="23" t="inlineStr">
        <is>
          <t>1ST  TERM TOTAL (100%)</t>
        </is>
      </c>
      <c r="CU3" s="24" t="inlineStr">
        <is>
          <t>AVERAGE SCORE</t>
        </is>
      </c>
      <c r="CV3" s="25" t="inlineStr">
        <is>
          <t>3RD TERM C.A. (30%)</t>
        </is>
      </c>
      <c r="CW3" s="25" t="inlineStr">
        <is>
          <t>3RD  TERM EXAM (70%)</t>
        </is>
      </c>
      <c r="CX3" s="23" t="inlineStr">
        <is>
          <t>3RD  TERM  TOTAL (100%)</t>
        </is>
      </c>
      <c r="CY3" s="23" t="inlineStr">
        <is>
          <t>2ND  TERM TOTAL (100%)</t>
        </is>
      </c>
      <c r="CZ3" s="23" t="inlineStr">
        <is>
          <t>1ST  TERM TOTAL (100%)</t>
        </is>
      </c>
      <c r="DA3" s="24" t="inlineStr">
        <is>
          <t>AVERAGE SCORE</t>
        </is>
      </c>
      <c r="DB3" s="25" t="inlineStr">
        <is>
          <t>3RD TERM C.A. (30%)</t>
        </is>
      </c>
      <c r="DC3" s="25" t="inlineStr">
        <is>
          <t>3RD  TERM EXAM (70%)</t>
        </is>
      </c>
      <c r="DD3" s="23" t="inlineStr">
        <is>
          <t>3RD  TERM  TOTAL (100%)</t>
        </is>
      </c>
      <c r="DE3" s="23" t="inlineStr">
        <is>
          <t>2ND  TERM TOTAL (100%)</t>
        </is>
      </c>
      <c r="DF3" s="23" t="inlineStr">
        <is>
          <t>1ST  TERM TOTAL (100%)</t>
        </is>
      </c>
      <c r="DG3" s="24" t="inlineStr">
        <is>
          <t>AVERAGE SCORE</t>
        </is>
      </c>
      <c r="DH3" s="33" t="inlineStr">
        <is>
          <t>TOTAL SCORE</t>
        </is>
      </c>
      <c r="DI3" s="36" t="inlineStr">
        <is>
          <t>POSITION</t>
        </is>
      </c>
      <c r="DJ3" s="37" t="inlineStr">
        <is>
          <t>PUNCTUALITY</t>
        </is>
      </c>
      <c r="DK3" s="38" t="inlineStr">
        <is>
          <t>NEATNESS</t>
        </is>
      </c>
      <c r="DL3" s="37" t="inlineStr">
        <is>
          <t>ATTENTIVENESS</t>
        </is>
      </c>
      <c r="DM3" s="37" t="inlineStr">
        <is>
          <t>RELATIONSHIP WITH OTHERS</t>
        </is>
      </c>
      <c r="DN3" s="37" t="inlineStr">
        <is>
          <t>POLITENESS</t>
        </is>
      </c>
      <c r="DO3" s="37" t="inlineStr">
        <is>
          <t>RESPONSIVENESS</t>
        </is>
      </c>
      <c r="DP3" s="37" t="inlineStr">
        <is>
          <t>COMMITMENT</t>
        </is>
      </c>
      <c r="DQ3" s="37" t="inlineStr">
        <is>
          <t>CONSISTENCY</t>
        </is>
      </c>
      <c r="DR3" s="43" t="inlineStr">
        <is>
          <t>ACADEMIC SESSION</t>
        </is>
      </c>
      <c r="DS3" s="43" t="inlineStr">
        <is>
          <t>TERM</t>
        </is>
      </c>
      <c r="DT3" s="44" t="inlineStr">
        <is>
          <t>CRAFTS/ DRAWING &amp; PAINTING</t>
        </is>
      </c>
      <c r="DU3" s="38" t="inlineStr">
        <is>
          <t>TECHNICAL SKILLS</t>
        </is>
      </c>
      <c r="DV3" s="38" t="inlineStr">
        <is>
          <t>ICT SKILLS</t>
        </is>
      </c>
      <c r="DW3" s="38" t="inlineStr">
        <is>
          <t>GARDENING/ FARMING SKILLS</t>
        </is>
      </c>
      <c r="DX3" s="38" t="inlineStr">
        <is>
          <t>GAMES &amp; SPORTS</t>
        </is>
      </c>
      <c r="DY3" s="38" t="inlineStr">
        <is>
          <t>CREATIVITY &amp; INITIATIVE</t>
        </is>
      </c>
      <c r="DZ3" s="49" t="inlineStr">
        <is>
          <t>VERBAL FLUENCY</t>
        </is>
      </c>
      <c r="EA3" s="50" t="inlineStr">
        <is>
          <t>CLASS TUTORS COMMENT</t>
        </is>
      </c>
      <c r="EB3" s="51" t="inlineStr">
        <is>
          <t>PRINCIPAL'S COMMENT</t>
        </is>
      </c>
      <c r="EC3" s="52" t="inlineStr">
        <is>
          <t>TUTOR'S NAME</t>
        </is>
      </c>
      <c r="ED3" s="52" t="inlineStr">
        <is>
          <t>NEXT TERM BEGINS</t>
        </is>
      </c>
    </row>
    <row r="4" ht="41.45" customHeight="1" s="6">
      <c r="A4" s="18" t="n">
        <v>1</v>
      </c>
      <c r="B4" s="19" t="inlineStr">
        <is>
          <t xml:space="preserve">ABDULAHI ADAM </t>
        </is>
      </c>
      <c r="C4" s="20" t="inlineStr">
        <is>
          <t>2035</t>
        </is>
      </c>
      <c r="D4" s="128" t="inlineStr">
        <is>
          <t>Male</t>
        </is>
      </c>
      <c r="E4" s="21" t="inlineStr">
        <is>
          <t>JSS 1B</t>
        </is>
      </c>
      <c r="F4" s="21" t="n">
        <v>39</v>
      </c>
      <c r="G4" s="21" t="n">
        <v>122</v>
      </c>
      <c r="H4" s="21" t="n">
        <v>32</v>
      </c>
      <c r="I4" s="26">
        <f>G4-H4</f>
        <v/>
      </c>
      <c r="J4" s="21" t="n">
        <v>16</v>
      </c>
      <c r="K4" s="21" t="n">
        <v>36</v>
      </c>
      <c r="L4" s="27">
        <f>SUM(J4:K4)</f>
        <v/>
      </c>
      <c r="M4" s="28" t="n">
        <v>54</v>
      </c>
      <c r="N4" s="28" t="n">
        <v>52</v>
      </c>
      <c r="O4" s="29">
        <f>IF(AND(L4=0,M4=0,N4=0),0,IF(AND(L4=0,M4=0),N4/1,IF(AND(L4=0,N4=0),M4/1,IF(AND(M4=0,N4=0),L4/1,IF(L4=0,FLOOR((M4+N4)/2,0.1),IF(M4=0,(L4+N4)/2,IF(N4=0,(M4+L4)/2,FLOOR(((L4+M4+N4)/3),0.1))))))))</f>
        <v/>
      </c>
      <c r="P4" s="21" t="n">
        <v>16</v>
      </c>
      <c r="Q4" s="21" t="n">
        <v>38</v>
      </c>
      <c r="R4" s="27">
        <f>SUM(P4:Q4)</f>
        <v/>
      </c>
      <c r="S4" s="28" t="n">
        <v>66</v>
      </c>
      <c r="T4" s="28" t="n">
        <v>52</v>
      </c>
      <c r="U4" s="29">
        <f>IF(AND(R4=0,S4=0,T4=0),0,IF(AND(R4=0,S4=0),T4/1,IF(AND(R4=0,T4=0),S4/1,IF(AND(S4=0,T4=0),R4/1,IF(R4=0,FLOOR((S4+T4)/2,0.1),IF(S4=0,(R4+T4)/2,IF(T4=0,(S4+R4)/2,FLOOR(((R4+S4+T4)/3),0.1))))))))</f>
        <v/>
      </c>
      <c r="V4" s="21" t="n">
        <v>16</v>
      </c>
      <c r="W4" s="21" t="n">
        <v>38</v>
      </c>
      <c r="X4" s="27">
        <f>SUM(V4:W4)</f>
        <v/>
      </c>
      <c r="Y4" s="28" t="n">
        <v>58</v>
      </c>
      <c r="Z4" s="28" t="n">
        <v>52</v>
      </c>
      <c r="AA4" s="29">
        <f>IF(AND(X4=0,Y4=0,Z4=0),0,IF(AND(X4=0,Y4=0),Z4/1,IF(AND(X4=0,Z4=0),Y4/1,IF(AND(Y4=0,Z4=0),X4/1,IF(X4=0,FLOOR((Y4+Z4)/2,0.1),IF(Y4=0,(X4+Z4)/2,IF(Z4=0,(Y4+X4)/2,FLOOR(((X4+Y4+Z4)/3),0.1))))))))</f>
        <v/>
      </c>
      <c r="AB4" s="21" t="n">
        <v>0</v>
      </c>
      <c r="AC4" s="21" t="n">
        <v>34</v>
      </c>
      <c r="AD4" s="27">
        <f>SUM(AB4:AC4)</f>
        <v/>
      </c>
      <c r="AE4" s="28" t="n">
        <v>34</v>
      </c>
      <c r="AF4" s="28" t="n">
        <v>34</v>
      </c>
      <c r="AG4" s="29">
        <f>IF(AND(AD4=0,AE4=0,AF4=0),0,IF(AND(AD4=0,AE4=0),AF4/1,IF(AND(AD4=0,AF4=0),AE4/1,IF(AND(AE4=0,AF4=0),AD4/1,IF(AD4=0,FLOOR((AE4+AF4)/2,0.1),IF(AE4=0,(AD4+AF4)/2,IF(AF4=0,(AE4+AD4)/2,FLOOR(((AD4+AE4+AF4)/3),0.1))))))))</f>
        <v/>
      </c>
      <c r="AH4" s="21" t="n">
        <v>19</v>
      </c>
      <c r="AI4" s="21" t="n">
        <v>20</v>
      </c>
      <c r="AJ4" s="27">
        <f>SUM(AH4:AI4)</f>
        <v/>
      </c>
      <c r="AK4" s="28" t="n">
        <v>39</v>
      </c>
      <c r="AL4" s="28" t="n">
        <v>39</v>
      </c>
      <c r="AM4" s="29">
        <f>IF(AND(AJ4=0,AK4=0,AL4=0),0,IF(AND(AJ4=0,AK4=0),AL4/1,IF(AND(AJ4=0,AL4=0),AK4/1,IF(AND(AK4=0,AL4=0),AJ4/1,IF(AJ4=0,FLOOR((AK4+AL4)/2,0.1),IF(AK4=0,(AJ4+AL4)/2,IF(AL4=0,(AK4+AJ4)/2,FLOOR(((AJ4+AK4+AL4)/3),0.1))))))))</f>
        <v/>
      </c>
      <c r="AN4" s="21" t="n"/>
      <c r="AO4" s="21" t="n"/>
      <c r="AP4" s="27">
        <f>SUM(AN4:AO4)</f>
        <v/>
      </c>
      <c r="AQ4" s="28" t="n"/>
      <c r="AR4" s="30" t="n"/>
      <c r="AS4" s="29">
        <f>IF(AND(AP4=0,AQ4=0,AR4=0),0,IF(AND(AP4=0,AQ4=0),AR4/1,IF(AND(AP4=0,AR4=0),AQ4/1,IF(AND(AQ4=0,AR4=0),AP4/1,IF(AP4=0,FLOOR((AQ4+AR4)/2,0.1),IF(AQ4=0,(AP4+AR4)/2,IF(AR4=0,(AQ4+AP4)/2,FLOOR(((AP4+AQ4+AR4)/3),0.1))))))))</f>
        <v/>
      </c>
      <c r="AT4" s="21" t="n">
        <v>12</v>
      </c>
      <c r="AU4" s="21" t="n">
        <v>27</v>
      </c>
      <c r="AV4" s="27">
        <f>SUM(AT4:AU4)</f>
        <v/>
      </c>
      <c r="AW4" s="28" t="n">
        <v>39</v>
      </c>
      <c r="AX4" s="30" t="n">
        <v>39</v>
      </c>
      <c r="AY4" s="29">
        <f>IF(AND(AV4=0,AW4=0,AX4=0),0,IF(AND(AV4=0,AW4=0),AX4/1,IF(AND(AV4=0,AX4=0),AW4/1,IF(AND(AW4=0,AX4=0),AV4/1,IF(AV4=0,FLOOR((AW4+AX4)/2,0.1),IF(AW4=0,(AV4+AX4)/2,IF(AX4=0,(AW4+AV4)/2,FLOOR(((AV4+AW4+AX4)/3),0.1))))))))</f>
        <v/>
      </c>
      <c r="AZ4" s="21" t="n">
        <v>10</v>
      </c>
      <c r="BA4" s="21" t="n">
        <v>29</v>
      </c>
      <c r="BB4" s="27">
        <f>SUM(AZ4:BA4)</f>
        <v/>
      </c>
      <c r="BC4" s="28" t="n">
        <v>39</v>
      </c>
      <c r="BD4" s="28" t="n">
        <v>39</v>
      </c>
      <c r="BE4" s="29">
        <f>IF(AND(BB4=0,BC4=0,BD4=0),0,IF(AND(BB4=0,BC4=0),BD4/1,IF(AND(BB4=0,BD4=0),BC4/1,IF(AND(BC4=0,BD4=0),BB4/1,IF(BB4=0,FLOOR((BC4+BD4)/2,0.1),IF(BC4=0,(BB4+BD4)/2,IF(BD4=0,(BC4+BB4)/2,FLOOR(((BB4+BC4+BD4)/3),0.1))))))))</f>
        <v/>
      </c>
      <c r="BF4" s="21" t="n">
        <v>15</v>
      </c>
      <c r="BG4" s="21" t="n">
        <v>32</v>
      </c>
      <c r="BH4" s="27">
        <f>SUM(BF4:BG4)</f>
        <v/>
      </c>
      <c r="BI4" s="28" t="n">
        <v>51</v>
      </c>
      <c r="BJ4" s="28" t="n">
        <v>57</v>
      </c>
      <c r="BK4" s="29">
        <f>IF(AND(BH4=0,BI4=0,BJ4=0),0,IF(AND(BH4=0,BI4=0),BJ4/1,IF(AND(BH4=0,BJ4=0),BI4/1,IF(AND(BI4=0,BJ4=0),BH4/1,IF(BH4=0,FLOOR((BI4+BJ4)/2,0.1),IF(BI4=0,(BH4+BJ4)/2,IF(BJ4=0,(BI4+BH4)/2,FLOOR(((BH4+BI4+BJ4)/3),0.1))))))))</f>
        <v/>
      </c>
      <c r="BL4" s="21" t="n">
        <v>15</v>
      </c>
      <c r="BM4" s="21" t="n">
        <v>36</v>
      </c>
      <c r="BN4" s="27">
        <f>SUM(BL4:BM4)</f>
        <v/>
      </c>
      <c r="BO4" s="28" t="n">
        <v>50</v>
      </c>
      <c r="BP4" s="31" t="n">
        <v>42</v>
      </c>
      <c r="BQ4" s="29">
        <f>IF(AND(BN4=0,BO4=0,BP4=0),0,IF(AND(BN4=0,BO4=0),BP4/1,IF(AND(BN4=0,BP4=0),BO4/1,IF(AND(BO4=0,BP4=0),BN4/1,IF(BN4=0,FLOOR((BO4+BP4)/2,0.1),IF(BO4=0,(BN4+BP4)/2,IF(BP4=0,(BO4+BN4)/2,FLOOR(((BN4+BO4+BP4)/3),0.1))))))))</f>
        <v/>
      </c>
      <c r="BR4" s="21" t="n"/>
      <c r="BS4" s="21" t="n"/>
      <c r="BT4" s="27">
        <f>SUM(BR4:BS4)</f>
        <v/>
      </c>
      <c r="BU4" s="28" t="n"/>
      <c r="BV4" s="31" t="n"/>
      <c r="BW4" s="29">
        <f>IF(AND(BT4=0,BU4=0,BV4=0),0,IF(AND(BT4=0,BU4=0),BV4/1,IF(AND(BT4=0,BV4=0),BU4/1,IF(AND(BU4=0,BV4=0),BT4/1,IF(BT4=0,FLOOR((BU4+BV4)/2,0.1),IF(BU4=0,(BT4+BV4)/2,IF(BV4=0,(BU4+BT4)/2,FLOOR(((BT4+BU4+BV4)/3),0.1))))))))</f>
        <v/>
      </c>
      <c r="BX4" s="21" t="n">
        <v>24</v>
      </c>
      <c r="BY4" s="21" t="n">
        <v>29</v>
      </c>
      <c r="BZ4" s="27">
        <f>SUM(BX4:BY4)</f>
        <v/>
      </c>
      <c r="CA4" s="28" t="n">
        <v>51</v>
      </c>
      <c r="CB4" s="31" t="n">
        <v>41</v>
      </c>
      <c r="CC4" s="29">
        <f>IF(AND(BZ4=0,CA4=0,CB4=0),0,IF(AND(BZ4=0,CA4=0),CB4/1,IF(AND(BZ4=0,CB4=0),CA4/1,IF(AND(CA4=0,CB4=0),BZ4/1,IF(BZ4=0,FLOOR((CA4+CB4)/2,0.1),IF(CA4=0,(BZ4+CB4)/2,IF(CB4=0,(CA4+BZ4)/2,FLOOR(((BZ4+CA4+CB4)/3),0.1))))))))</f>
        <v/>
      </c>
      <c r="CD4" s="21" t="n">
        <v>16</v>
      </c>
      <c r="CE4" s="21" t="n">
        <v>36</v>
      </c>
      <c r="CF4" s="27">
        <f>SUM(CD4:CE4)</f>
        <v/>
      </c>
      <c r="CG4" s="28" t="n">
        <v>50</v>
      </c>
      <c r="CH4" s="31" t="n">
        <v>52</v>
      </c>
      <c r="CI4" s="29">
        <f>IF(AND(CF4=0,CG4=0,CH4=0),0,IF(AND(CF4=0,CG4=0),CH4/1,IF(AND(CF4=0,CH4=0),CG4/1,IF(AND(CG4=0,CH4=0),CF4/1,IF(CF4=0,FLOOR((CG4+CH4)/2,0.1),IF(CG4=0,(CF4+CH4)/2,IF(CH4=0,(CG4+CF4)/2,FLOOR(((CF4+CG4+CH4)/3),0.1))))))))</f>
        <v/>
      </c>
      <c r="CJ4" s="21" t="n"/>
      <c r="CK4" s="21" t="n"/>
      <c r="CL4" s="27">
        <f>SUM(CJ4:CK4)</f>
        <v/>
      </c>
      <c r="CM4" s="28" t="n"/>
      <c r="CN4" s="31" t="n"/>
      <c r="CO4" s="29">
        <f>IF(AND(CL4=0,CM4=0,CN4=0),0,IF(AND(CL4=0,CM4=0),CN4/1,IF(AND(CL4=0,CN4=0),CM4/1,IF(AND(CM4=0,CN4=0),CL4/1,IF(CL4=0,FLOOR((CM4+CN4)/2,0.1),IF(CM4=0,(CL4+CN4)/2,IF(CN4=0,(CM4+CL4)/2,FLOOR(((CL4+CM4+CN4)/3),0.1))))))))</f>
        <v/>
      </c>
      <c r="CP4" s="21" t="n">
        <v>12</v>
      </c>
      <c r="CQ4" s="21" t="n">
        <v>10</v>
      </c>
      <c r="CR4" s="27">
        <f>SUM(CP4:CQ4)</f>
        <v/>
      </c>
      <c r="CS4" s="28" t="n">
        <v>12</v>
      </c>
      <c r="CT4" s="31" t="n">
        <v>11</v>
      </c>
      <c r="CU4" s="29">
        <f>IF(AND(CR4=0,CS4=0,CT4=0),0,IF(AND(CR4=0,CS4=0),CT4/1,IF(AND(CR4=0,CT4=0),CS4/1,IF(AND(CS4=0,CT4=0),CR4/1,IF(CR4=0,FLOOR((CS4+CT4)/2,0.1),IF(CS4=0,(CR4+CT4)/2,IF(CT4=0,(CS4+CR4)/2,FLOOR(((CR4+CS4+CT4)/3),0.1))))))))</f>
        <v/>
      </c>
      <c r="CV4" s="21" t="n"/>
      <c r="CW4" s="21" t="n"/>
      <c r="CX4" s="27">
        <f>SUM(CV4:CW4)</f>
        <v/>
      </c>
      <c r="CY4" s="28" t="n"/>
      <c r="CZ4" s="31" t="n"/>
      <c r="DA4" s="29">
        <f>IF(AND(CX4=0,CY4=0,CZ4=0),0,IF(AND(CX4=0,CY4=0),CZ4/1,IF(AND(CX4=0,CZ4=0),CY4/1,IF(AND(CY4=0,CZ4=0),CX4/1,IF(CX4=0,FLOOR((CY4+CZ4)/2,0.1),IF(CY4=0,(CX4+CZ4)/2,IF(CZ4=0,(CY4+CX4)/2,FLOOR(((CX4+CY4+CZ4)/3),0.1))))))))</f>
        <v/>
      </c>
      <c r="DB4" s="21" t="n"/>
      <c r="DC4" s="21" t="n"/>
      <c r="DD4" s="27">
        <f>SUM(DB4:DC4)</f>
        <v/>
      </c>
      <c r="DE4" s="28" t="n"/>
      <c r="DF4" s="31" t="n"/>
      <c r="DG4" s="29">
        <f>IF(AND(DD4=0,DE4=0,DF4=0),0,IF(AND(DD4=0,DE4=0),DF4/1,IF(AND(DD4=0,DF4=0),DE4/1,IF(AND(DE4=0,DF4=0),DD4/1,IF(DD4=0,FLOOR((DE4+DF4)/2,0.1),IF(DE4=0,(DD4+DF4)/2,IF(DF4=0,(DE4+DD4)/2,FLOOR(((DD4+DE4+DF4)/3),0.1))))))))</f>
        <v/>
      </c>
      <c r="DH4" s="34">
        <f>SUM(O4,U4,AA4,AG4,AM4,AS4,AY4,BE4,BK4,BQ4,BW4,CC4,CI4,CO4,CU4,DA4,DG4)</f>
        <v/>
      </c>
      <c r="DI4" s="39">
        <f>RANK(DH4,DH4:DH503,0)</f>
        <v/>
      </c>
      <c r="DJ4" s="40" t="inlineStr">
        <is>
          <t>GOOD(4)</t>
        </is>
      </c>
      <c r="DK4" s="40" t="inlineStr">
        <is>
          <t>GOOD(4)</t>
        </is>
      </c>
      <c r="DL4" s="40" t="inlineStr">
        <is>
          <t>GOOD(4)</t>
        </is>
      </c>
      <c r="DM4" s="40" t="inlineStr">
        <is>
          <t>GOOD(4)</t>
        </is>
      </c>
      <c r="DN4" s="19" t="inlineStr">
        <is>
          <t>GOOD(4)</t>
        </is>
      </c>
      <c r="DO4" s="40" t="inlineStr">
        <is>
          <t>GOOD(4)</t>
        </is>
      </c>
      <c r="DP4" s="40" t="inlineStr">
        <is>
          <t>GOOD(4)</t>
        </is>
      </c>
      <c r="DQ4" s="40" t="inlineStr">
        <is>
          <t>GOOD(4)</t>
        </is>
      </c>
      <c r="DR4" s="43" t="inlineStr">
        <is>
          <t>2024/2025</t>
        </is>
      </c>
      <c r="DS4" s="45" t="inlineStr">
        <is>
          <t>THIRD</t>
        </is>
      </c>
      <c r="DT4" s="40" t="inlineStr">
        <is>
          <t>GOOD(4)</t>
        </is>
      </c>
      <c r="DU4" s="40" t="inlineStr">
        <is>
          <t>GOOD(4)</t>
        </is>
      </c>
      <c r="DV4" s="40" t="inlineStr">
        <is>
          <t>AVERAGE(3)</t>
        </is>
      </c>
      <c r="DW4" s="40" t="inlineStr">
        <is>
          <t>EXCELLENT(5)</t>
        </is>
      </c>
      <c r="DX4" s="40" t="inlineStr">
        <is>
          <t>EXCELLENT(5)</t>
        </is>
      </c>
      <c r="DY4" s="40" t="inlineStr">
        <is>
          <t>GOOD(4)</t>
        </is>
      </c>
      <c r="DZ4" s="53" t="inlineStr">
        <is>
          <t>GOOD(4)</t>
        </is>
      </c>
      <c r="EA4" s="54" t="inlineStr">
        <is>
          <t>Needs to focus more during lessons to achieve full potential.</t>
        </is>
      </c>
      <c r="EB4" s="55" t="inlineStr">
        <is>
          <t>Promoted to JSS2</t>
        </is>
      </c>
      <c r="EC4" s="56" t="inlineStr">
        <is>
          <t>MR. RAHEEM A.A</t>
        </is>
      </c>
      <c r="ED4" s="57" t="inlineStr">
        <is>
          <t>Next Term Begins on Monday, 15th September, 2025</t>
        </is>
      </c>
    </row>
    <row r="5" ht="30.6" customHeight="1" s="6">
      <c r="A5" s="18" t="n">
        <v>2</v>
      </c>
      <c r="B5" s="19" t="inlineStr">
        <is>
          <t xml:space="preserve">ABDULSALAM ABDULAFEEZ </t>
        </is>
      </c>
      <c r="C5" s="20" t="inlineStr">
        <is>
          <t>1900</t>
        </is>
      </c>
      <c r="D5" s="128" t="inlineStr">
        <is>
          <t>Male</t>
        </is>
      </c>
      <c r="E5" s="21" t="inlineStr">
        <is>
          <t>JSS 1B</t>
        </is>
      </c>
      <c r="F5" s="21" t="n">
        <v>39</v>
      </c>
      <c r="G5" s="21" t="n">
        <v>122</v>
      </c>
      <c r="H5" s="21" t="n">
        <v>116</v>
      </c>
      <c r="I5" s="26">
        <f>G5-H5</f>
        <v/>
      </c>
      <c r="J5" s="21" t="n">
        <v>15</v>
      </c>
      <c r="K5" s="21" t="n">
        <v>23</v>
      </c>
      <c r="L5" s="27">
        <f>SUM(J5:K5)</f>
        <v/>
      </c>
      <c r="M5" s="28" t="n">
        <v>87</v>
      </c>
      <c r="N5" s="28" t="n">
        <v>62</v>
      </c>
      <c r="O5" s="29">
        <f>IF(AND(L5=0,M5=0,N5=0),0,IF(AND(L5=0,M5=0),N5/1,IF(AND(L5=0,N5=0),M5/1,IF(AND(M5=0,N5=0),L5/1,IF(L5=0,FLOOR((M5+N5)/2,0.1),IF(M5=0,(L5+N5)/2,IF(N5=0,(M5+L5)/2,FLOOR(((L5+M5+N5)/3),0.1))))))))</f>
        <v/>
      </c>
      <c r="P5" s="21" t="n">
        <v>14</v>
      </c>
      <c r="Q5" s="21" t="n">
        <v>39</v>
      </c>
      <c r="R5" s="27">
        <f>SUM(P5:Q5)</f>
        <v/>
      </c>
      <c r="S5" s="28" t="n">
        <v>45</v>
      </c>
      <c r="T5" s="28" t="n">
        <v>51</v>
      </c>
      <c r="U5" s="29">
        <f>IF(AND(R5=0,S5=0,T5=0),0,IF(AND(R5=0,S5=0),T5/1,IF(AND(R5=0,T5=0),S5/1,IF(AND(S5=0,T5=0),R5/1,IF(R5=0,FLOOR((S5+T5)/2,0.1),IF(S5=0,(R5+T5)/2,IF(T5=0,(S5+R5)/2,FLOOR(((R5+S5+T5)/3),0.1))))))))</f>
        <v/>
      </c>
      <c r="V5" s="21" t="n">
        <v>14</v>
      </c>
      <c r="W5" s="21" t="n">
        <v>39</v>
      </c>
      <c r="X5" s="27">
        <f>SUM(V5:W5)</f>
        <v/>
      </c>
      <c r="Y5" s="28" t="n">
        <v>45</v>
      </c>
      <c r="Z5" s="28" t="n">
        <v>51</v>
      </c>
      <c r="AA5" s="29">
        <f>IF(AND(X5=0,Y5=0,Z5=0),0,IF(AND(X5=0,Y5=0),Z5/1,IF(AND(X5=0,Z5=0),Y5/1,IF(AND(Y5=0,Z5=0),X5/1,IF(X5=0,FLOOR((Y5+Z5)/2,0.1),IF(Y5=0,(X5+Z5)/2,IF(Z5=0,(Y5+X5)/2,FLOOR(((X5+Y5+Z5)/3),0.1))))))))</f>
        <v/>
      </c>
      <c r="AB5" s="21" t="n">
        <v>13</v>
      </c>
      <c r="AC5" s="21" t="n">
        <v>35</v>
      </c>
      <c r="AD5" s="27">
        <f>SUM(AB5:AC5)</f>
        <v/>
      </c>
      <c r="AE5" s="28" t="n">
        <v>35</v>
      </c>
      <c r="AF5" s="28" t="n">
        <v>35</v>
      </c>
      <c r="AG5" s="29">
        <f>IF(AND(AD5=0,AE5=0,AF5=0),0,IF(AND(AD5=0,AE5=0),AF5/1,IF(AND(AD5=0,AF5=0),AE5/1,IF(AND(AE5=0,AF5=0),AD5/1,IF(AD5=0,FLOOR((AE5+AF5)/2,0.1),IF(AE5=0,(AD5+AF5)/2,IF(AF5=0,(AE5+AD5)/2,FLOOR(((AD5+AE5+AF5)/3),0.1))))))))</f>
        <v/>
      </c>
      <c r="AH5" s="21" t="n">
        <v>15</v>
      </c>
      <c r="AI5" s="21" t="n">
        <v>24</v>
      </c>
      <c r="AJ5" s="27">
        <f>SUM(AH5:AI5)</f>
        <v/>
      </c>
      <c r="AK5" s="28" t="n">
        <v>54</v>
      </c>
      <c r="AL5" s="28" t="n">
        <v>68</v>
      </c>
      <c r="AM5" s="29">
        <f>IF(AND(AJ5=0,AK5=0,AL5=0),0,IF(AND(AJ5=0,AK5=0),AL5/1,IF(AND(AJ5=0,AL5=0),AK5/1,IF(AND(AK5=0,AL5=0),AJ5/1,IF(AJ5=0,FLOOR((AK5+AL5)/2,0.1),IF(AK5=0,(AJ5+AL5)/2,IF(AL5=0,(AK5+AJ5)/2,FLOOR(((AJ5+AK5+AL5)/3),0.1))))))))</f>
        <v/>
      </c>
      <c r="AN5" s="21" t="n"/>
      <c r="AO5" s="21" t="n"/>
      <c r="AP5" s="27">
        <f>SUM(AN5:AO5)</f>
        <v/>
      </c>
      <c r="AQ5" s="28" t="n"/>
      <c r="AR5" s="30" t="n"/>
      <c r="AS5" s="29">
        <f>IF(AND(AP5=0,AQ5=0,AR5=0),0,IF(AND(AP5=0,AQ5=0),AR5/1,IF(AND(AP5=0,AR5=0),AQ5/1,IF(AND(AQ5=0,AR5=0),AP5/1,IF(AP5=0,FLOOR((AQ5+AR5)/2,0.1),IF(AQ5=0,(AP5+AR5)/2,IF(AR5=0,(AQ5+AP5)/2,FLOOR(((AP5+AQ5+AR5)/3),0.1))))))))</f>
        <v/>
      </c>
      <c r="AT5" s="21" t="n">
        <v>12</v>
      </c>
      <c r="AU5" s="21" t="n">
        <v>27</v>
      </c>
      <c r="AV5" s="27">
        <f>SUM(AT5:AU5)</f>
        <v/>
      </c>
      <c r="AW5" s="28" t="n">
        <v>35</v>
      </c>
      <c r="AX5" s="30" t="n">
        <v>53</v>
      </c>
      <c r="AY5" s="29">
        <f>IF(AND(AV5=0,AW5=0,AX5=0),0,IF(AND(AV5=0,AW5=0),AX5/1,IF(AND(AV5=0,AX5=0),AW5/1,IF(AND(AW5=0,AX5=0),AV5/1,IF(AV5=0,FLOOR((AW5+AX5)/2,0.1),IF(AW5=0,(AV5+AX5)/2,IF(AX5=0,(AW5+AV5)/2,FLOOR(((AV5+AW5+AX5)/3),0.1))))))))</f>
        <v/>
      </c>
      <c r="AZ5" s="21" t="n">
        <v>20</v>
      </c>
      <c r="BA5" s="21" t="n">
        <v>50</v>
      </c>
      <c r="BB5" s="27">
        <f>SUM(AZ5:BA5)</f>
        <v/>
      </c>
      <c r="BC5" s="28" t="n">
        <v>51</v>
      </c>
      <c r="BD5" s="28" t="n">
        <v>60</v>
      </c>
      <c r="BE5" s="29">
        <f>IF(AND(BB5=0,BC5=0,BD5=0),0,IF(AND(BB5=0,BC5=0),BD5/1,IF(AND(BB5=0,BD5=0),BC5/1,IF(AND(BC5=0,BD5=0),BB5/1,IF(BB5=0,FLOOR((BC5+BD5)/2,0.1),IF(BC5=0,(BB5+BD5)/2,IF(BD5=0,(BC5+BB5)/2,FLOOR(((BB5+BC5+BD5)/3),0.1))))))))</f>
        <v/>
      </c>
      <c r="BF5" s="21" t="n">
        <v>10</v>
      </c>
      <c r="BG5" s="21" t="n">
        <v>12</v>
      </c>
      <c r="BH5" s="27">
        <f>SUM(BF5:BG5)</f>
        <v/>
      </c>
      <c r="BI5" s="28" t="n">
        <v>50</v>
      </c>
      <c r="BJ5" s="28" t="n">
        <v>59</v>
      </c>
      <c r="BK5" s="29">
        <f>IF(AND(BH5=0,BI5=0,BJ5=0),0,IF(AND(BH5=0,BI5=0),BJ5/1,IF(AND(BH5=0,BJ5=0),BI5/1,IF(AND(BI5=0,BJ5=0),BH5/1,IF(BH5=0,FLOOR((BI5+BJ5)/2,0.1),IF(BI5=0,(BH5+BJ5)/2,IF(BJ5=0,(BI5+BH5)/2,FLOOR(((BH5+BI5+BJ5)/3),0.1))))))))</f>
        <v/>
      </c>
      <c r="BL5" s="21" t="n">
        <v>22</v>
      </c>
      <c r="BM5" s="21" t="n">
        <v>38</v>
      </c>
      <c r="BN5" s="27">
        <f>SUM(BL5:BM5)</f>
        <v/>
      </c>
      <c r="BO5" s="28" t="n">
        <v>62</v>
      </c>
      <c r="BP5" s="31" t="n">
        <v>52</v>
      </c>
      <c r="BQ5" s="29">
        <f>IF(AND(BN5=0,BO5=0,BP5=0),0,IF(AND(BN5=0,BO5=0),BP5/1,IF(AND(BN5=0,BP5=0),BO5/1,IF(AND(BO5=0,BP5=0),BN5/1,IF(BN5=0,FLOOR((BO5+BP5)/2,0.1),IF(BO5=0,(BN5+BP5)/2,IF(BP5=0,(BO5+BN5)/2,FLOOR(((BN5+BO5+BP5)/3),0.1))))))))</f>
        <v/>
      </c>
      <c r="BR5" s="21" t="n"/>
      <c r="BS5" s="21" t="n"/>
      <c r="BT5" s="27">
        <f>SUM(BR5:BS5)</f>
        <v/>
      </c>
      <c r="BU5" s="28" t="n"/>
      <c r="BV5" s="31" t="n"/>
      <c r="BW5" s="29">
        <f>IF(AND(BT5=0,BU5=0,BV5=0),0,IF(AND(BT5=0,BU5=0),BV5/1,IF(AND(BT5=0,BV5=0),BU5/1,IF(AND(BU5=0,BV5=0),BT5/1,IF(BT5=0,FLOOR((BU5+BV5)/2,0.1),IF(BU5=0,(BT5+BV5)/2,IF(BV5=0,(BU5+BT5)/2,FLOOR(((BT5+BU5+BV5)/3),0.1))))))))</f>
        <v/>
      </c>
      <c r="BX5" s="21" t="n">
        <v>24</v>
      </c>
      <c r="BY5" s="21" t="n">
        <v>29</v>
      </c>
      <c r="BZ5" s="27">
        <f>SUM(BX5:BY5)</f>
        <v/>
      </c>
      <c r="CA5" s="28" t="n">
        <v>51</v>
      </c>
      <c r="CB5" s="31" t="n">
        <v>41</v>
      </c>
      <c r="CC5" s="29">
        <f>IF(AND(BZ5=0,CA5=0,CB5=0),0,IF(AND(BZ5=0,CA5=0),CB5/1,IF(AND(BZ5=0,CB5=0),CA5/1,IF(AND(CA5=0,CB5=0),BZ5/1,IF(BZ5=0,FLOOR((CA5+CB5)/2,0.1),IF(CA5=0,(BZ5+CB5)/2,IF(CB5=0,(CA5+BZ5)/2,FLOOR(((BZ5+CA5+CB5)/3),0.1))))))))</f>
        <v/>
      </c>
      <c r="CD5" s="21" t="n">
        <v>12</v>
      </c>
      <c r="CE5" s="21" t="n">
        <v>23</v>
      </c>
      <c r="CF5" s="27">
        <f>SUM(CD5:CE5)</f>
        <v/>
      </c>
      <c r="CG5" s="28" t="n">
        <v>35</v>
      </c>
      <c r="CH5" s="31" t="n">
        <v>25</v>
      </c>
      <c r="CI5" s="29">
        <f>IF(AND(CF5=0,CG5=0,CH5=0),0,IF(AND(CF5=0,CG5=0),CH5/1,IF(AND(CF5=0,CH5=0),CG5/1,IF(AND(CG5=0,CH5=0),CF5/1,IF(CF5=0,FLOOR((CG5+CH5)/2,0.1),IF(CG5=0,(CF5+CH5)/2,IF(CH5=0,(CG5+CF5)/2,FLOOR(((CF5+CG5+CH5)/3),0.1))))))))</f>
        <v/>
      </c>
      <c r="CJ5" s="21" t="n"/>
      <c r="CK5" s="21" t="n"/>
      <c r="CL5" s="27">
        <f>SUM(CJ5:CK5)</f>
        <v/>
      </c>
      <c r="CM5" s="28" t="n"/>
      <c r="CN5" s="31" t="n"/>
      <c r="CO5" s="29">
        <f>IF(AND(CL5=0,CM5=0,CN5=0),0,IF(AND(CL5=0,CM5=0),CN5/1,IF(AND(CL5=0,CN5=0),CM5/1,IF(AND(CM5=0,CN5=0),CL5/1,IF(CL5=0,FLOOR((CM5+CN5)/2,0.1),IF(CM5=0,(CL5+CN5)/2,IF(CN5=0,(CM5+CL5)/2,FLOOR(((CL5+CM5+CN5)/3),0.1))))))))</f>
        <v/>
      </c>
      <c r="CP5" s="21" t="n">
        <v>11</v>
      </c>
      <c r="CQ5" s="21" t="n">
        <v>10</v>
      </c>
      <c r="CR5" s="27">
        <f>SUM(CP5:CQ5)</f>
        <v/>
      </c>
      <c r="CS5" s="28" t="n">
        <v>70</v>
      </c>
      <c r="CT5" s="31" t="n">
        <v>64</v>
      </c>
      <c r="CU5" s="29">
        <f>IF(AND(CR5=0,CS5=0,CT5=0),0,IF(AND(CR5=0,CS5=0),CT5/1,IF(AND(CR5=0,CT5=0),CS5/1,IF(AND(CS5=0,CT5=0),CR5/1,IF(CR5=0,FLOOR((CS5+CT5)/2,0.1),IF(CS5=0,(CR5+CT5)/2,IF(CT5=0,(CS5+CR5)/2,FLOOR(((CR5+CS5+CT5)/3),0.1))))))))</f>
        <v/>
      </c>
      <c r="CV5" s="21" t="n"/>
      <c r="CW5" s="21" t="n"/>
      <c r="CX5" s="27">
        <f>SUM(CV5:CW5)</f>
        <v/>
      </c>
      <c r="CY5" s="28" t="n"/>
      <c r="CZ5" s="31" t="n"/>
      <c r="DA5" s="29">
        <f>IF(AND(CX5=0,CY5=0,CZ5=0),0,IF(AND(CX5=0,CY5=0),CZ5/1,IF(AND(CX5=0,CZ5=0),CY5/1,IF(AND(CY5=0,CZ5=0),CX5/1,IF(CX5=0,FLOOR((CY5+CZ5)/2,0.1),IF(CY5=0,(CX5+CZ5)/2,IF(CZ5=0,(CY5+CX5)/2,FLOOR(((CX5+CY5+CZ5)/3),0.1))))))))</f>
        <v/>
      </c>
      <c r="DB5" s="21" t="n"/>
      <c r="DC5" s="21" t="n"/>
      <c r="DD5" s="27">
        <f>SUM(DB5:DC5)</f>
        <v/>
      </c>
      <c r="DE5" s="28" t="n"/>
      <c r="DF5" s="31" t="n"/>
      <c r="DG5" s="29">
        <f>IF(AND(DD5=0,DE5=0,DF5=0),0,IF(AND(DD5=0,DE5=0),DF5/1,IF(AND(DD5=0,DF5=0),DE5/1,IF(AND(DE5=0,DF5=0),DD5/1,IF(DD5=0,FLOOR((DE5+DF5)/2,0.1),IF(DE5=0,(DD5+DF5)/2,IF(DF5=0,(DE5+DD5)/2,FLOOR(((DD5+DE5+DF5)/3),0.1))))))))</f>
        <v/>
      </c>
      <c r="DH5" s="34">
        <f>SUM(O5,U5,AA5,AG5,AM5,AS5,AY5,BE5,BK5,BQ5,BW5,CC5,CI5,CO5,CU5,DA5,DG5)</f>
        <v/>
      </c>
      <c r="DI5" s="39">
        <f>RANK(DH5,DH$4:DH$503)</f>
        <v/>
      </c>
      <c r="DJ5" s="40" t="inlineStr">
        <is>
          <t>GOOD(4)</t>
        </is>
      </c>
      <c r="DK5" s="40" t="inlineStr">
        <is>
          <t>AVERAGE(3)</t>
        </is>
      </c>
      <c r="DL5" s="40" t="inlineStr">
        <is>
          <t>AVERAGE(3)</t>
        </is>
      </c>
      <c r="DM5" s="40" t="inlineStr">
        <is>
          <t>AVERAGE(3)</t>
        </is>
      </c>
      <c r="DN5" s="19" t="inlineStr">
        <is>
          <t>AVERAGE(3)</t>
        </is>
      </c>
      <c r="DO5" s="40" t="inlineStr">
        <is>
          <t>GOOD(4)</t>
        </is>
      </c>
      <c r="DP5" s="40" t="inlineStr">
        <is>
          <t>GOOD(4)</t>
        </is>
      </c>
      <c r="DQ5" s="40" t="inlineStr">
        <is>
          <t>GOOD(4)</t>
        </is>
      </c>
      <c r="DR5" s="43" t="inlineStr">
        <is>
          <t>2024/2025</t>
        </is>
      </c>
      <c r="DS5" s="45" t="inlineStr">
        <is>
          <t>THIRD</t>
        </is>
      </c>
      <c r="DT5" s="40" t="inlineStr">
        <is>
          <t>GOOD(4)</t>
        </is>
      </c>
      <c r="DU5" s="40" t="inlineStr">
        <is>
          <t>GOOD(4)</t>
        </is>
      </c>
      <c r="DV5" s="40" t="inlineStr">
        <is>
          <t>EXCELLENT(5)</t>
        </is>
      </c>
      <c r="DW5" s="40" t="inlineStr">
        <is>
          <t>EXCELLENT(5)</t>
        </is>
      </c>
      <c r="DX5" s="40" t="inlineStr">
        <is>
          <t>OPTIONAL</t>
        </is>
      </c>
      <c r="DY5" s="40" t="inlineStr">
        <is>
          <t>GOOD(4)</t>
        </is>
      </c>
      <c r="DZ5" s="53" t="inlineStr">
        <is>
          <t>EXCELLENT(5)</t>
        </is>
      </c>
      <c r="EA5" s="54" t="inlineStr">
        <is>
          <t>Requires additional support in understanding key concepts.</t>
        </is>
      </c>
      <c r="EB5" s="55" t="inlineStr">
        <is>
          <t>Promoted to JSS2</t>
        </is>
      </c>
      <c r="EC5" s="56" t="inlineStr">
        <is>
          <t>MR. RAHEEM A.A</t>
        </is>
      </c>
      <c r="ED5" s="57" t="inlineStr">
        <is>
          <t>Next Term Begins on Monday, 15th September, 2025</t>
        </is>
      </c>
    </row>
    <row r="6" ht="30.6" customHeight="1" s="6">
      <c r="A6" s="18" t="n">
        <v>3</v>
      </c>
      <c r="B6" s="19" t="inlineStr">
        <is>
          <t>ADELABU SULIAT A.</t>
        </is>
      </c>
      <c r="C6" s="20" t="inlineStr">
        <is>
          <t>1903</t>
        </is>
      </c>
      <c r="D6" s="128" t="inlineStr">
        <is>
          <t>Female</t>
        </is>
      </c>
      <c r="E6" s="21" t="inlineStr">
        <is>
          <t>JSS 1B</t>
        </is>
      </c>
      <c r="F6" s="21" t="n">
        <v>39</v>
      </c>
      <c r="G6" s="21" t="n">
        <v>122</v>
      </c>
      <c r="H6" s="21" t="n">
        <v>46</v>
      </c>
      <c r="I6" s="26">
        <f>G6-H6</f>
        <v/>
      </c>
      <c r="J6" s="21" t="n">
        <v>26</v>
      </c>
      <c r="K6" s="21" t="n">
        <v>31</v>
      </c>
      <c r="L6" s="27">
        <f>SUM(J6:K6)</f>
        <v/>
      </c>
      <c r="M6" s="28" t="n">
        <v>32</v>
      </c>
      <c r="N6" s="28" t="n">
        <v>47</v>
      </c>
      <c r="O6" s="29">
        <f>IF(AND(L6=0,M6=0,N6=0),0,IF(AND(L6=0,M6=0),N6/1,IF(AND(L6=0,N6=0),M6/1,IF(AND(M6=0,N6=0),L6/1,IF(L6=0,FLOOR((M6+N6)/2,0.1),IF(M6=0,(L6+N6)/2,IF(N6=0,(M6+L6)/2,FLOOR(((L6+M6+N6)/3),0.1))))))))</f>
        <v/>
      </c>
      <c r="P6" s="21" t="n">
        <v>22</v>
      </c>
      <c r="Q6" s="21" t="n">
        <v>28</v>
      </c>
      <c r="R6" s="27">
        <f>SUM(P6:Q6)</f>
        <v/>
      </c>
      <c r="S6" s="28" t="n">
        <v>59</v>
      </c>
      <c r="T6" s="28" t="n">
        <v>48</v>
      </c>
      <c r="U6" s="29">
        <f>IF(AND(R6=0,S6=0,T6=0),0,IF(AND(R6=0,S6=0),T6/1,IF(AND(R6=0,T6=0),S6/1,IF(AND(S6=0,T6=0),R6/1,IF(R6=0,FLOOR((S6+T6)/2,0.1),IF(S6=0,(R6+T6)/2,IF(T6=0,(S6+R6)/2,FLOOR(((R6+S6+T6)/3),0.1))))))))</f>
        <v/>
      </c>
      <c r="V6" s="21" t="n">
        <v>14</v>
      </c>
      <c r="W6" s="21" t="n">
        <v>37</v>
      </c>
      <c r="X6" s="27">
        <f>SUM(V6:W6)</f>
        <v/>
      </c>
      <c r="Y6" s="28" t="n">
        <v>52</v>
      </c>
      <c r="Z6" s="28" t="n">
        <v>51</v>
      </c>
      <c r="AA6" s="29">
        <f>IF(AND(X6=0,Y6=0,Z6=0),0,IF(AND(X6=0,Y6=0),Z6/1,IF(AND(X6=0,Z6=0),Y6/1,IF(AND(Y6=0,Z6=0),X6/1,IF(X6=0,FLOOR((Y6+Z6)/2,0.1),IF(Y6=0,(X6+Z6)/2,IF(Z6=0,(Y6+X6)/2,FLOOR(((X6+Y6+Z6)/3),0.1))))))))</f>
        <v/>
      </c>
      <c r="AB6" s="21" t="n">
        <v>20</v>
      </c>
      <c r="AC6" s="21" t="n">
        <v>41</v>
      </c>
      <c r="AD6" s="27">
        <f>SUM(AB6:AC6)</f>
        <v/>
      </c>
      <c r="AE6" s="28" t="n">
        <v>54</v>
      </c>
      <c r="AF6" s="28" t="n">
        <v>58</v>
      </c>
      <c r="AG6" s="29">
        <f>IF(AND(AD6=0,AE6=0,AF6=0),0,IF(AND(AD6=0,AE6=0),AF6/1,IF(AND(AD6=0,AF6=0),AE6/1,IF(AND(AE6=0,AF6=0),AD6/1,IF(AD6=0,FLOOR((AE6+AF6)/2,0.1),IF(AE6=0,(AD6+AF6)/2,IF(AF6=0,(AE6+AD6)/2,FLOOR(((AD6+AE6+AF6)/3),0.1))))))))</f>
        <v/>
      </c>
      <c r="AH6" s="21" t="n">
        <v>23</v>
      </c>
      <c r="AI6" s="21" t="n">
        <v>30</v>
      </c>
      <c r="AJ6" s="27">
        <f>SUM(AH6:AI6)</f>
        <v/>
      </c>
      <c r="AK6" s="28" t="n">
        <v>66</v>
      </c>
      <c r="AL6" s="28" t="n">
        <v>48</v>
      </c>
      <c r="AM6" s="29">
        <f>IF(AND(AJ6=0,AK6=0,AL6=0),0,IF(AND(AJ6=0,AK6=0),AL6/1,IF(AND(AJ6=0,AL6=0),AK6/1,IF(AND(AK6=0,AL6=0),AJ6/1,IF(AJ6=0,FLOOR((AK6+AL6)/2,0.1),IF(AK6=0,(AJ6+AL6)/2,IF(AL6=0,(AK6+AJ6)/2,FLOOR(((AJ6+AK6+AL6)/3),0.1))))))))</f>
        <v/>
      </c>
      <c r="AN6" s="21" t="n"/>
      <c r="AO6" s="21" t="n"/>
      <c r="AP6" s="27">
        <f>SUM(AN6:AO6)</f>
        <v/>
      </c>
      <c r="AQ6" s="28" t="n"/>
      <c r="AR6" s="30" t="n"/>
      <c r="AS6" s="29">
        <f>IF(AND(AP6=0,AQ6=0,AR6=0),0,IF(AND(AP6=0,AQ6=0),AR6/1,IF(AND(AP6=0,AR6=0),AQ6/1,IF(AND(AQ6=0,AR6=0),AP6/1,IF(AP6=0,FLOOR((AQ6+AR6)/2,0.1),IF(AQ6=0,(AP6+AR6)/2,IF(AR6=0,(AQ6+AP6)/2,FLOOR(((AP6+AQ6+AR6)/3),0.1))))))))</f>
        <v/>
      </c>
      <c r="AT6" s="21" t="n">
        <v>18</v>
      </c>
      <c r="AU6" s="21" t="n">
        <v>32</v>
      </c>
      <c r="AV6" s="27">
        <f>SUM(AT6:AU6)</f>
        <v/>
      </c>
      <c r="AW6" s="28" t="n">
        <v>35</v>
      </c>
      <c r="AX6" s="30" t="n">
        <v>28</v>
      </c>
      <c r="AY6" s="29">
        <f>IF(AND(AV6=0,AW6=0,AX6=0),0,IF(AND(AV6=0,AW6=0),AX6/1,IF(AND(AV6=0,AX6=0),AW6/1,IF(AND(AW6=0,AX6=0),AV6/1,IF(AV6=0,FLOOR((AW6+AX6)/2,0.1),IF(AW6=0,(AV6+AX6)/2,IF(AX6=0,(AW6+AV6)/2,FLOOR(((AV6+AW6+AX6)/3),0.1))))))))</f>
        <v/>
      </c>
      <c r="AZ6" s="21" t="n">
        <v>23</v>
      </c>
      <c r="BA6" s="21" t="n">
        <v>31</v>
      </c>
      <c r="BB6" s="27">
        <f>SUM(AZ6:BA6)</f>
        <v/>
      </c>
      <c r="BC6" s="28" t="n">
        <v>48</v>
      </c>
      <c r="BD6" s="28" t="n">
        <v>58</v>
      </c>
      <c r="BE6" s="29">
        <f>IF(AND(BB6=0,BC6=0,BD6=0),0,IF(AND(BB6=0,BC6=0),BD6/1,IF(AND(BB6=0,BD6=0),BC6/1,IF(AND(BC6=0,BD6=0),BB6/1,IF(BB6=0,FLOOR((BC6+BD6)/2,0.1),IF(BC6=0,(BB6+BD6)/2,IF(BD6=0,(BC6+BB6)/2,FLOOR(((BB6+BC6+BD6)/3),0.1))))))))</f>
        <v/>
      </c>
      <c r="BF6" s="21" t="n">
        <v>14</v>
      </c>
      <c r="BG6" s="21" t="n">
        <v>37</v>
      </c>
      <c r="BH6" s="27">
        <f>SUM(BF6:BG6)</f>
        <v/>
      </c>
      <c r="BI6" s="28" t="n">
        <v>55</v>
      </c>
      <c r="BJ6" s="28" t="n">
        <v>42</v>
      </c>
      <c r="BK6" s="29">
        <f>IF(AND(BH6=0,BI6=0,BJ6=0),0,IF(AND(BH6=0,BI6=0),BJ6/1,IF(AND(BH6=0,BJ6=0),BI6/1,IF(AND(BI6=0,BJ6=0),BH6/1,IF(BH6=0,FLOOR((BI6+BJ6)/2,0.1),IF(BI6=0,(BH6+BJ6)/2,IF(BJ6=0,(BI6+BH6)/2,FLOOR(((BH6+BI6+BJ6)/3),0.1))))))))</f>
        <v/>
      </c>
      <c r="BL6" s="21" t="n">
        <v>20</v>
      </c>
      <c r="BM6" s="21" t="n">
        <v>33</v>
      </c>
      <c r="BN6" s="27">
        <f>SUM(BL6:BM6)</f>
        <v/>
      </c>
      <c r="BO6" s="28" t="n">
        <v>44</v>
      </c>
      <c r="BP6" s="31" t="n">
        <v>32</v>
      </c>
      <c r="BQ6" s="29">
        <f>IF(AND(BN6=0,BO6=0,BP6=0),0,IF(AND(BN6=0,BO6=0),BP6/1,IF(AND(BN6=0,BP6=0),BO6/1,IF(AND(BO6=0,BP6=0),BN6/1,IF(BN6=0,FLOOR((BO6+BP6)/2,0.1),IF(BO6=0,(BN6+BP6)/2,IF(BP6=0,(BO6+BN6)/2,FLOOR(((BN6+BO6+BP6)/3),0.1))))))))</f>
        <v/>
      </c>
      <c r="BR6" s="21" t="n"/>
      <c r="BS6" s="21" t="n"/>
      <c r="BT6" s="27">
        <f>SUM(BR6:BS6)</f>
        <v/>
      </c>
      <c r="BU6" s="28" t="n"/>
      <c r="BV6" s="31" t="n"/>
      <c r="BW6" s="29">
        <f>IF(AND(BT6=0,BU6=0,BV6=0),0,IF(AND(BT6=0,BU6=0),BV6/1,IF(AND(BT6=0,BV6=0),BU6/1,IF(AND(BU6=0,BV6=0),BT6/1,IF(BT6=0,FLOOR((BU6+BV6)/2,0.1),IF(BU6=0,(BT6+BV6)/2,IF(BV6=0,(BU6+BT6)/2,FLOOR(((BT6+BU6+BV6)/3),0.1))))))))</f>
        <v/>
      </c>
      <c r="BX6" s="21" t="n">
        <v>24</v>
      </c>
      <c r="BY6" s="21" t="n">
        <v>29</v>
      </c>
      <c r="BZ6" s="27">
        <f>SUM(BX6:BY6)</f>
        <v/>
      </c>
      <c r="CA6" s="28" t="n">
        <v>51</v>
      </c>
      <c r="CB6" s="31" t="n">
        <v>41</v>
      </c>
      <c r="CC6" s="29">
        <f>IF(AND(BZ6=0,CA6=0,CB6=0),0,IF(AND(BZ6=0,CA6=0),CB6/1,IF(AND(BZ6=0,CB6=0),CA6/1,IF(AND(CA6=0,CB6=0),BZ6/1,IF(BZ6=0,FLOOR((CA6+CB6)/2,0.1),IF(CA6=0,(BZ6+CB6)/2,IF(CB6=0,(CA6+BZ6)/2,FLOOR(((BZ6+CA6+CB6)/3),0.1))))))))</f>
        <v/>
      </c>
      <c r="CD6" s="21" t="n">
        <v>13</v>
      </c>
      <c r="CE6" s="21" t="n">
        <v>37</v>
      </c>
      <c r="CF6" s="27">
        <f>SUM(CD6:CE6)</f>
        <v/>
      </c>
      <c r="CG6" s="28" t="n">
        <v>22</v>
      </c>
      <c r="CH6" s="31" t="n">
        <v>42</v>
      </c>
      <c r="CI6" s="29">
        <f>IF(AND(CF6=0,CG6=0,CH6=0),0,IF(AND(CF6=0,CG6=0),CH6/1,IF(AND(CF6=0,CH6=0),CG6/1,IF(AND(CG6=0,CH6=0),CF6/1,IF(CF6=0,FLOOR((CG6+CH6)/2,0.1),IF(CG6=0,(CF6+CH6)/2,IF(CH6=0,(CG6+CF6)/2,FLOOR(((CF6+CG6+CH6)/3),0.1))))))))</f>
        <v/>
      </c>
      <c r="CJ6" s="21" t="n"/>
      <c r="CK6" s="21" t="n"/>
      <c r="CL6" s="27">
        <f>SUM(CJ6:CK6)</f>
        <v/>
      </c>
      <c r="CM6" s="28" t="n"/>
      <c r="CN6" s="31" t="n"/>
      <c r="CO6" s="29">
        <f>IF(AND(CL6=0,CM6=0,CN6=0),0,IF(AND(CL6=0,CM6=0),CN6/1,IF(AND(CL6=0,CN6=0),CM6/1,IF(AND(CM6=0,CN6=0),CL6/1,IF(CL6=0,FLOOR((CM6+CN6)/2,0.1),IF(CM6=0,(CL6+CN6)/2,IF(CN6=0,(CM6+CL6)/2,FLOOR(((CL6+CM6+CN6)/3),0.1))))))))</f>
        <v/>
      </c>
      <c r="CP6" s="21" t="n">
        <v>25</v>
      </c>
      <c r="CQ6" s="21" t="n">
        <v>31</v>
      </c>
      <c r="CR6" s="27">
        <f>SUM(CP6:CQ6)</f>
        <v/>
      </c>
      <c r="CS6" s="28" t="n">
        <v>30</v>
      </c>
      <c r="CT6" s="31" t="n">
        <v>50</v>
      </c>
      <c r="CU6" s="29">
        <f>IF(AND(CR6=0,CS6=0,CT6=0),0,IF(AND(CR6=0,CS6=0),CT6/1,IF(AND(CR6=0,CT6=0),CS6/1,IF(AND(CS6=0,CT6=0),CR6/1,IF(CR6=0,FLOOR((CS6+CT6)/2,0.1),IF(CS6=0,(CR6+CT6)/2,IF(CT6=0,(CS6+CR6)/2,FLOOR(((CR6+CS6+CT6)/3),0.1))))))))</f>
        <v/>
      </c>
      <c r="CV6" s="21" t="n"/>
      <c r="CW6" s="21" t="n"/>
      <c r="CX6" s="27">
        <f>SUM(CV6:CW6)</f>
        <v/>
      </c>
      <c r="CY6" s="28" t="n"/>
      <c r="CZ6" s="31" t="n"/>
      <c r="DA6" s="29">
        <f>IF(AND(CX6=0,CY6=0,CZ6=0),0,IF(AND(CX6=0,CY6=0),CZ6/1,IF(AND(CX6=0,CZ6=0),CY6/1,IF(AND(CY6=0,CZ6=0),CX6/1,IF(CX6=0,FLOOR((CY6+CZ6)/2,0.1),IF(CY6=0,(CX6+CZ6)/2,IF(CZ6=0,(CY6+CX6)/2,FLOOR(((CX6+CY6+CZ6)/3),0.1))))))))</f>
        <v/>
      </c>
      <c r="DB6" s="21" t="n"/>
      <c r="DC6" s="21" t="n"/>
      <c r="DD6" s="27">
        <f>SUM(DB6:DC6)</f>
        <v/>
      </c>
      <c r="DE6" s="28" t="n"/>
      <c r="DF6" s="31" t="n"/>
      <c r="DG6" s="29">
        <f>IF(AND(DD6=0,DE6=0,DF6=0),0,IF(AND(DD6=0,DE6=0),DF6/1,IF(AND(DD6=0,DF6=0),DE6/1,IF(AND(DE6=0,DF6=0),DD6/1,IF(DD6=0,FLOOR((DE6+DF6)/2,0.1),IF(DE6=0,(DD6+DF6)/2,IF(DF6=0,(DE6+DD6)/2,FLOOR(((DD6+DE6+DF6)/3),0.1))))))))</f>
        <v/>
      </c>
      <c r="DH6" s="34">
        <f>SUM(O6,U6,AA6,AG6,AM6,AS6,AY6,BE6,BK6,BQ6,BW6,CC6,CI6,CO6,CU6,DA6,DG6)</f>
        <v/>
      </c>
      <c r="DI6" s="39">
        <f>RANK(DH6,DH$4:DH$503)</f>
        <v/>
      </c>
      <c r="DJ6" s="40" t="inlineStr">
        <is>
          <t>AVERAGE(3)</t>
        </is>
      </c>
      <c r="DK6" s="40" t="inlineStr">
        <is>
          <t>AVERAGE(3)</t>
        </is>
      </c>
      <c r="DL6" s="40" t="inlineStr">
        <is>
          <t>AVERAGE(3)</t>
        </is>
      </c>
      <c r="DM6" s="40" t="inlineStr">
        <is>
          <t>GOOD(4)</t>
        </is>
      </c>
      <c r="DN6" s="19" t="inlineStr">
        <is>
          <t>GOOD(4)</t>
        </is>
      </c>
      <c r="DO6" s="40" t="inlineStr">
        <is>
          <t>GOOD(4)</t>
        </is>
      </c>
      <c r="DP6" s="40" t="inlineStr">
        <is>
          <t>GOOD(4)</t>
        </is>
      </c>
      <c r="DQ6" s="40" t="inlineStr">
        <is>
          <t>GOOD(4)</t>
        </is>
      </c>
      <c r="DR6" s="43" t="inlineStr">
        <is>
          <t>2024/2025</t>
        </is>
      </c>
      <c r="DS6" s="45" t="inlineStr">
        <is>
          <t>THIRD</t>
        </is>
      </c>
      <c r="DT6" s="40" t="inlineStr">
        <is>
          <t>AVERAGE(3)</t>
        </is>
      </c>
      <c r="DU6" s="40" t="inlineStr">
        <is>
          <t>GOOD(4)</t>
        </is>
      </c>
      <c r="DV6" s="40" t="inlineStr">
        <is>
          <t>GOOD(4)</t>
        </is>
      </c>
      <c r="DW6" s="40" t="inlineStr">
        <is>
          <t>EXCELLENT(5)</t>
        </is>
      </c>
      <c r="DX6" s="40" t="inlineStr">
        <is>
          <t>EXCELLENT(5)</t>
        </is>
      </c>
      <c r="DY6" s="40" t="inlineStr">
        <is>
          <t>AVERAGE(3)</t>
        </is>
      </c>
      <c r="DZ6" s="53" t="inlineStr">
        <is>
          <t>GOOD(4)</t>
        </is>
      </c>
      <c r="EA6" s="54" t="inlineStr">
        <is>
          <t>Needs to focus more during lessons to achieve full potential.</t>
        </is>
      </c>
      <c r="EB6" s="55" t="inlineStr">
        <is>
          <t>Promoted to JSS2</t>
        </is>
      </c>
      <c r="EC6" s="56" t="inlineStr">
        <is>
          <t>MR. RAHEEM A.A</t>
        </is>
      </c>
      <c r="ED6" s="57" t="inlineStr">
        <is>
          <t>Next Term Begins on Monday, 15th September, 2025</t>
        </is>
      </c>
    </row>
    <row r="7" ht="30.6" customHeight="1" s="6">
      <c r="A7" s="18" t="n">
        <v>4</v>
      </c>
      <c r="B7" s="19" t="inlineStr">
        <is>
          <t>ADEROJU MOSES A.</t>
        </is>
      </c>
      <c r="C7" s="20" t="inlineStr">
        <is>
          <t>1907</t>
        </is>
      </c>
      <c r="D7" s="128" t="inlineStr">
        <is>
          <t>Male</t>
        </is>
      </c>
      <c r="E7" s="21" t="inlineStr">
        <is>
          <t>JSS 1B</t>
        </is>
      </c>
      <c r="F7" s="21" t="n">
        <v>39</v>
      </c>
      <c r="G7" s="21" t="n">
        <v>122</v>
      </c>
      <c r="H7" s="21" t="n">
        <v>82</v>
      </c>
      <c r="I7" s="26">
        <f>G7-H7</f>
        <v/>
      </c>
      <c r="J7" s="21" t="n">
        <v>26</v>
      </c>
      <c r="K7" s="21" t="n">
        <v>36</v>
      </c>
      <c r="L7" s="27">
        <f>SUM(J7:K7)</f>
        <v/>
      </c>
      <c r="M7" s="28" t="n">
        <v>41</v>
      </c>
      <c r="N7" s="28" t="n">
        <v>34</v>
      </c>
      <c r="O7" s="29">
        <f>IF(AND(L7=0,M7=0,N7=0),0,IF(AND(L7=0,M7=0),N7/1,IF(AND(L7=0,N7=0),M7/1,IF(AND(M7=0,N7=0),L7/1,IF(L7=0,FLOOR((M7+N7)/2,0.1),IF(M7=0,(L7+N7)/2,IF(N7=0,(M7+L7)/2,FLOOR(((L7+M7+N7)/3),0.1))))))))</f>
        <v/>
      </c>
      <c r="P7" s="21" t="n">
        <v>18</v>
      </c>
      <c r="Q7" s="21" t="n">
        <v>33</v>
      </c>
      <c r="R7" s="27">
        <f>SUM(P7:Q7)</f>
        <v/>
      </c>
      <c r="S7" s="28" t="n">
        <v>62</v>
      </c>
      <c r="T7" s="28" t="n">
        <v>60</v>
      </c>
      <c r="U7" s="29">
        <f>IF(AND(R7=0,S7=0,T7=0),0,IF(AND(R7=0,S7=0),T7/1,IF(AND(R7=0,T7=0),S7/1,IF(AND(S7=0,T7=0),R7/1,IF(R7=0,FLOOR((S7+T7)/2,0.1),IF(S7=0,(R7+T7)/2,IF(T7=0,(S7+R7)/2,FLOOR(((R7+S7+T7)/3),0.1))))))))</f>
        <v/>
      </c>
      <c r="V7" s="21" t="n">
        <v>24</v>
      </c>
      <c r="W7" s="21" t="n">
        <v>45</v>
      </c>
      <c r="X7" s="27">
        <f>SUM(V7:W7)</f>
        <v/>
      </c>
      <c r="Y7" s="28" t="n">
        <v>70</v>
      </c>
      <c r="Z7" s="28" t="n">
        <v>51</v>
      </c>
      <c r="AA7" s="29">
        <f>IF(AND(X7=0,Y7=0,Z7=0),0,IF(AND(X7=0,Y7=0),Z7/1,IF(AND(X7=0,Z7=0),Y7/1,IF(AND(Y7=0,Z7=0),X7/1,IF(X7=0,FLOOR((Y7+Z7)/2,0.1),IF(Y7=0,(X7+Z7)/2,IF(Z7=0,(Y7+X7)/2,FLOOR(((X7+Y7+Z7)/3),0.1))))))))</f>
        <v/>
      </c>
      <c r="AB7" s="21" t="n">
        <v>24</v>
      </c>
      <c r="AC7" s="21" t="n">
        <v>48</v>
      </c>
      <c r="AD7" s="27">
        <f>SUM(AB7:AC7)</f>
        <v/>
      </c>
      <c r="AE7" s="28" t="n">
        <v>89</v>
      </c>
      <c r="AF7" s="28" t="n">
        <v>80</v>
      </c>
      <c r="AG7" s="29">
        <f>IF(AND(AD7=0,AE7=0,AF7=0),0,IF(AND(AD7=0,AE7=0),AF7/1,IF(AND(AD7=0,AF7=0),AE7/1,IF(AND(AE7=0,AF7=0),AD7/1,IF(AD7=0,FLOOR((AE7+AF7)/2,0.1),IF(AE7=0,(AD7+AF7)/2,IF(AF7=0,(AE7+AD7)/2,FLOOR(((AD7+AE7+AF7)/3),0.1))))))))</f>
        <v/>
      </c>
      <c r="AH7" s="21" t="n">
        <v>27</v>
      </c>
      <c r="AI7" s="21" t="n">
        <v>25</v>
      </c>
      <c r="AJ7" s="27">
        <f>SUM(AH7:AI7)</f>
        <v/>
      </c>
      <c r="AK7" s="28" t="n">
        <v>83</v>
      </c>
      <c r="AL7" s="28" t="n">
        <v>60</v>
      </c>
      <c r="AM7" s="29">
        <f>IF(AND(AJ7=0,AK7=0,AL7=0),0,IF(AND(AJ7=0,AK7=0),AL7/1,IF(AND(AJ7=0,AL7=0),AK7/1,IF(AND(AK7=0,AL7=0),AJ7/1,IF(AJ7=0,FLOOR((AK7+AL7)/2,0.1),IF(AK7=0,(AJ7+AL7)/2,IF(AL7=0,(AK7+AJ7)/2,FLOOR(((AJ7+AK7+AL7)/3),0.1))))))))</f>
        <v/>
      </c>
      <c r="AN7" s="21" t="n"/>
      <c r="AO7" s="21" t="n"/>
      <c r="AP7" s="27">
        <f>SUM(AN7:AO7)</f>
        <v/>
      </c>
      <c r="AQ7" s="28" t="n"/>
      <c r="AR7" s="30" t="n"/>
      <c r="AS7" s="29">
        <f>IF(AND(AP7=0,AQ7=0,AR7=0),0,IF(AND(AP7=0,AQ7=0),AR7/1,IF(AND(AP7=0,AR7=0),AQ7/1,IF(AND(AQ7=0,AR7=0),AP7/1,IF(AP7=0,FLOOR((AQ7+AR7)/2,0.1),IF(AQ7=0,(AP7+AR7)/2,IF(AR7=0,(AQ7+AP7)/2,FLOOR(((AP7+AQ7+AR7)/3),0.1))))))))</f>
        <v/>
      </c>
      <c r="AT7" s="21" t="n">
        <v>20</v>
      </c>
      <c r="AU7" s="21" t="n">
        <v>36</v>
      </c>
      <c r="AV7" s="27">
        <f>SUM(AT7:AU7)</f>
        <v/>
      </c>
      <c r="AW7" s="28" t="n">
        <v>33</v>
      </c>
      <c r="AX7" s="30" t="n">
        <v>53</v>
      </c>
      <c r="AY7" s="29">
        <f>IF(AND(AV7=0,AW7=0,AX7=0),0,IF(AND(AV7=0,AW7=0),AX7/1,IF(AND(AV7=0,AX7=0),AW7/1,IF(AND(AW7=0,AX7=0),AV7/1,IF(AV7=0,FLOOR((AW7+AX7)/2,0.1),IF(AW7=0,(AV7+AX7)/2,IF(AX7=0,(AW7+AV7)/2,FLOOR(((AV7+AW7+AX7)/3),0.1))))))))</f>
        <v/>
      </c>
      <c r="AZ7" s="21" t="n">
        <v>26</v>
      </c>
      <c r="BA7" s="21" t="n">
        <v>66</v>
      </c>
      <c r="BB7" s="27">
        <f>SUM(AZ7:BA7)</f>
        <v/>
      </c>
      <c r="BC7" s="28" t="n">
        <v>48</v>
      </c>
      <c r="BD7" s="28" t="n">
        <v>70</v>
      </c>
      <c r="BE7" s="29">
        <f>IF(AND(BB7=0,BC7=0,BD7=0),0,IF(AND(BB7=0,BC7=0),BD7/1,IF(AND(BB7=0,BD7=0),BC7/1,IF(AND(BC7=0,BD7=0),BB7/1,IF(BB7=0,FLOOR((BC7+BD7)/2,0.1),IF(BC7=0,(BB7+BD7)/2,IF(BD7=0,(BC7+BB7)/2,FLOOR(((BB7+BC7+BD7)/3),0.1))))))))</f>
        <v/>
      </c>
      <c r="BF7" s="21" t="n">
        <v>17</v>
      </c>
      <c r="BG7" s="21" t="n">
        <v>39</v>
      </c>
      <c r="BH7" s="27">
        <f>SUM(BF7:BG7)</f>
        <v/>
      </c>
      <c r="BI7" s="28" t="n">
        <v>50</v>
      </c>
      <c r="BJ7" s="28" t="n">
        <v>47</v>
      </c>
      <c r="BK7" s="29">
        <f>IF(AND(BH7=0,BI7=0,BJ7=0),0,IF(AND(BH7=0,BI7=0),BJ7/1,IF(AND(BH7=0,BJ7=0),BI7/1,IF(AND(BI7=0,BJ7=0),BH7/1,IF(BH7=0,FLOOR((BI7+BJ7)/2,0.1),IF(BI7=0,(BH7+BJ7)/2,IF(BJ7=0,(BI7+BH7)/2,FLOOR(((BH7+BI7+BJ7)/3),0.1))))))))</f>
        <v/>
      </c>
      <c r="BL7" s="21" t="n">
        <v>22</v>
      </c>
      <c r="BM7" s="21" t="n">
        <v>38</v>
      </c>
      <c r="BN7" s="27">
        <f>SUM(BL7:BM7)</f>
        <v/>
      </c>
      <c r="BO7" s="28" t="n">
        <v>69</v>
      </c>
      <c r="BP7" s="31" t="n">
        <v>44</v>
      </c>
      <c r="BQ7" s="29">
        <f>IF(AND(BN7=0,BO7=0,BP7=0),0,IF(AND(BN7=0,BO7=0),BP7/1,IF(AND(BN7=0,BP7=0),BO7/1,IF(AND(BO7=0,BP7=0),BN7/1,IF(BN7=0,FLOOR((BO7+BP7)/2,0.1),IF(BO7=0,(BN7+BP7)/2,IF(BP7=0,(BO7+BN7)/2,FLOOR(((BN7+BO7+BP7)/3),0.1))))))))</f>
        <v/>
      </c>
      <c r="BR7" s="21" t="n"/>
      <c r="BS7" s="21" t="n"/>
      <c r="BT7" s="27">
        <f>SUM(BR7:BS7)</f>
        <v/>
      </c>
      <c r="BU7" s="28" t="n"/>
      <c r="BV7" s="31" t="n"/>
      <c r="BW7" s="29">
        <f>IF(AND(BT7=0,BU7=0,BV7=0),0,IF(AND(BT7=0,BU7=0),BV7/1,IF(AND(BT7=0,BV7=0),BU7/1,IF(AND(BU7=0,BV7=0),BT7/1,IF(BT7=0,FLOOR((BU7+BV7)/2,0.1),IF(BU7=0,(BT7+BV7)/2,IF(BV7=0,(BU7+BT7)/2,FLOOR(((BT7+BU7+BV7)/3),0.1))))))))</f>
        <v/>
      </c>
      <c r="BX7" s="21" t="n">
        <v>24</v>
      </c>
      <c r="BY7" s="21" t="n">
        <v>29</v>
      </c>
      <c r="BZ7" s="27">
        <f>SUM(BX7:BY7)</f>
        <v/>
      </c>
      <c r="CA7" s="28" t="n">
        <v>51</v>
      </c>
      <c r="CB7" s="31" t="n">
        <v>41</v>
      </c>
      <c r="CC7" s="29">
        <f>IF(AND(BZ7=0,CA7=0,CB7=0),0,IF(AND(BZ7=0,CA7=0),CB7/1,IF(AND(BZ7=0,CB7=0),CA7/1,IF(AND(CA7=0,CB7=0),BZ7/1,IF(BZ7=0,FLOOR((CA7+CB7)/2,0.1),IF(CA7=0,(BZ7+CB7)/2,IF(CB7=0,(CA7+BZ7)/2,FLOOR(((BZ7+CA7+CB7)/3),0.1))))))))</f>
        <v/>
      </c>
      <c r="CD7" s="21" t="n">
        <v>28</v>
      </c>
      <c r="CE7" s="21" t="n">
        <v>38</v>
      </c>
      <c r="CF7" s="27">
        <f>SUM(CD7:CE7)</f>
        <v/>
      </c>
      <c r="CG7" s="28" t="n">
        <v>44</v>
      </c>
      <c r="CH7" s="31" t="n">
        <v>16</v>
      </c>
      <c r="CI7" s="29">
        <f>IF(AND(CF7=0,CG7=0,CH7=0),0,IF(AND(CF7=0,CG7=0),CH7/1,IF(AND(CF7=0,CH7=0),CG7/1,IF(AND(CG7=0,CH7=0),CF7/1,IF(CF7=0,FLOOR((CG7+CH7)/2,0.1),IF(CG7=0,(CF7+CH7)/2,IF(CH7=0,(CG7+CF7)/2,FLOOR(((CF7+CG7+CH7)/3),0.1))))))))</f>
        <v/>
      </c>
      <c r="CJ7" s="21" t="n"/>
      <c r="CK7" s="21" t="n"/>
      <c r="CL7" s="27">
        <f>SUM(CJ7:CK7)</f>
        <v/>
      </c>
      <c r="CM7" s="28" t="n"/>
      <c r="CN7" s="31" t="n"/>
      <c r="CO7" s="29">
        <f>IF(AND(CL7=0,CM7=0,CN7=0),0,IF(AND(CL7=0,CM7=0),CN7/1,IF(AND(CL7=0,CN7=0),CM7/1,IF(AND(CM7=0,CN7=0),CL7/1,IF(CL7=0,FLOOR((CM7+CN7)/2,0.1),IF(CM7=0,(CL7+CN7)/2,IF(CN7=0,(CM7+CL7)/2,FLOOR(((CL7+CM7+CN7)/3),0.1))))))))</f>
        <v/>
      </c>
      <c r="CP7" s="21" t="n"/>
      <c r="CQ7" s="21" t="n"/>
      <c r="CR7" s="27">
        <f>SUM(CP7:CQ7)</f>
        <v/>
      </c>
      <c r="CS7" s="28" t="n"/>
      <c r="CT7" s="31" t="n"/>
      <c r="CU7" s="29">
        <f>IF(AND(CR7=0,CS7=0,CT7=0),0,IF(AND(CR7=0,CS7=0),CT7/1,IF(AND(CR7=0,CT7=0),CS7/1,IF(AND(CS7=0,CT7=0),CR7/1,IF(CR7=0,FLOOR((CS7+CT7)/2,0.1),IF(CS7=0,(CR7+CT7)/2,IF(CT7=0,(CS7+CR7)/2,FLOOR(((CR7+CS7+CT7)/3),0.1))))))))</f>
        <v/>
      </c>
      <c r="CV7" s="21" t="n">
        <v>30</v>
      </c>
      <c r="CW7" s="21" t="n">
        <v>40</v>
      </c>
      <c r="CX7" s="27">
        <f>SUM(CV7:CW7)</f>
        <v/>
      </c>
      <c r="CY7" s="28" t="n">
        <v>61</v>
      </c>
      <c r="CZ7" s="31" t="n">
        <v>66</v>
      </c>
      <c r="DA7" s="29">
        <f>IF(AND(CX7=0,CY7=0,CZ7=0),0,IF(AND(CX7=0,CY7=0),CZ7/1,IF(AND(CX7=0,CZ7=0),CY7/1,IF(AND(CY7=0,CZ7=0),CX7/1,IF(CX7=0,FLOOR((CY7+CZ7)/2,0.1),IF(CY7=0,(CX7+CZ7)/2,IF(CZ7=0,(CY7+CX7)/2,FLOOR(((CX7+CY7+CZ7)/3),0.1))))))))</f>
        <v/>
      </c>
      <c r="DB7" s="21" t="n"/>
      <c r="DC7" s="21" t="n"/>
      <c r="DD7" s="27">
        <f>SUM(DB7:DC7)</f>
        <v/>
      </c>
      <c r="DE7" s="28" t="n"/>
      <c r="DF7" s="31" t="n"/>
      <c r="DG7" s="29">
        <f>IF(AND(DD7=0,DE7=0,DF7=0),0,IF(AND(DD7=0,DE7=0),DF7/1,IF(AND(DD7=0,DF7=0),DE7/1,IF(AND(DE7=0,DF7=0),DD7/1,IF(DD7=0,FLOOR((DE7+DF7)/2,0.1),IF(DE7=0,(DD7+DF7)/2,IF(DF7=0,(DE7+DD7)/2,FLOOR(((DD7+DE7+DF7)/3),0.1))))))))</f>
        <v/>
      </c>
      <c r="DH7" s="34">
        <f>SUM(O7,U7,AA7,AG7,AM7,AS7,AY7,BE7,BK7,BQ7,BW7,CC7,CI7,CO7,CU7,DA7,DG7)</f>
        <v/>
      </c>
      <c r="DI7" s="39">
        <f>RANK(DH7,DH$4:DH$503)</f>
        <v/>
      </c>
      <c r="DJ7" s="40" t="inlineStr">
        <is>
          <t>GOOD(4)</t>
        </is>
      </c>
      <c r="DK7" s="40" t="inlineStr">
        <is>
          <t>GOOD(4)</t>
        </is>
      </c>
      <c r="DL7" s="40" t="inlineStr">
        <is>
          <t>GOOD(4)</t>
        </is>
      </c>
      <c r="DM7" s="40" t="inlineStr">
        <is>
          <t>AVERAGE(3)</t>
        </is>
      </c>
      <c r="DN7" s="19" t="inlineStr">
        <is>
          <t>GOOD(4)</t>
        </is>
      </c>
      <c r="DO7" s="40" t="inlineStr">
        <is>
          <t>AVERAGE(3)</t>
        </is>
      </c>
      <c r="DP7" s="40" t="inlineStr">
        <is>
          <t>GOOD(4)</t>
        </is>
      </c>
      <c r="DQ7" s="40" t="inlineStr">
        <is>
          <t>AVERAGE(3)</t>
        </is>
      </c>
      <c r="DR7" s="43" t="inlineStr">
        <is>
          <t>2024/2025</t>
        </is>
      </c>
      <c r="DS7" s="45" t="inlineStr">
        <is>
          <t>THIRD</t>
        </is>
      </c>
      <c r="DT7" s="40" t="inlineStr">
        <is>
          <t>AVERAGE(3)</t>
        </is>
      </c>
      <c r="DU7" s="40" t="inlineStr">
        <is>
          <t>GOOD(4)</t>
        </is>
      </c>
      <c r="DV7" s="40" t="inlineStr">
        <is>
          <t>GOOD(4)</t>
        </is>
      </c>
      <c r="DW7" s="40" t="inlineStr">
        <is>
          <t>EXCELLENT(5)</t>
        </is>
      </c>
      <c r="DX7" s="40" t="inlineStr">
        <is>
          <t>GOOD(4)</t>
        </is>
      </c>
      <c r="DY7" s="40" t="inlineStr">
        <is>
          <t>GOOD(4)</t>
        </is>
      </c>
      <c r="DZ7" s="53" t="inlineStr">
        <is>
          <t>EXCELLENT(5)</t>
        </is>
      </c>
      <c r="EA7" s="54" t="inlineStr">
        <is>
          <t>Excels in most subjects and demonstrates a strong grasp of concepts.</t>
        </is>
      </c>
      <c r="EB7" s="55" t="inlineStr">
        <is>
          <t>Promoted to JSS2</t>
        </is>
      </c>
      <c r="EC7" s="56" t="inlineStr">
        <is>
          <t>MR. RAHEEM A.A</t>
        </is>
      </c>
      <c r="ED7" s="57" t="inlineStr">
        <is>
          <t>Next Term Begins on Monday, 15th September, 2025</t>
        </is>
      </c>
    </row>
    <row r="8" ht="30.6" customHeight="1" s="6">
      <c r="A8" s="18" t="n">
        <v>5</v>
      </c>
      <c r="B8" s="19" t="inlineStr">
        <is>
          <t>ADEYEMO NAFISAT A.</t>
        </is>
      </c>
      <c r="C8" s="20" t="inlineStr">
        <is>
          <t>1909</t>
        </is>
      </c>
      <c r="D8" s="128" t="inlineStr">
        <is>
          <t>Female</t>
        </is>
      </c>
      <c r="E8" s="21" t="inlineStr">
        <is>
          <t>JSS 1B</t>
        </is>
      </c>
      <c r="F8" s="21" t="n">
        <v>39</v>
      </c>
      <c r="G8" s="21" t="n">
        <v>122</v>
      </c>
      <c r="H8" s="21" t="n">
        <v>120</v>
      </c>
      <c r="I8" s="26">
        <f>G8-H8</f>
        <v/>
      </c>
      <c r="J8" s="21" t="n">
        <v>28</v>
      </c>
      <c r="K8" s="21" t="n">
        <v>18</v>
      </c>
      <c r="L8" s="27">
        <f>SUM(J8:K8)</f>
        <v/>
      </c>
      <c r="M8" s="28" t="n">
        <v>43</v>
      </c>
      <c r="N8" s="28" t="n">
        <v>39</v>
      </c>
      <c r="O8" s="29">
        <f>IF(AND(L8=0,M8=0,N8=0),0,IF(AND(L8=0,M8=0),N8/1,IF(AND(L8=0,N8=0),M8/1,IF(AND(M8=0,N8=0),L8/1,IF(L8=0,FLOOR((M8+N8)/2,0.1),IF(M8=0,(L8+N8)/2,IF(N8=0,(M8+L8)/2,FLOOR(((L8+M8+N8)/3),0.1))))))))</f>
        <v/>
      </c>
      <c r="P8" s="21" t="n">
        <v>22</v>
      </c>
      <c r="Q8" s="21" t="n">
        <v>26</v>
      </c>
      <c r="R8" s="27">
        <f>SUM(P8:Q8)</f>
        <v/>
      </c>
      <c r="S8" s="28" t="n">
        <v>50</v>
      </c>
      <c r="T8" s="28" t="n">
        <v>58</v>
      </c>
      <c r="U8" s="29">
        <f>IF(AND(R8=0,S8=0,T8=0),0,IF(AND(R8=0,S8=0),T8/1,IF(AND(R8=0,T8=0),S8/1,IF(AND(S8=0,T8=0),R8/1,IF(R8=0,FLOOR((S8+T8)/2,0.1),IF(S8=0,(R8+T8)/2,IF(T8=0,(S8+R8)/2,FLOOR(((R8+S8+T8)/3),0.1))))))))</f>
        <v/>
      </c>
      <c r="V8" s="21" t="n">
        <v>24</v>
      </c>
      <c r="W8" s="21" t="n">
        <v>35</v>
      </c>
      <c r="X8" s="27">
        <f>SUM(V8:W8)</f>
        <v/>
      </c>
      <c r="Y8" s="28" t="n">
        <v>62</v>
      </c>
      <c r="Z8" s="28" t="n">
        <v>51</v>
      </c>
      <c r="AA8" s="29">
        <f>IF(AND(X8=0,Y8=0,Z8=0),0,IF(AND(X8=0,Y8=0),Z8/1,IF(AND(X8=0,Z8=0),Y8/1,IF(AND(Y8=0,Z8=0),X8/1,IF(X8=0,FLOOR((Y8+Z8)/2,0.1),IF(Y8=0,(X8+Z8)/2,IF(Z8=0,(Y8+X8)/2,FLOOR(((X8+Y8+Z8)/3),0.1))))))))</f>
        <v/>
      </c>
      <c r="AB8" s="21" t="n">
        <v>28</v>
      </c>
      <c r="AC8" s="21" t="n">
        <v>27</v>
      </c>
      <c r="AD8" s="27">
        <f>SUM(AB8:AC8)</f>
        <v/>
      </c>
      <c r="AE8" s="28" t="n">
        <v>56</v>
      </c>
      <c r="AF8" s="28" t="n">
        <v>56</v>
      </c>
      <c r="AG8" s="29">
        <f>IF(AND(AD8=0,AE8=0,AF8=0),0,IF(AND(AD8=0,AE8=0),AF8/1,IF(AND(AD8=0,AF8=0),AE8/1,IF(AND(AE8=0,AF8=0),AD8/1,IF(AD8=0,FLOOR((AE8+AF8)/2,0.1),IF(AE8=0,(AD8+AF8)/2,IF(AF8=0,(AE8+AD8)/2,FLOOR(((AD8+AE8+AF8)/3),0.1))))))))</f>
        <v/>
      </c>
      <c r="AH8" s="21" t="n">
        <v>27</v>
      </c>
      <c r="AI8" s="21" t="n">
        <v>27</v>
      </c>
      <c r="AJ8" s="27">
        <f>SUM(AH8:AI8)</f>
        <v/>
      </c>
      <c r="AK8" s="28" t="n">
        <v>58</v>
      </c>
      <c r="AL8" s="28" t="n">
        <v>48</v>
      </c>
      <c r="AM8" s="29">
        <f>IF(AND(AJ8=0,AK8=0,AL8=0),0,IF(AND(AJ8=0,AK8=0),AL8/1,IF(AND(AJ8=0,AL8=0),AK8/1,IF(AND(AK8=0,AL8=0),AJ8/1,IF(AJ8=0,FLOOR((AK8+AL8)/2,0.1),IF(AK8=0,(AJ8+AL8)/2,IF(AL8=0,(AK8+AJ8)/2,FLOOR(((AJ8+AK8+AL8)/3),0.1))))))))</f>
        <v/>
      </c>
      <c r="AN8" s="21" t="n"/>
      <c r="AO8" s="21" t="n"/>
      <c r="AP8" s="27">
        <f>SUM(AN8:AO8)</f>
        <v/>
      </c>
      <c r="AQ8" s="28" t="n"/>
      <c r="AR8" s="30" t="n"/>
      <c r="AS8" s="29">
        <f>IF(AND(AP8=0,AQ8=0,AR8=0),0,IF(AND(AP8=0,AQ8=0),AR8/1,IF(AND(AP8=0,AR8=0),AQ8/1,IF(AND(AQ8=0,AR8=0),AP8/1,IF(AP8=0,FLOOR((AQ8+AR8)/2,0.1),IF(AQ8=0,(AP8+AR8)/2,IF(AR8=0,(AQ8+AP8)/2,FLOOR(((AP8+AQ8+AR8)/3),0.1))))))))</f>
        <v/>
      </c>
      <c r="AT8" s="21" t="n">
        <v>18</v>
      </c>
      <c r="AU8" s="21" t="n">
        <v>40</v>
      </c>
      <c r="AV8" s="27">
        <f>SUM(AT8:AU8)</f>
        <v/>
      </c>
      <c r="AW8" s="28" t="n">
        <v>28</v>
      </c>
      <c r="AX8" s="30" t="n">
        <v>58</v>
      </c>
      <c r="AY8" s="29">
        <f>IF(AND(AV8=0,AW8=0,AX8=0),0,IF(AND(AV8=0,AW8=0),AX8/1,IF(AND(AV8=0,AX8=0),AW8/1,IF(AND(AW8=0,AX8=0),AV8/1,IF(AV8=0,FLOOR((AW8+AX8)/2,0.1),IF(AW8=0,(AV8+AX8)/2,IF(AX8=0,(AW8+AV8)/2,FLOOR(((AV8+AW8+AX8)/3),0.1))))))))</f>
        <v/>
      </c>
      <c r="AZ8" s="21" t="n">
        <v>22</v>
      </c>
      <c r="BA8" s="21" t="n">
        <v>29</v>
      </c>
      <c r="BB8" s="27">
        <f>SUM(AZ8:BA8)</f>
        <v/>
      </c>
      <c r="BC8" s="28" t="n">
        <v>44</v>
      </c>
      <c r="BD8" s="28" t="n">
        <v>48</v>
      </c>
      <c r="BE8" s="29">
        <f>IF(AND(BB8=0,BC8=0,BD8=0),0,IF(AND(BB8=0,BC8=0),BD8/1,IF(AND(BB8=0,BD8=0),BC8/1,IF(AND(BC8=0,BD8=0),BB8/1,IF(BB8=0,FLOOR((BC8+BD8)/2,0.1),IF(BC8=0,(BB8+BD8)/2,IF(BD8=0,(BC8+BB8)/2,FLOOR(((BB8+BC8+BD8)/3),0.1))))))))</f>
        <v/>
      </c>
      <c r="BF8" s="21" t="n">
        <v>15</v>
      </c>
      <c r="BG8" s="21" t="n">
        <v>40</v>
      </c>
      <c r="BH8" s="27">
        <f>SUM(BF8:BG8)</f>
        <v/>
      </c>
      <c r="BI8" s="28" t="n">
        <v>49</v>
      </c>
      <c r="BJ8" s="28" t="n">
        <v>45</v>
      </c>
      <c r="BK8" s="29">
        <f>IF(AND(BH8=0,BI8=0,BJ8=0),0,IF(AND(BH8=0,BI8=0),BJ8/1,IF(AND(BH8=0,BJ8=0),BI8/1,IF(AND(BI8=0,BJ8=0),BH8/1,IF(BH8=0,FLOOR((BI8+BJ8)/2,0.1),IF(BI8=0,(BH8+BJ8)/2,IF(BJ8=0,(BI8+BH8)/2,FLOOR(((BH8+BI8+BJ8)/3),0.1))))))))</f>
        <v/>
      </c>
      <c r="BL8" s="21" t="n">
        <v>15</v>
      </c>
      <c r="BM8" s="21" t="n">
        <v>35</v>
      </c>
      <c r="BN8" s="27">
        <f>SUM(BL8:BM8)</f>
        <v/>
      </c>
      <c r="BO8" s="28" t="n">
        <v>52</v>
      </c>
      <c r="BP8" s="31" t="n">
        <v>49</v>
      </c>
      <c r="BQ8" s="29">
        <f>IF(AND(BN8=0,BO8=0,BP8=0),0,IF(AND(BN8=0,BO8=0),BP8/1,IF(AND(BN8=0,BP8=0),BO8/1,IF(AND(BO8=0,BP8=0),BN8/1,IF(BN8=0,FLOOR((BO8+BP8)/2,0.1),IF(BO8=0,(BN8+BP8)/2,IF(BP8=0,(BO8+BN8)/2,FLOOR(((BN8+BO8+BP8)/3),0.1))))))))</f>
        <v/>
      </c>
      <c r="BR8" s="21" t="n"/>
      <c r="BS8" s="21" t="n"/>
      <c r="BT8" s="27">
        <f>SUM(BR8:BS8)</f>
        <v/>
      </c>
      <c r="BU8" s="28" t="n"/>
      <c r="BV8" s="31" t="n"/>
      <c r="BW8" s="29">
        <f>IF(AND(BT8=0,BU8=0,BV8=0),0,IF(AND(BT8=0,BU8=0),BV8/1,IF(AND(BT8=0,BV8=0),BU8/1,IF(AND(BU8=0,BV8=0),BT8/1,IF(BT8=0,FLOOR((BU8+BV8)/2,0.1),IF(BU8=0,(BT8+BV8)/2,IF(BV8=0,(BU8+BT8)/2,FLOOR(((BT8+BU8+BV8)/3),0.1))))))))</f>
        <v/>
      </c>
      <c r="BX8" s="21" t="n">
        <v>24</v>
      </c>
      <c r="BY8" s="21" t="n">
        <v>29</v>
      </c>
      <c r="BZ8" s="27">
        <f>SUM(BX8:BY8)</f>
        <v/>
      </c>
      <c r="CA8" s="28" t="n">
        <v>51</v>
      </c>
      <c r="CB8" s="31" t="n">
        <v>41</v>
      </c>
      <c r="CC8" s="29">
        <f>IF(AND(BZ8=0,CA8=0,CB8=0),0,IF(AND(BZ8=0,CA8=0),CB8/1,IF(AND(BZ8=0,CB8=0),CA8/1,IF(AND(CA8=0,CB8=0),BZ8/1,IF(BZ8=0,FLOOR((CA8+CB8)/2,0.1),IF(CA8=0,(BZ8+CB8)/2,IF(CB8=0,(CA8+BZ8)/2,FLOOR(((BZ8+CA8+CB8)/3),0.1))))))))</f>
        <v/>
      </c>
      <c r="CD8" s="21" t="n">
        <v>15</v>
      </c>
      <c r="CE8" s="21" t="n">
        <v>35</v>
      </c>
      <c r="CF8" s="27">
        <f>SUM(CD8:CE8)</f>
        <v/>
      </c>
      <c r="CG8" s="28" t="n">
        <v>17</v>
      </c>
      <c r="CH8" s="31" t="n">
        <v>19</v>
      </c>
      <c r="CI8" s="29">
        <f>IF(AND(CF8=0,CG8=0,CH8=0),0,IF(AND(CF8=0,CG8=0),CH8/1,IF(AND(CF8=0,CH8=0),CG8/1,IF(AND(CG8=0,CH8=0),CF8/1,IF(CF8=0,FLOOR((CG8+CH8)/2,0.1),IF(CG8=0,(CF8+CH8)/2,IF(CH8=0,(CG8+CF8)/2,FLOOR(((CF8+CG8+CH8)/3),0.1))))))))</f>
        <v/>
      </c>
      <c r="CJ8" s="21" t="n"/>
      <c r="CK8" s="21" t="n"/>
      <c r="CL8" s="27">
        <f>SUM(CJ8:CK8)</f>
        <v/>
      </c>
      <c r="CM8" s="28" t="n"/>
      <c r="CN8" s="31" t="n"/>
      <c r="CO8" s="29">
        <f>IF(AND(CL8=0,CM8=0,CN8=0),0,IF(AND(CL8=0,CM8=0),CN8/1,IF(AND(CL8=0,CN8=0),CM8/1,IF(AND(CM8=0,CN8=0),CL8/1,IF(CL8=0,FLOOR((CM8+CN8)/2,0.1),IF(CM8=0,(CL8+CN8)/2,IF(CN8=0,(CM8+CL8)/2,FLOOR(((CL8+CM8+CN8)/3),0.1))))))))</f>
        <v/>
      </c>
      <c r="CP8" s="21" t="n">
        <v>24</v>
      </c>
      <c r="CQ8" s="21" t="n">
        <v>43</v>
      </c>
      <c r="CR8" s="27">
        <f>SUM(CP8:CQ8)</f>
        <v/>
      </c>
      <c r="CS8" s="28" t="n">
        <v>49</v>
      </c>
      <c r="CT8" s="31" t="n">
        <v>43</v>
      </c>
      <c r="CU8" s="29">
        <f>IF(AND(CR8=0,CS8=0,CT8=0),0,IF(AND(CR8=0,CS8=0),CT8/1,IF(AND(CR8=0,CT8=0),CS8/1,IF(AND(CS8=0,CT8=0),CR8/1,IF(CR8=0,FLOOR((CS8+CT8)/2,0.1),IF(CS8=0,(CR8+CT8)/2,IF(CT8=0,(CS8+CR8)/2,FLOOR(((CR8+CS8+CT8)/3),0.1))))))))</f>
        <v/>
      </c>
      <c r="CV8" s="21" t="n"/>
      <c r="CW8" s="21" t="n"/>
      <c r="CX8" s="27">
        <f>SUM(CV8:CW8)</f>
        <v/>
      </c>
      <c r="CY8" s="28" t="n"/>
      <c r="CZ8" s="31" t="n"/>
      <c r="DA8" s="29">
        <f>IF(AND(CX8=0,CY8=0,CZ8=0),0,IF(AND(CX8=0,CY8=0),CZ8/1,IF(AND(CX8=0,CZ8=0),CY8/1,IF(AND(CY8=0,CZ8=0),CX8/1,IF(CX8=0,FLOOR((CY8+CZ8)/2,0.1),IF(CY8=0,(CX8+CZ8)/2,IF(CZ8=0,(CY8+CX8)/2,FLOOR(((CX8+CY8+CZ8)/3),0.1))))))))</f>
        <v/>
      </c>
      <c r="DB8" s="21" t="n"/>
      <c r="DC8" s="21" t="n"/>
      <c r="DD8" s="27">
        <f>SUM(DB8:DC8)</f>
        <v/>
      </c>
      <c r="DE8" s="28" t="n"/>
      <c r="DF8" s="31" t="n"/>
      <c r="DG8" s="29">
        <f>IF(AND(DD8=0,DE8=0,DF8=0),0,IF(AND(DD8=0,DE8=0),DF8/1,IF(AND(DD8=0,DF8=0),DE8/1,IF(AND(DE8=0,DF8=0),DD8/1,IF(DD8=0,FLOOR((DE8+DF8)/2,0.1),IF(DE8=0,(DD8+DF8)/2,IF(DF8=0,(DE8+DD8)/2,FLOOR(((DD8+DE8+DF8)/3),0.1))))))))</f>
        <v/>
      </c>
      <c r="DH8" s="34">
        <f>SUM(O8,U8,AA8,AG8,AM8,AS8,AY8,BE8,BK8,BQ8,BW8,CC8,CI8,CO8,CU8,DA8,DG8)</f>
        <v/>
      </c>
      <c r="DI8" s="39">
        <f>RANK(DH8,DH$4:DH$503)</f>
        <v/>
      </c>
      <c r="DJ8" s="40" t="inlineStr">
        <is>
          <t>GOOD(4)</t>
        </is>
      </c>
      <c r="DK8" s="40" t="inlineStr">
        <is>
          <t>AVERAGE(3)</t>
        </is>
      </c>
      <c r="DL8" s="40" t="inlineStr">
        <is>
          <t>GOOD(4)</t>
        </is>
      </c>
      <c r="DM8" s="40" t="inlineStr">
        <is>
          <t>GOOD(4)</t>
        </is>
      </c>
      <c r="DN8" s="19" t="inlineStr">
        <is>
          <t>AVERAGE(3)</t>
        </is>
      </c>
      <c r="DO8" s="40" t="inlineStr">
        <is>
          <t>AVERAGE(3)</t>
        </is>
      </c>
      <c r="DP8" s="40" t="inlineStr">
        <is>
          <t>GOOD(4)</t>
        </is>
      </c>
      <c r="DQ8" s="40" t="inlineStr">
        <is>
          <t>AVERAGE(3)</t>
        </is>
      </c>
      <c r="DR8" s="43" t="inlineStr">
        <is>
          <t>2024/2025</t>
        </is>
      </c>
      <c r="DS8" s="45" t="inlineStr">
        <is>
          <t>THIRD</t>
        </is>
      </c>
      <c r="DT8" s="40" t="inlineStr">
        <is>
          <t>GOOD(4)</t>
        </is>
      </c>
      <c r="DU8" s="40" t="inlineStr">
        <is>
          <t>AVERAGE(3)</t>
        </is>
      </c>
      <c r="DV8" s="40" t="inlineStr">
        <is>
          <t>GOOD(4)</t>
        </is>
      </c>
      <c r="DW8" s="40" t="inlineStr">
        <is>
          <t>GOOD(4)</t>
        </is>
      </c>
      <c r="DX8" s="40" t="inlineStr">
        <is>
          <t>EXCELLENT(5)</t>
        </is>
      </c>
      <c r="DY8" s="40" t="inlineStr">
        <is>
          <t>AVERAGE(3)</t>
        </is>
      </c>
      <c r="DZ8" s="53" t="inlineStr">
        <is>
          <t>GOOD(4)</t>
        </is>
      </c>
      <c r="EA8" s="54" t="inlineStr">
        <is>
          <t>Needs reminders to stay on task and avoid distractions.</t>
        </is>
      </c>
      <c r="EB8" s="55" t="inlineStr">
        <is>
          <t>Promoted to JSS2</t>
        </is>
      </c>
      <c r="EC8" s="56" t="inlineStr">
        <is>
          <t>MR. RAHEEM A.A</t>
        </is>
      </c>
      <c r="ED8" s="57" t="inlineStr">
        <is>
          <t>Next Term Begins on Monday, 15th September, 2025</t>
        </is>
      </c>
    </row>
    <row r="9" ht="30.6" customHeight="1" s="6">
      <c r="A9" s="18" t="n">
        <v>6</v>
      </c>
      <c r="B9" s="19" t="inlineStr">
        <is>
          <t xml:space="preserve">ADISA OJEDOKUN </t>
        </is>
      </c>
      <c r="C9" s="20" t="inlineStr">
        <is>
          <t>2040</t>
        </is>
      </c>
      <c r="D9" s="128" t="inlineStr">
        <is>
          <t>Male</t>
        </is>
      </c>
      <c r="E9" s="21" t="inlineStr">
        <is>
          <t>JSS 1B</t>
        </is>
      </c>
      <c r="F9" s="21" t="n">
        <v>39</v>
      </c>
      <c r="G9" s="21" t="n">
        <v>122</v>
      </c>
      <c r="H9" s="21" t="n">
        <v>110</v>
      </c>
      <c r="I9" s="26">
        <f>G9-H9</f>
        <v/>
      </c>
      <c r="J9" s="21" t="n">
        <v>20</v>
      </c>
      <c r="K9" s="21" t="n">
        <v>18</v>
      </c>
      <c r="L9" s="27">
        <f>SUM(J9:K9)</f>
        <v/>
      </c>
      <c r="M9" s="28" t="n">
        <v>25</v>
      </c>
      <c r="N9" s="28" t="n">
        <v>30</v>
      </c>
      <c r="O9" s="29">
        <f>IF(AND(L9=0,M9=0,N9=0),0,IF(AND(L9=0,M9=0),N9/1,IF(AND(L9=0,N9=0),M9/1,IF(AND(M9=0,N9=0),L9/1,IF(L9=0,FLOOR((M9+N9)/2,0.1),IF(M9=0,(L9+N9)/2,IF(N9=0,(M9+L9)/2,FLOOR(((L9+M9+N9)/3),0.1))))))))</f>
        <v/>
      </c>
      <c r="P9" s="21" t="n">
        <v>16</v>
      </c>
      <c r="Q9" s="21" t="n">
        <v>25</v>
      </c>
      <c r="R9" s="27">
        <f>SUM(P9:Q9)</f>
        <v/>
      </c>
      <c r="S9" s="28" t="n">
        <v>25</v>
      </c>
      <c r="T9" s="28" t="n">
        <v>33</v>
      </c>
      <c r="U9" s="29">
        <f>IF(AND(R9=0,S9=0,T9=0),0,IF(AND(R9=0,S9=0),T9/1,IF(AND(R9=0,T9=0),S9/1,IF(AND(S9=0,T9=0),R9/1,IF(R9=0,FLOOR((S9+T9)/2,0.1),IF(S9=0,(R9+T9)/2,IF(T9=0,(S9+R9)/2,FLOOR(((R9+S9+T9)/3),0.1))))))))</f>
        <v/>
      </c>
      <c r="V9" s="21" t="n">
        <v>14</v>
      </c>
      <c r="W9" s="21" t="n">
        <v>31</v>
      </c>
      <c r="X9" s="27">
        <f>SUM(V9:W9)</f>
        <v/>
      </c>
      <c r="Y9" s="28" t="n">
        <v>22</v>
      </c>
      <c r="Z9" s="28" t="n">
        <v>24</v>
      </c>
      <c r="AA9" s="29">
        <f>IF(AND(X9=0,Y9=0,Z9=0),0,IF(AND(X9=0,Y9=0),Z9/1,IF(AND(X9=0,Z9=0),Y9/1,IF(AND(Y9=0,Z9=0),X9/1,IF(X9=0,FLOOR((Y9+Z9)/2,0.1),IF(Y9=0,(X9+Z9)/2,IF(Z9=0,(Y9+X9)/2,FLOOR(((X9+Y9+Z9)/3),0.1))))))))</f>
        <v/>
      </c>
      <c r="AB9" s="21" t="n">
        <v>14</v>
      </c>
      <c r="AC9" s="21" t="n">
        <v>39</v>
      </c>
      <c r="AD9" s="27">
        <f>SUM(AB9:AC9)</f>
        <v/>
      </c>
      <c r="AE9" s="28" t="n">
        <v>53</v>
      </c>
      <c r="AF9" s="28" t="n">
        <v>53</v>
      </c>
      <c r="AG9" s="29">
        <f>IF(AND(AD9=0,AE9=0,AF9=0),0,IF(AND(AD9=0,AE9=0),AF9/1,IF(AND(AD9=0,AF9=0),AE9/1,IF(AND(AE9=0,AF9=0),AD9/1,IF(AD9=0,FLOOR((AE9+AF9)/2,0.1),IF(AE9=0,(AD9+AF9)/2,IF(AF9=0,(AE9+AD9)/2,FLOOR(((AD9+AE9+AF9)/3),0.1))))))))</f>
        <v/>
      </c>
      <c r="AH9" s="21" t="n">
        <v>11</v>
      </c>
      <c r="AI9" s="21" t="n">
        <v>27</v>
      </c>
      <c r="AJ9" s="27">
        <f>SUM(AH9:AI9)</f>
        <v/>
      </c>
      <c r="AK9" s="28" t="n">
        <v>38</v>
      </c>
      <c r="AL9" s="28" t="n">
        <v>38</v>
      </c>
      <c r="AM9" s="29">
        <f>IF(AND(AJ9=0,AK9=0,AL9=0),0,IF(AND(AJ9=0,AK9=0),AL9/1,IF(AND(AJ9=0,AL9=0),AK9/1,IF(AND(AK9=0,AL9=0),AJ9/1,IF(AJ9=0,FLOOR((AK9+AL9)/2,0.1),IF(AK9=0,(AJ9+AL9)/2,IF(AL9=0,(AK9+AJ9)/2,FLOOR(((AJ9+AK9+AL9)/3),0.1))))))))</f>
        <v/>
      </c>
      <c r="AN9" s="21" t="n"/>
      <c r="AO9" s="21" t="n"/>
      <c r="AP9" s="27">
        <f>SUM(AN9:AO9)</f>
        <v/>
      </c>
      <c r="AQ9" s="28" t="n"/>
      <c r="AR9" s="30" t="n"/>
      <c r="AS9" s="29">
        <f>IF(AND(AP9=0,AQ9=0,AR9=0),0,IF(AND(AP9=0,AQ9=0),AR9/1,IF(AND(AP9=0,AR9=0),AQ9/1,IF(AND(AQ9=0,AR9=0),AP9/1,IF(AP9=0,FLOOR((AQ9+AR9)/2,0.1),IF(AQ9=0,(AP9+AR9)/2,IF(AR9=0,(AQ9+AP9)/2,FLOOR(((AP9+AQ9+AR9)/3),0.1))))))))</f>
        <v/>
      </c>
      <c r="AT9" s="21" t="n">
        <v>18</v>
      </c>
      <c r="AU9" s="21" t="n">
        <v>21</v>
      </c>
      <c r="AV9" s="27">
        <f>SUM(AT9:AU9)</f>
        <v/>
      </c>
      <c r="AW9" s="28" t="n">
        <v>39</v>
      </c>
      <c r="AX9" s="30" t="n">
        <v>39</v>
      </c>
      <c r="AY9" s="29">
        <f>IF(AND(AV9=0,AW9=0,AX9=0),0,IF(AND(AV9=0,AW9=0),AX9/1,IF(AND(AV9=0,AX9=0),AW9/1,IF(AND(AW9=0,AX9=0),AV9/1,IF(AV9=0,FLOOR((AW9+AX9)/2,0.1),IF(AW9=0,(AV9+AX9)/2,IF(AX9=0,(AW9+AV9)/2,FLOOR(((AV9+AW9+AX9)/3),0.1))))))))</f>
        <v/>
      </c>
      <c r="AZ9" s="21" t="n">
        <v>10</v>
      </c>
      <c r="BA9" s="21" t="n">
        <v>29</v>
      </c>
      <c r="BB9" s="27">
        <f>SUM(AZ9:BA9)</f>
        <v/>
      </c>
      <c r="BC9" s="28" t="n">
        <v>39</v>
      </c>
      <c r="BD9" s="28" t="n">
        <v>39</v>
      </c>
      <c r="BE9" s="29">
        <f>IF(AND(BB9=0,BC9=0,BD9=0),0,IF(AND(BB9=0,BC9=0),BD9/1,IF(AND(BB9=0,BD9=0),BC9/1,IF(AND(BC9=0,BD9=0),BB9/1,IF(BB9=0,FLOOR((BC9+BD9)/2,0.1),IF(BC9=0,(BB9+BD9)/2,IF(BD9=0,(BC9+BB9)/2,FLOOR(((BB9+BC9+BD9)/3),0.1))))))))</f>
        <v/>
      </c>
      <c r="BF9" s="21" t="n">
        <v>5</v>
      </c>
      <c r="BG9" s="21" t="n">
        <v>12</v>
      </c>
      <c r="BH9" s="27">
        <f>SUM(BF9:BG9)</f>
        <v/>
      </c>
      <c r="BI9" s="28" t="n">
        <v>17</v>
      </c>
      <c r="BJ9" s="28" t="n">
        <v>17</v>
      </c>
      <c r="BK9" s="29">
        <f>IF(AND(BH9=0,BI9=0,BJ9=0),0,IF(AND(BH9=0,BI9=0),BJ9/1,IF(AND(BH9=0,BJ9=0),BI9/1,IF(AND(BI9=0,BJ9=0),BH9/1,IF(BH9=0,FLOOR((BI9+BJ9)/2,0.1),IF(BI9=0,(BH9+BJ9)/2,IF(BJ9=0,(BI9+BH9)/2,FLOOR(((BH9+BI9+BJ9)/3),0.1))))))))</f>
        <v/>
      </c>
      <c r="BL9" s="21" t="n">
        <v>15</v>
      </c>
      <c r="BM9" s="21" t="n">
        <v>20</v>
      </c>
      <c r="BN9" s="27">
        <f>SUM(BL9:BM9)</f>
        <v/>
      </c>
      <c r="BO9" s="28" t="n">
        <v>41</v>
      </c>
      <c r="BP9" s="31" t="n">
        <v>30</v>
      </c>
      <c r="BQ9" s="29">
        <f>IF(AND(BN9=0,BO9=0,BP9=0),0,IF(AND(BN9=0,BO9=0),BP9/1,IF(AND(BN9=0,BP9=0),BO9/1,IF(AND(BO9=0,BP9=0),BN9/1,IF(BN9=0,FLOOR((BO9+BP9)/2,0.1),IF(BO9=0,(BN9+BP9)/2,IF(BP9=0,(BO9+BN9)/2,FLOOR(((BN9+BO9+BP9)/3),0.1))))))))</f>
        <v/>
      </c>
      <c r="BR9" s="21" t="n"/>
      <c r="BS9" s="21" t="n"/>
      <c r="BT9" s="27">
        <f>SUM(BR9:BS9)</f>
        <v/>
      </c>
      <c r="BU9" s="28" t="n"/>
      <c r="BV9" s="31" t="n"/>
      <c r="BW9" s="29">
        <f>IF(AND(BT9=0,BU9=0,BV9=0),0,IF(AND(BT9=0,BU9=0),BV9/1,IF(AND(BT9=0,BV9=0),BU9/1,IF(AND(BU9=0,BV9=0),BT9/1,IF(BT9=0,FLOOR((BU9+BV9)/2,0.1),IF(BU9=0,(BT9+BV9)/2,IF(BV9=0,(BU9+BT9)/2,FLOOR(((BT9+BU9+BV9)/3),0.1))))))))</f>
        <v/>
      </c>
      <c r="BX9" s="21" t="n">
        <v>24</v>
      </c>
      <c r="BY9" s="21" t="n">
        <v>29</v>
      </c>
      <c r="BZ9" s="27">
        <f>SUM(BX9:BY9)</f>
        <v/>
      </c>
      <c r="CA9" s="28" t="n">
        <v>51</v>
      </c>
      <c r="CB9" s="31" t="n">
        <v>41</v>
      </c>
      <c r="CC9" s="29">
        <f>IF(AND(BZ9=0,CA9=0,CB9=0),0,IF(AND(BZ9=0,CA9=0),CB9/1,IF(AND(BZ9=0,CB9=0),CA9/1,IF(AND(CA9=0,CB9=0),BZ9/1,IF(BZ9=0,FLOOR((CA9+CB9)/2,0.1),IF(CA9=0,(BZ9+CB9)/2,IF(CB9=0,(CA9+BZ9)/2,FLOOR(((BZ9+CA9+CB9)/3),0.1))))))))</f>
        <v/>
      </c>
      <c r="CD9" s="21" t="n">
        <v>12</v>
      </c>
      <c r="CE9" s="21" t="n">
        <v>13</v>
      </c>
      <c r="CF9" s="27">
        <f>SUM(CD9:CE9)</f>
        <v/>
      </c>
      <c r="CG9" s="28" t="n">
        <v>15</v>
      </c>
      <c r="CH9" s="31" t="n">
        <v>14</v>
      </c>
      <c r="CI9" s="29">
        <f>IF(AND(CF9=0,CG9=0,CH9=0),0,IF(AND(CF9=0,CG9=0),CH9/1,IF(AND(CF9=0,CH9=0),CG9/1,IF(AND(CG9=0,CH9=0),CF9/1,IF(CF9=0,FLOOR((CG9+CH9)/2,0.1),IF(CG9=0,(CF9+CH9)/2,IF(CH9=0,(CG9+CF9)/2,FLOOR(((CF9+CG9+CH9)/3),0.1))))))))</f>
        <v/>
      </c>
      <c r="CJ9" s="21" t="n"/>
      <c r="CK9" s="21" t="n"/>
      <c r="CL9" s="27">
        <f>SUM(CJ9:CK9)</f>
        <v/>
      </c>
      <c r="CM9" s="28" t="n"/>
      <c r="CN9" s="31" t="n"/>
      <c r="CO9" s="29">
        <f>IF(AND(CL9=0,CM9=0,CN9=0),0,IF(AND(CL9=0,CM9=0),CN9/1,IF(AND(CL9=0,CN9=0),CM9/1,IF(AND(CM9=0,CN9=0),CL9/1,IF(CL9=0,FLOOR((CM9+CN9)/2,0.1),IF(CM9=0,(CL9+CN9)/2,IF(CN9=0,(CM9+CL9)/2,FLOOR(((CL9+CM9+CN9)/3),0.1))))))))</f>
        <v/>
      </c>
      <c r="CP9" s="21" t="n"/>
      <c r="CQ9" s="21" t="n"/>
      <c r="CR9" s="27">
        <f>SUM(CP9:CQ9)</f>
        <v/>
      </c>
      <c r="CS9" s="28" t="n"/>
      <c r="CT9" s="31" t="n"/>
      <c r="CU9" s="29">
        <f>IF(AND(CR9=0,CS9=0,CT9=0),0,IF(AND(CR9=0,CS9=0),CT9/1,IF(AND(CR9=0,CT9=0),CS9/1,IF(AND(CS9=0,CT9=0),CR9/1,IF(CR9=0,FLOOR((CS9+CT9)/2,0.1),IF(CS9=0,(CR9+CT9)/2,IF(CT9=0,(CS9+CR9)/2,FLOOR(((CR9+CS9+CT9)/3),0.1))))))))</f>
        <v/>
      </c>
      <c r="CV9" s="21" t="n">
        <v>10</v>
      </c>
      <c r="CW9" s="21" t="n">
        <v>20</v>
      </c>
      <c r="CX9" s="27">
        <f>SUM(CV9:CW9)</f>
        <v/>
      </c>
      <c r="CY9" s="28" t="n">
        <v>20</v>
      </c>
      <c r="CZ9" s="31" t="n">
        <v>25</v>
      </c>
      <c r="DA9" s="29">
        <f>IF(AND(CX9=0,CY9=0,CZ9=0),0,IF(AND(CX9=0,CY9=0),CZ9/1,IF(AND(CX9=0,CZ9=0),CY9/1,IF(AND(CY9=0,CZ9=0),CX9/1,IF(CX9=0,FLOOR((CY9+CZ9)/2,0.1),IF(CY9=0,(CX9+CZ9)/2,IF(CZ9=0,(CY9+CX9)/2,FLOOR(((CX9+CY9+CZ9)/3),0.1))))))))</f>
        <v/>
      </c>
      <c r="DB9" s="21" t="n"/>
      <c r="DC9" s="21" t="n"/>
      <c r="DD9" s="27">
        <f>SUM(DB9:DC9)</f>
        <v/>
      </c>
      <c r="DE9" s="28" t="n"/>
      <c r="DF9" s="31" t="n"/>
      <c r="DG9" s="29">
        <f>IF(AND(DD9=0,DE9=0,DF9=0),0,IF(AND(DD9=0,DE9=0),DF9/1,IF(AND(DD9=0,DF9=0),DE9/1,IF(AND(DE9=0,DF9=0),DD9/1,IF(DD9=0,FLOOR((DE9+DF9)/2,0.1),IF(DE9=0,(DD9+DF9)/2,IF(DF9=0,(DE9+DD9)/2,FLOOR(((DD9+DE9+DF9)/3),0.1))))))))</f>
        <v/>
      </c>
      <c r="DH9" s="34">
        <f>SUM(O9,U9,AA9,AG9,AM9,AS9,AY9,BE9,BK9,BQ9,BW9,CC9,CI9,CO9,CU9,DA9,DG9)</f>
        <v/>
      </c>
      <c r="DI9" s="39">
        <f>RANK(DH9,DH$4:DH$503)</f>
        <v/>
      </c>
      <c r="DJ9" s="40" t="inlineStr">
        <is>
          <t>AVERAGE(3)</t>
        </is>
      </c>
      <c r="DK9" s="40" t="inlineStr">
        <is>
          <t>AVERAGE(3)</t>
        </is>
      </c>
      <c r="DL9" s="40" t="inlineStr">
        <is>
          <t>GOOD(4)</t>
        </is>
      </c>
      <c r="DM9" s="40" t="inlineStr">
        <is>
          <t>GOOD(4)</t>
        </is>
      </c>
      <c r="DN9" s="19" t="inlineStr">
        <is>
          <t>GOOD(4)</t>
        </is>
      </c>
      <c r="DO9" s="40" t="inlineStr">
        <is>
          <t>AVERAGE(3)</t>
        </is>
      </c>
      <c r="DP9" s="40" t="inlineStr">
        <is>
          <t>GOOD(4)</t>
        </is>
      </c>
      <c r="DQ9" s="40" t="inlineStr">
        <is>
          <t>AVERAGE(3)</t>
        </is>
      </c>
      <c r="DR9" s="43" t="inlineStr">
        <is>
          <t>2024/2025</t>
        </is>
      </c>
      <c r="DS9" s="45" t="inlineStr">
        <is>
          <t>THIRD</t>
        </is>
      </c>
      <c r="DT9" s="40" t="inlineStr">
        <is>
          <t>GOOD(4)</t>
        </is>
      </c>
      <c r="DU9" s="40" t="inlineStr">
        <is>
          <t>GOOD(4)</t>
        </is>
      </c>
      <c r="DV9" s="40" t="inlineStr">
        <is>
          <t>AVERAGE(3)</t>
        </is>
      </c>
      <c r="DW9" s="40" t="inlineStr">
        <is>
          <t>AVERAGE(3)</t>
        </is>
      </c>
      <c r="DX9" s="40" t="inlineStr">
        <is>
          <t>EXCELLENT(5)</t>
        </is>
      </c>
      <c r="DY9" s="40" t="inlineStr">
        <is>
          <t>AVERAGE(3)</t>
        </is>
      </c>
      <c r="DZ9" s="53" t="inlineStr">
        <is>
          <t>GOOD(4)</t>
        </is>
      </c>
      <c r="EA9" s="54" t="inlineStr">
        <is>
          <t>Should work on controlling impulsive behavior in class.</t>
        </is>
      </c>
      <c r="EB9" s="55" t="inlineStr">
        <is>
          <t>To repeat JSS1</t>
        </is>
      </c>
      <c r="EC9" s="56" t="inlineStr">
        <is>
          <t>MR. RAHEEM A.A</t>
        </is>
      </c>
      <c r="ED9" s="57" t="inlineStr">
        <is>
          <t>Next Term Begins on Monday, 15th September, 2025</t>
        </is>
      </c>
    </row>
    <row r="10" ht="30.6" customHeight="1" s="6">
      <c r="A10" s="18" t="n">
        <v>7</v>
      </c>
      <c r="B10" s="19" t="inlineStr">
        <is>
          <t xml:space="preserve">AZEEZ MUTIU </t>
        </is>
      </c>
      <c r="C10" s="20" t="inlineStr">
        <is>
          <t>2059</t>
        </is>
      </c>
      <c r="D10" s="128" t="inlineStr">
        <is>
          <t>Male</t>
        </is>
      </c>
      <c r="E10" s="21" t="inlineStr">
        <is>
          <t>JSS 1B</t>
        </is>
      </c>
      <c r="F10" s="21" t="n">
        <v>39</v>
      </c>
      <c r="G10" s="21" t="n">
        <v>122</v>
      </c>
      <c r="H10" s="21" t="n">
        <v>116</v>
      </c>
      <c r="I10" s="26">
        <f>G10-H10</f>
        <v/>
      </c>
      <c r="J10" s="21" t="n">
        <v>15</v>
      </c>
      <c r="K10" s="21" t="n">
        <v>31</v>
      </c>
      <c r="L10" s="27">
        <f>SUM(J10:K10)</f>
        <v/>
      </c>
      <c r="M10" s="28" t="n">
        <v>54</v>
      </c>
      <c r="N10" s="28" t="n">
        <v>45</v>
      </c>
      <c r="O10" s="29">
        <f>IF(AND(L10=0,M10=0,N10=0),0,IF(AND(L10=0,M10=0),N10/1,IF(AND(L10=0,N10=0),M10/1,IF(AND(M10=0,N10=0),L10/1,IF(L10=0,FLOOR((M10+N10)/2,0.1),IF(M10=0,(L10+N10)/2,IF(N10=0,(M10+L10)/2,FLOOR(((L10+M10+N10)/3),0.1))))))))</f>
        <v/>
      </c>
      <c r="P10" s="21" t="n">
        <v>10</v>
      </c>
      <c r="Q10" s="21" t="n">
        <v>29</v>
      </c>
      <c r="R10" s="27">
        <f>SUM(P10:Q10)</f>
        <v/>
      </c>
      <c r="S10" s="28" t="n">
        <v>39</v>
      </c>
      <c r="T10" s="28" t="n">
        <v>39</v>
      </c>
      <c r="U10" s="29">
        <f>IF(AND(R10=0,S10=0,T10=0),0,IF(AND(R10=0,S10=0),T10/1,IF(AND(R10=0,T10=0),S10/1,IF(AND(S10=0,T10=0),R10/1,IF(R10=0,FLOOR((S10+T10)/2,0.1),IF(S10=0,(R10+T10)/2,IF(T10=0,(S10+R10)/2,FLOOR(((R10+S10+T10)/3),0.1))))))))</f>
        <v/>
      </c>
      <c r="V10" s="21" t="n">
        <v>13</v>
      </c>
      <c r="W10" s="21" t="n">
        <v>34</v>
      </c>
      <c r="X10" s="27">
        <f>SUM(V10:W10)</f>
        <v/>
      </c>
      <c r="Y10" s="28" t="n">
        <v>33</v>
      </c>
      <c r="Z10" s="28" t="n">
        <v>26</v>
      </c>
      <c r="AA10" s="29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1" t="n">
        <v>11</v>
      </c>
      <c r="AC10" s="21" t="n">
        <v>38</v>
      </c>
      <c r="AD10" s="27">
        <f>SUM(AB10:AC10)</f>
        <v/>
      </c>
      <c r="AE10" s="28" t="n">
        <v>49</v>
      </c>
      <c r="AF10" s="28" t="n">
        <v>49</v>
      </c>
      <c r="AG10" s="29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1" t="n">
        <v>11</v>
      </c>
      <c r="AI10" s="21" t="n">
        <v>26</v>
      </c>
      <c r="AJ10" s="27">
        <f>SUM(AH10:AI10)</f>
        <v/>
      </c>
      <c r="AK10" s="28" t="n">
        <v>37</v>
      </c>
      <c r="AL10" s="28" t="n">
        <v>37</v>
      </c>
      <c r="AM10" s="29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1" t="n"/>
      <c r="AO10" s="21" t="n"/>
      <c r="AP10" s="27">
        <f>SUM(AN10:AO10)</f>
        <v/>
      </c>
      <c r="AQ10" s="28" t="n"/>
      <c r="AR10" s="30" t="n"/>
      <c r="AS10" s="29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1" t="n">
        <v>16</v>
      </c>
      <c r="AU10" s="21" t="n">
        <v>23</v>
      </c>
      <c r="AV10" s="27">
        <f>SUM(AT10:AU10)</f>
        <v/>
      </c>
      <c r="AW10" s="28" t="n">
        <v>39</v>
      </c>
      <c r="AX10" s="30" t="n">
        <v>39</v>
      </c>
      <c r="AY10" s="29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1" t="n">
        <v>11</v>
      </c>
      <c r="BA10" s="21" t="n">
        <v>29</v>
      </c>
      <c r="BB10" s="27">
        <f>SUM(AZ10:BA10)</f>
        <v/>
      </c>
      <c r="BC10" s="28" t="n">
        <v>40</v>
      </c>
      <c r="BD10" s="28" t="n">
        <v>40</v>
      </c>
      <c r="BE10" s="29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1" t="n">
        <v>5</v>
      </c>
      <c r="BG10" s="21" t="n">
        <v>12</v>
      </c>
      <c r="BH10" s="27">
        <f>SUM(BF10:BG10)</f>
        <v/>
      </c>
      <c r="BI10" s="28" t="n">
        <v>9</v>
      </c>
      <c r="BJ10" s="28" t="n">
        <v>13</v>
      </c>
      <c r="BK10" s="29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1" t="n">
        <v>19</v>
      </c>
      <c r="BM10" s="21" t="n">
        <v>20</v>
      </c>
      <c r="BN10" s="27">
        <f>SUM(BL10:BM10)</f>
        <v/>
      </c>
      <c r="BO10" s="28" t="n">
        <v>30</v>
      </c>
      <c r="BP10" s="31" t="n">
        <v>45</v>
      </c>
      <c r="BQ10" s="29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1" t="n"/>
      <c r="BS10" s="21" t="n"/>
      <c r="BT10" s="27">
        <f>SUM(BR10:BS10)</f>
        <v/>
      </c>
      <c r="BU10" s="28" t="n"/>
      <c r="BV10" s="31" t="n"/>
      <c r="BW10" s="29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1" t="n">
        <v>24</v>
      </c>
      <c r="BY10" s="21" t="n">
        <v>29</v>
      </c>
      <c r="BZ10" s="27">
        <f>SUM(BX10:BY10)</f>
        <v/>
      </c>
      <c r="CA10" s="28" t="n">
        <v>51</v>
      </c>
      <c r="CB10" s="31" t="n">
        <v>41</v>
      </c>
      <c r="CC10" s="29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1" t="n">
        <v>12</v>
      </c>
      <c r="CE10" s="21" t="n">
        <v>13</v>
      </c>
      <c r="CF10" s="27">
        <f>SUM(CD10:CE10)</f>
        <v/>
      </c>
      <c r="CG10" s="28" t="n">
        <v>15</v>
      </c>
      <c r="CH10" s="31" t="n">
        <v>14</v>
      </c>
      <c r="CI10" s="29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1" t="n"/>
      <c r="CK10" s="21" t="n"/>
      <c r="CL10" s="27">
        <f>SUM(CJ10:CK10)</f>
        <v/>
      </c>
      <c r="CM10" s="28" t="n"/>
      <c r="CN10" s="31" t="n"/>
      <c r="CO10" s="29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1" t="n">
        <v>10</v>
      </c>
      <c r="CQ10" s="21" t="n">
        <v>11</v>
      </c>
      <c r="CR10" s="27">
        <f>SUM(CP10:CQ10)</f>
        <v/>
      </c>
      <c r="CS10" s="28" t="n">
        <v>13</v>
      </c>
      <c r="CT10" s="31" t="n">
        <v>12</v>
      </c>
      <c r="CU10" s="29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1" t="n"/>
      <c r="CW10" s="21" t="n"/>
      <c r="CX10" s="27">
        <f>SUM(CV10:CW10)</f>
        <v/>
      </c>
      <c r="CY10" s="28" t="n"/>
      <c r="CZ10" s="31" t="n"/>
      <c r="DA10" s="29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1" t="n"/>
      <c r="DC10" s="21" t="n"/>
      <c r="DD10" s="27">
        <f>SUM(DB10:DC10)</f>
        <v/>
      </c>
      <c r="DE10" s="28" t="n"/>
      <c r="DF10" s="31" t="n"/>
      <c r="DG10" s="29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34">
        <f>SUM(O10,U10,AA10,AG10,AM10,AS10,AY10,BE10,BK10,BQ10,BW10,CC10,CI10,CO10,CU10,DA10,DG10)</f>
        <v/>
      </c>
      <c r="DI10" s="39">
        <f>RANK(DH10,DH$4:DH$503)</f>
        <v/>
      </c>
      <c r="DJ10" s="40" t="inlineStr">
        <is>
          <t>AVERAGE(3)</t>
        </is>
      </c>
      <c r="DK10" s="40" t="inlineStr">
        <is>
          <t>AVERAGE(3)</t>
        </is>
      </c>
      <c r="DL10" s="40" t="inlineStr">
        <is>
          <t>AVERAGE(3)</t>
        </is>
      </c>
      <c r="DM10" s="40" t="inlineStr">
        <is>
          <t>GOOD(4)</t>
        </is>
      </c>
      <c r="DN10" s="19" t="inlineStr">
        <is>
          <t>GOOD(4)</t>
        </is>
      </c>
      <c r="DO10" s="40" t="inlineStr">
        <is>
          <t>AVERAGE(3)</t>
        </is>
      </c>
      <c r="DP10" s="40" t="inlineStr">
        <is>
          <t>GOOD(4)</t>
        </is>
      </c>
      <c r="DQ10" s="40" t="inlineStr">
        <is>
          <t>AVERAGE(3)</t>
        </is>
      </c>
      <c r="DR10" s="43" t="inlineStr">
        <is>
          <t>2024/2025</t>
        </is>
      </c>
      <c r="DS10" s="45" t="inlineStr">
        <is>
          <t>THIRD</t>
        </is>
      </c>
      <c r="DT10" s="40" t="inlineStr">
        <is>
          <t>GOOD(4)</t>
        </is>
      </c>
      <c r="DU10" s="40" t="inlineStr">
        <is>
          <t>AVERAGE(3)</t>
        </is>
      </c>
      <c r="DV10" s="40" t="inlineStr">
        <is>
          <t>GOOD(4)</t>
        </is>
      </c>
      <c r="DW10" s="40" t="inlineStr">
        <is>
          <t>GOOD(4)</t>
        </is>
      </c>
      <c r="DX10" s="40" t="inlineStr">
        <is>
          <t>GOOD(4)</t>
        </is>
      </c>
      <c r="DY10" s="40" t="inlineStr">
        <is>
          <t>AVERAGE(3)</t>
        </is>
      </c>
      <c r="DZ10" s="53" t="inlineStr">
        <is>
          <t>GOOD(4)</t>
        </is>
      </c>
      <c r="EA10" s="54" t="inlineStr">
        <is>
          <t>Needs to focus more during lessons to achieve full potential.</t>
        </is>
      </c>
      <c r="EB10" s="55" t="inlineStr">
        <is>
          <t>To repeat JSS1</t>
        </is>
      </c>
      <c r="EC10" s="56" t="inlineStr">
        <is>
          <t>MR. RAHEEM A.A</t>
        </is>
      </c>
      <c r="ED10" s="57" t="inlineStr">
        <is>
          <t>Next Term Begins on Monday, 15th September, 2025</t>
        </is>
      </c>
    </row>
    <row r="11" ht="30.6" customHeight="1" s="6">
      <c r="A11" s="18" t="n">
        <v>8</v>
      </c>
      <c r="B11" s="19" t="inlineStr">
        <is>
          <t>BABARINDE SOFIAT A.</t>
        </is>
      </c>
      <c r="C11" s="20" t="inlineStr">
        <is>
          <t>1920</t>
        </is>
      </c>
      <c r="D11" s="128" t="inlineStr">
        <is>
          <t>Female</t>
        </is>
      </c>
      <c r="E11" s="21" t="inlineStr">
        <is>
          <t>JSS 1B</t>
        </is>
      </c>
      <c r="F11" s="21" t="n">
        <v>39</v>
      </c>
      <c r="G11" s="21" t="n">
        <v>122</v>
      </c>
      <c r="H11" s="21" t="n">
        <v>102</v>
      </c>
      <c r="I11" s="26">
        <f>G11-H11</f>
        <v/>
      </c>
      <c r="J11" s="21" t="n">
        <v>22</v>
      </c>
      <c r="K11" s="21" t="n">
        <v>30</v>
      </c>
      <c r="L11" s="27">
        <f>SUM(J11:K11)</f>
        <v/>
      </c>
      <c r="M11" s="28" t="n">
        <v>49</v>
      </c>
      <c r="N11" s="28" t="n">
        <v>39</v>
      </c>
      <c r="O11" s="29">
        <f>IF(AND(L11=0,M11=0,N11=0),0,IF(AND(L11=0,M11=0),N11/1,IF(AND(L11=0,N11=0),M11/1,IF(AND(M11=0,N11=0),L11/1,IF(L11=0,FLOOR((M11+N11)/2,0.1),IF(M11=0,(L11+N11)/2,IF(N11=0,(M11+L11)/2,FLOOR(((L11+M11+N11)/3),0.1))))))))</f>
        <v/>
      </c>
      <c r="P11" s="21" t="n">
        <v>26</v>
      </c>
      <c r="Q11" s="21" t="n">
        <v>24</v>
      </c>
      <c r="R11" s="27">
        <f>SUM(P11:Q11)</f>
        <v/>
      </c>
      <c r="S11" s="28" t="n">
        <v>46</v>
      </c>
      <c r="T11" s="28" t="n">
        <v>48</v>
      </c>
      <c r="U11" s="29">
        <f>IF(AND(R11=0,S11=0,T11=0),0,IF(AND(R11=0,S11=0),T11/1,IF(AND(R11=0,T11=0),S11/1,IF(AND(S11=0,T11=0),R11/1,IF(R11=0,FLOOR((S11+T11)/2,0.1),IF(S11=0,(R11+T11)/2,IF(T11=0,(S11+R11)/2,FLOOR(((R11+S11+T11)/3),0.1))))))))</f>
        <v/>
      </c>
      <c r="V11" s="21" t="n">
        <v>30</v>
      </c>
      <c r="W11" s="21" t="n">
        <v>33</v>
      </c>
      <c r="X11" s="27">
        <f>SUM(V11:W11)</f>
        <v/>
      </c>
      <c r="Y11" s="28" t="n">
        <v>64</v>
      </c>
      <c r="Z11" s="28" t="n">
        <v>61</v>
      </c>
      <c r="AA11" s="29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1" t="n">
        <v>24</v>
      </c>
      <c r="AC11" s="21" t="n">
        <v>55</v>
      </c>
      <c r="AD11" s="27">
        <f>SUM(AB11:AC11)</f>
        <v/>
      </c>
      <c r="AE11" s="28" t="n">
        <v>75</v>
      </c>
      <c r="AF11" s="28" t="n">
        <v>77</v>
      </c>
      <c r="AG11" s="29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1" t="n">
        <v>25</v>
      </c>
      <c r="AI11" s="21" t="n">
        <v>28</v>
      </c>
      <c r="AJ11" s="27">
        <f>SUM(AH11:AI11)</f>
        <v/>
      </c>
      <c r="AK11" s="28" t="n">
        <v>74</v>
      </c>
      <c r="AL11" s="28" t="n">
        <v>48</v>
      </c>
      <c r="AM11" s="29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1" t="n"/>
      <c r="AO11" s="21" t="n"/>
      <c r="AP11" s="27">
        <f>SUM(AN11:AO11)</f>
        <v/>
      </c>
      <c r="AQ11" s="28" t="n"/>
      <c r="AR11" s="30" t="n"/>
      <c r="AS11" s="29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1" t="n">
        <v>19</v>
      </c>
      <c r="AU11" s="21" t="n">
        <v>39</v>
      </c>
      <c r="AV11" s="27">
        <f>SUM(AT11:AU11)</f>
        <v/>
      </c>
      <c r="AW11" s="28" t="n">
        <v>35</v>
      </c>
      <c r="AX11" s="30" t="n">
        <v>61</v>
      </c>
      <c r="AY11" s="29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1" t="n">
        <v>26</v>
      </c>
      <c r="BA11" s="21" t="n">
        <v>64</v>
      </c>
      <c r="BB11" s="27">
        <f>SUM(AZ11:BA11)</f>
        <v/>
      </c>
      <c r="BC11" s="28" t="n">
        <v>49</v>
      </c>
      <c r="BD11" s="28" t="n">
        <v>70</v>
      </c>
      <c r="BE11" s="29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1" t="n">
        <v>15</v>
      </c>
      <c r="BG11" s="21" t="n">
        <v>46</v>
      </c>
      <c r="BH11" s="27">
        <f>SUM(BF11:BG11)</f>
        <v/>
      </c>
      <c r="BI11" s="28" t="n">
        <v>48</v>
      </c>
      <c r="BJ11" s="28" t="n">
        <v>50</v>
      </c>
      <c r="BK11" s="29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1" t="n">
        <v>18</v>
      </c>
      <c r="BM11" s="21" t="n">
        <v>33</v>
      </c>
      <c r="BN11" s="27">
        <f>SUM(BL11:BM11)</f>
        <v/>
      </c>
      <c r="BO11" s="28" t="n">
        <v>32</v>
      </c>
      <c r="BP11" s="31" t="n">
        <v>50</v>
      </c>
      <c r="BQ11" s="29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1" t="n"/>
      <c r="BS11" s="21" t="n"/>
      <c r="BT11" s="27">
        <f>SUM(BR11:BS11)</f>
        <v/>
      </c>
      <c r="BU11" s="28" t="n"/>
      <c r="BV11" s="31" t="n"/>
      <c r="BW11" s="29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1" t="n">
        <v>24</v>
      </c>
      <c r="BY11" s="21" t="n">
        <v>29</v>
      </c>
      <c r="BZ11" s="27">
        <f>SUM(BX11:BY11)</f>
        <v/>
      </c>
      <c r="CA11" s="28" t="n">
        <v>51</v>
      </c>
      <c r="CB11" s="31" t="n">
        <v>41</v>
      </c>
      <c r="CC11" s="29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1" t="n">
        <v>13</v>
      </c>
      <c r="CE11" s="21" t="n">
        <v>39</v>
      </c>
      <c r="CF11" s="27">
        <f>SUM(CD11:CE11)</f>
        <v/>
      </c>
      <c r="CG11" s="28" t="n">
        <v>49</v>
      </c>
      <c r="CH11" s="31" t="n">
        <v>22</v>
      </c>
      <c r="CI11" s="29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1" t="n"/>
      <c r="CK11" s="21" t="n"/>
      <c r="CL11" s="27">
        <f>SUM(CJ11:CK11)</f>
        <v/>
      </c>
      <c r="CM11" s="28" t="n"/>
      <c r="CN11" s="31" t="n"/>
      <c r="CO11" s="29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1" t="n">
        <v>22</v>
      </c>
      <c r="CQ11" s="21" t="n">
        <v>46</v>
      </c>
      <c r="CR11" s="27">
        <f>SUM(CP11:CQ11)</f>
        <v/>
      </c>
      <c r="CS11" s="28" t="n">
        <v>72</v>
      </c>
      <c r="CT11" s="31" t="n">
        <v>39</v>
      </c>
      <c r="CU11" s="29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1" t="n"/>
      <c r="CW11" s="21" t="n"/>
      <c r="CX11" s="27">
        <f>SUM(CV11:CW11)</f>
        <v/>
      </c>
      <c r="CY11" s="28" t="n"/>
      <c r="CZ11" s="31" t="n"/>
      <c r="DA11" s="29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1" t="n"/>
      <c r="DC11" s="21" t="n"/>
      <c r="DD11" s="27">
        <f>SUM(DB11:DC11)</f>
        <v/>
      </c>
      <c r="DE11" s="28" t="n"/>
      <c r="DF11" s="31" t="n"/>
      <c r="DG11" s="29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34">
        <f>SUM(O11,U11,AA11,AG11,AM11,AS11,AY11,BE11,BK11,BQ11,BW11,CC11,CI11,CO11,CU11,DA11,DG11)</f>
        <v/>
      </c>
      <c r="DI11" s="39">
        <f>RANK(DH11,DH$4:DH$503)</f>
        <v/>
      </c>
      <c r="DJ11" s="40" t="inlineStr">
        <is>
          <t>AVERAGE(3)</t>
        </is>
      </c>
      <c r="DK11" s="40" t="inlineStr">
        <is>
          <t>AVERAGE(3)</t>
        </is>
      </c>
      <c r="DL11" s="40" t="inlineStr">
        <is>
          <t>GOOD(4)</t>
        </is>
      </c>
      <c r="DM11" s="40" t="inlineStr">
        <is>
          <t>AVERAGE(3)</t>
        </is>
      </c>
      <c r="DN11" s="19" t="inlineStr">
        <is>
          <t>GOOD(4)</t>
        </is>
      </c>
      <c r="DO11" s="40" t="inlineStr">
        <is>
          <t>AVERAGE(3)</t>
        </is>
      </c>
      <c r="DP11" s="40" t="inlineStr">
        <is>
          <t>GOOD(4)</t>
        </is>
      </c>
      <c r="DQ11" s="40" t="inlineStr">
        <is>
          <t>AVERAGE(3)</t>
        </is>
      </c>
      <c r="DR11" s="43" t="inlineStr">
        <is>
          <t>2024/2025</t>
        </is>
      </c>
      <c r="DS11" s="45" t="inlineStr">
        <is>
          <t>THIRD</t>
        </is>
      </c>
      <c r="DT11" s="40" t="inlineStr">
        <is>
          <t>AVERAGE(3)</t>
        </is>
      </c>
      <c r="DU11" s="40" t="inlineStr">
        <is>
          <t>GOOD(4)</t>
        </is>
      </c>
      <c r="DV11" s="40" t="inlineStr">
        <is>
          <t>GOOD(4)</t>
        </is>
      </c>
      <c r="DW11" s="40" t="inlineStr">
        <is>
          <t>AVERAGE(3)</t>
        </is>
      </c>
      <c r="DX11" s="40" t="inlineStr">
        <is>
          <t>GOOD(4)</t>
        </is>
      </c>
      <c r="DY11" s="40" t="inlineStr">
        <is>
          <t>AVERAGE(3)</t>
        </is>
      </c>
      <c r="DZ11" s="53" t="inlineStr">
        <is>
          <t>GOOD(4)</t>
        </is>
      </c>
      <c r="EA11" s="54" t="inlineStr">
        <is>
          <t>Needs to focus more during lessons to achieve full potential.</t>
        </is>
      </c>
      <c r="EB11" s="55" t="inlineStr">
        <is>
          <t>Promoted to JSS2</t>
        </is>
      </c>
      <c r="EC11" s="56" t="inlineStr">
        <is>
          <t>MR. RAHEEM A.A</t>
        </is>
      </c>
      <c r="ED11" s="57" t="inlineStr">
        <is>
          <t>Next Term Begins on Monday, 15th September, 2025</t>
        </is>
      </c>
    </row>
    <row r="12" ht="30.6" customHeight="1" s="6">
      <c r="A12" s="18" t="n">
        <v>9</v>
      </c>
      <c r="B12" s="19" t="inlineStr">
        <is>
          <t xml:space="preserve">BALOGUN ESTHER </t>
        </is>
      </c>
      <c r="C12" s="20" t="inlineStr">
        <is>
          <t>2043</t>
        </is>
      </c>
      <c r="D12" s="128" t="inlineStr">
        <is>
          <t>Female</t>
        </is>
      </c>
      <c r="E12" s="21" t="inlineStr">
        <is>
          <t>JSS 1B</t>
        </is>
      </c>
      <c r="F12" s="21" t="n">
        <v>39</v>
      </c>
      <c r="G12" s="21" t="n">
        <v>122</v>
      </c>
      <c r="H12" s="21" t="n">
        <v>110</v>
      </c>
      <c r="I12" s="26">
        <f>G12-H12</f>
        <v/>
      </c>
      <c r="J12" s="21" t="n">
        <v>26</v>
      </c>
      <c r="K12" s="21" t="n">
        <v>12</v>
      </c>
      <c r="L12" s="27">
        <f>SUM(J12:K12)</f>
        <v/>
      </c>
      <c r="M12" s="28" t="n">
        <v>49</v>
      </c>
      <c r="N12" s="28" t="n">
        <v>39</v>
      </c>
      <c r="O12" s="29">
        <f>IF(AND(L12=0,M12=0,N12=0),0,IF(AND(L12=0,M12=0),N12/1,IF(AND(L12=0,N12=0),M12/1,IF(AND(M12=0,N12=0),L12/1,IF(L12=0,FLOOR((M12+N12)/2,0.1),IF(M12=0,(L12+N12)/2,IF(N12=0,(M12+L12)/2,FLOOR(((L12+M12+N12)/3),0.1))))))))</f>
        <v/>
      </c>
      <c r="P12" s="21" t="n">
        <v>15</v>
      </c>
      <c r="Q12" s="21" t="n">
        <v>55</v>
      </c>
      <c r="R12" s="27">
        <f>SUM(P12:Q12)</f>
        <v/>
      </c>
      <c r="S12" s="28" t="n">
        <v>60</v>
      </c>
      <c r="T12" s="28" t="n">
        <v>40</v>
      </c>
      <c r="U12" s="29">
        <f>IF(AND(R12=0,S12=0,T12=0),0,IF(AND(R12=0,S12=0),T12/1,IF(AND(R12=0,T12=0),S12/1,IF(AND(S12=0,T12=0),R12/1,IF(R12=0,FLOOR((S12+T12)/2,0.1),IF(S12=0,(R12+T12)/2,IF(T12=0,(S12+R12)/2,FLOOR(((R12+S12+T12)/3),0.1))))))))</f>
        <v/>
      </c>
      <c r="V12" s="21" t="n">
        <v>12</v>
      </c>
      <c r="W12" s="21" t="n">
        <v>22</v>
      </c>
      <c r="X12" s="27">
        <f>SUM(V12:W12)</f>
        <v/>
      </c>
      <c r="Y12" s="28" t="n">
        <v>21</v>
      </c>
      <c r="Z12" s="28" t="n">
        <v>23</v>
      </c>
      <c r="AA12" s="29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1" t="n">
        <v>13</v>
      </c>
      <c r="AC12" s="21" t="n">
        <v>38</v>
      </c>
      <c r="AD12" s="27">
        <f>SUM(AB12:AC12)</f>
        <v/>
      </c>
      <c r="AE12" s="28" t="n">
        <v>51</v>
      </c>
      <c r="AF12" s="28" t="n">
        <v>51</v>
      </c>
      <c r="AG12" s="29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1" t="n">
        <v>19</v>
      </c>
      <c r="AI12" s="21" t="n">
        <v>20</v>
      </c>
      <c r="AJ12" s="27">
        <f>SUM(AH12:AI12)</f>
        <v/>
      </c>
      <c r="AK12" s="28" t="n">
        <v>39</v>
      </c>
      <c r="AL12" s="28" t="n">
        <v>39</v>
      </c>
      <c r="AM12" s="29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1" t="n"/>
      <c r="AO12" s="21" t="n"/>
      <c r="AP12" s="27">
        <f>SUM(AN12:AO12)</f>
        <v/>
      </c>
      <c r="AQ12" s="28" t="n"/>
      <c r="AR12" s="30" t="n"/>
      <c r="AS12" s="29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1" t="n">
        <v>19</v>
      </c>
      <c r="AU12" s="21" t="n">
        <v>20</v>
      </c>
      <c r="AV12" s="27">
        <f>SUM(AT12:AU12)</f>
        <v/>
      </c>
      <c r="AW12" s="28" t="n">
        <v>39</v>
      </c>
      <c r="AX12" s="30" t="n">
        <v>39</v>
      </c>
      <c r="AY12" s="29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1" t="n">
        <v>9</v>
      </c>
      <c r="BA12" s="21" t="n">
        <v>30</v>
      </c>
      <c r="BB12" s="27">
        <f>SUM(AZ12:BA12)</f>
        <v/>
      </c>
      <c r="BC12" s="28" t="n">
        <v>39</v>
      </c>
      <c r="BD12" s="28" t="n">
        <v>39</v>
      </c>
      <c r="BE12" s="29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1" t="n">
        <v>5</v>
      </c>
      <c r="BG12" s="21" t="n">
        <v>12</v>
      </c>
      <c r="BH12" s="27">
        <f>SUM(BF12:BG12)</f>
        <v/>
      </c>
      <c r="BI12" s="28" t="n">
        <v>9</v>
      </c>
      <c r="BJ12" s="28" t="n">
        <v>13</v>
      </c>
      <c r="BK12" s="29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1" t="n">
        <v>12</v>
      </c>
      <c r="BM12" s="21" t="n">
        <v>23</v>
      </c>
      <c r="BN12" s="27">
        <f>SUM(BL12:BM12)</f>
        <v/>
      </c>
      <c r="BO12" s="28" t="n">
        <v>41</v>
      </c>
      <c r="BP12" s="31" t="n">
        <v>40</v>
      </c>
      <c r="BQ12" s="29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1" t="n"/>
      <c r="BS12" s="21" t="n"/>
      <c r="BT12" s="27">
        <f>SUM(BR12:BS12)</f>
        <v/>
      </c>
      <c r="BU12" s="28" t="n"/>
      <c r="BV12" s="31" t="n"/>
      <c r="BW12" s="29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1" t="n">
        <v>24</v>
      </c>
      <c r="BY12" s="21" t="n">
        <v>29</v>
      </c>
      <c r="BZ12" s="27">
        <f>SUM(BX12:BY12)</f>
        <v/>
      </c>
      <c r="CA12" s="28" t="n">
        <v>51</v>
      </c>
      <c r="CB12" s="31" t="n">
        <v>41</v>
      </c>
      <c r="CC12" s="29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1" t="n">
        <v>13</v>
      </c>
      <c r="CE12" s="21" t="n">
        <v>14</v>
      </c>
      <c r="CF12" s="27">
        <f>SUM(CD12:CE12)</f>
        <v/>
      </c>
      <c r="CG12" s="28" t="n">
        <v>18</v>
      </c>
      <c r="CH12" s="31" t="n">
        <v>12</v>
      </c>
      <c r="CI12" s="29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1" t="n"/>
      <c r="CK12" s="21" t="n"/>
      <c r="CL12" s="27">
        <f>SUM(CJ12:CK12)</f>
        <v/>
      </c>
      <c r="CM12" s="28" t="n"/>
      <c r="CN12" s="31" t="n"/>
      <c r="CO12" s="29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1" t="n"/>
      <c r="CQ12" s="21" t="n"/>
      <c r="CR12" s="27">
        <f>SUM(CP12:CQ12)</f>
        <v/>
      </c>
      <c r="CS12" s="28" t="n"/>
      <c r="CT12" s="31" t="n"/>
      <c r="CU12" s="29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1" t="n">
        <v>10</v>
      </c>
      <c r="CW12" s="21" t="n">
        <v>15</v>
      </c>
      <c r="CX12" s="27">
        <f>SUM(CV12:CW12)</f>
        <v/>
      </c>
      <c r="CY12" s="28" t="n">
        <v>15</v>
      </c>
      <c r="CZ12" s="31" t="n">
        <v>12</v>
      </c>
      <c r="DA12" s="29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1" t="n"/>
      <c r="DC12" s="21" t="n"/>
      <c r="DD12" s="27">
        <f>SUM(DB12:DC12)</f>
        <v/>
      </c>
      <c r="DE12" s="28" t="n"/>
      <c r="DF12" s="31" t="n"/>
      <c r="DG12" s="29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34">
        <f>SUM(O12,U12,AA12,AG12,AM12,AS12,AY12,BE12,BK12,BQ12,BW12,CC12,CI12,CO12,CU12,DA12,DG12)</f>
        <v/>
      </c>
      <c r="DI12" s="39">
        <f>RANK(DH12,DH$4:DH$503)</f>
        <v/>
      </c>
      <c r="DJ12" s="40" t="inlineStr">
        <is>
          <t>AVERAGE(3)</t>
        </is>
      </c>
      <c r="DK12" s="40" t="inlineStr">
        <is>
          <t>GOOD(4)</t>
        </is>
      </c>
      <c r="DL12" s="40" t="inlineStr">
        <is>
          <t>AVERAGE(3)</t>
        </is>
      </c>
      <c r="DM12" s="40" t="inlineStr">
        <is>
          <t>GOOD(4)</t>
        </is>
      </c>
      <c r="DN12" s="19" t="inlineStr">
        <is>
          <t>GOOD(4)</t>
        </is>
      </c>
      <c r="DO12" s="40" t="inlineStr">
        <is>
          <t>GOOD(4)</t>
        </is>
      </c>
      <c r="DP12" s="40" t="inlineStr">
        <is>
          <t>GOOD(4)</t>
        </is>
      </c>
      <c r="DQ12" s="40" t="inlineStr">
        <is>
          <t>AVERAGE(3)</t>
        </is>
      </c>
      <c r="DR12" s="43" t="inlineStr">
        <is>
          <t>2024/2025</t>
        </is>
      </c>
      <c r="DS12" s="45" t="inlineStr">
        <is>
          <t>THIRD</t>
        </is>
      </c>
      <c r="DT12" s="40" t="inlineStr">
        <is>
          <t>GOOD(4)</t>
        </is>
      </c>
      <c r="DU12" s="40" t="inlineStr">
        <is>
          <t>AVERAGE(3)</t>
        </is>
      </c>
      <c r="DV12" s="40" t="inlineStr">
        <is>
          <t>CHOOSE RATING</t>
        </is>
      </c>
      <c r="DW12" s="40" t="inlineStr">
        <is>
          <t>GOOD(4)</t>
        </is>
      </c>
      <c r="DX12" s="40" t="inlineStr">
        <is>
          <t>EXCELLENT(5)</t>
        </is>
      </c>
      <c r="DY12" s="40" t="inlineStr">
        <is>
          <t>GOOD(4)</t>
        </is>
      </c>
      <c r="DZ12" s="53" t="inlineStr">
        <is>
          <t>AVERAGE(3)</t>
        </is>
      </c>
      <c r="EA12" s="54" t="inlineStr">
        <is>
          <t>Is a quiet student but attentive and engaged.</t>
        </is>
      </c>
      <c r="EB12" s="55" t="inlineStr">
        <is>
          <t>To repeat JSS1</t>
        </is>
      </c>
      <c r="EC12" s="56" t="inlineStr">
        <is>
          <t>MR. RAHEEM A.A</t>
        </is>
      </c>
      <c r="ED12" s="57" t="inlineStr">
        <is>
          <t>Next Term Begins on Monday, 15th September, 2025</t>
        </is>
      </c>
    </row>
    <row r="13" ht="30.6" customHeight="1" s="6">
      <c r="A13" s="18" t="n">
        <v>10</v>
      </c>
      <c r="B13" s="19" t="inlineStr">
        <is>
          <t xml:space="preserve">BENJAMIN MOSES </t>
        </is>
      </c>
      <c r="C13" s="20" t="inlineStr">
        <is>
          <t>1924</t>
        </is>
      </c>
      <c r="D13" s="128" t="inlineStr">
        <is>
          <t>Male</t>
        </is>
      </c>
      <c r="E13" s="21" t="inlineStr">
        <is>
          <t>JSS 1B</t>
        </is>
      </c>
      <c r="F13" s="21" t="n">
        <v>39</v>
      </c>
      <c r="G13" s="21" t="n">
        <v>122</v>
      </c>
      <c r="H13" s="21" t="n">
        <v>106</v>
      </c>
      <c r="I13" s="26">
        <f>G13-H13</f>
        <v/>
      </c>
      <c r="J13" s="21" t="n">
        <v>25</v>
      </c>
      <c r="K13" s="21" t="n">
        <v>25</v>
      </c>
      <c r="L13" s="27">
        <f>SUM(J13:K13)</f>
        <v/>
      </c>
      <c r="M13" s="28" t="n">
        <v>83</v>
      </c>
      <c r="N13" s="28" t="n">
        <v>66</v>
      </c>
      <c r="O13" s="29">
        <f>IF(AND(L13=0,M13=0,N13=0),0,IF(AND(L13=0,M13=0),N13/1,IF(AND(L13=0,N13=0),M13/1,IF(AND(M13=0,N13=0),L13/1,IF(L13=0,FLOOR((M13+N13)/2,0.1),IF(M13=0,(L13+N13)/2,IF(N13=0,(M13+L13)/2,FLOOR(((L13+M13+N13)/3),0.1))))))))</f>
        <v/>
      </c>
      <c r="P13" s="21" t="n">
        <v>20</v>
      </c>
      <c r="Q13" s="21" t="n">
        <v>36</v>
      </c>
      <c r="R13" s="27">
        <f>SUM(P13:Q13)</f>
        <v/>
      </c>
      <c r="S13" s="28" t="n">
        <v>44</v>
      </c>
      <c r="T13" s="28" t="n">
        <v>50</v>
      </c>
      <c r="U13" s="29">
        <f>IF(AND(R13=0,S13=0,T13=0),0,IF(AND(R13=0,S13=0),T13/1,IF(AND(R13=0,T13=0),S13/1,IF(AND(S13=0,T13=0),R13/1,IF(R13=0,FLOOR((S13+T13)/2,0.1),IF(S13=0,(R13+T13)/2,IF(T13=0,(S13+R13)/2,FLOOR(((R13+S13+T13)/3),0.1))))))))</f>
        <v/>
      </c>
      <c r="V13" s="21" t="n">
        <v>20</v>
      </c>
      <c r="W13" s="21" t="n">
        <v>40</v>
      </c>
      <c r="X13" s="27">
        <f>SUM(V13:W13)</f>
        <v/>
      </c>
      <c r="Y13" s="28" t="n">
        <v>62</v>
      </c>
      <c r="Z13" s="28" t="n">
        <v>47</v>
      </c>
      <c r="AA13" s="29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1" t="n">
        <v>25</v>
      </c>
      <c r="AC13" s="21" t="n">
        <v>25</v>
      </c>
      <c r="AD13" s="27">
        <f>SUM(AB13:AC13)</f>
        <v/>
      </c>
      <c r="AE13" s="28" t="n">
        <v>83</v>
      </c>
      <c r="AF13" s="28" t="n">
        <v>66</v>
      </c>
      <c r="AG13" s="29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1" t="n">
        <v>24</v>
      </c>
      <c r="AI13" s="21" t="n">
        <v>28</v>
      </c>
      <c r="AJ13" s="27">
        <f>SUM(AH13:AI13)</f>
        <v/>
      </c>
      <c r="AK13" s="28" t="n">
        <v>73</v>
      </c>
      <c r="AL13" s="28" t="n">
        <v>33</v>
      </c>
      <c r="AM13" s="29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1" t="n"/>
      <c r="AO13" s="21" t="n"/>
      <c r="AP13" s="27">
        <f>SUM(AN13:AO13)</f>
        <v/>
      </c>
      <c r="AQ13" s="28" t="n"/>
      <c r="AR13" s="30" t="n"/>
      <c r="AS13" s="29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1" t="n">
        <v>20</v>
      </c>
      <c r="AU13" s="21" t="n">
        <v>46</v>
      </c>
      <c r="AV13" s="27">
        <f>SUM(AT13:AU13)</f>
        <v/>
      </c>
      <c r="AW13" s="28" t="n">
        <v>33</v>
      </c>
      <c r="AX13" s="30" t="n">
        <v>34</v>
      </c>
      <c r="AY13" s="29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1" t="n">
        <v>22</v>
      </c>
      <c r="BA13" s="21" t="n">
        <v>51</v>
      </c>
      <c r="BB13" s="27">
        <f>SUM(AZ13:BA13)</f>
        <v/>
      </c>
      <c r="BC13" s="28" t="n">
        <v>43</v>
      </c>
      <c r="BD13" s="28" t="n">
        <v>39</v>
      </c>
      <c r="BE13" s="29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1" t="n">
        <v>18</v>
      </c>
      <c r="BG13" s="21" t="n">
        <v>35</v>
      </c>
      <c r="BH13" s="27">
        <f>SUM(BF13:BG13)</f>
        <v/>
      </c>
      <c r="BI13" s="28" t="n">
        <v>48</v>
      </c>
      <c r="BJ13" s="28" t="n">
        <v>35</v>
      </c>
      <c r="BK13" s="29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1" t="n">
        <v>15</v>
      </c>
      <c r="BM13" s="21" t="n">
        <v>37</v>
      </c>
      <c r="BN13" s="27">
        <f>SUM(BL13:BM13)</f>
        <v/>
      </c>
      <c r="BO13" s="28" t="n">
        <v>31</v>
      </c>
      <c r="BP13" s="31" t="n">
        <v>34</v>
      </c>
      <c r="BQ13" s="29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1" t="n"/>
      <c r="BS13" s="21" t="n"/>
      <c r="BT13" s="27">
        <f>SUM(BR13:BS13)</f>
        <v/>
      </c>
      <c r="BU13" s="28" t="n"/>
      <c r="BV13" s="31" t="n"/>
      <c r="BW13" s="29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1" t="n">
        <v>24</v>
      </c>
      <c r="BY13" s="21" t="n">
        <v>29</v>
      </c>
      <c r="BZ13" s="27">
        <f>SUM(BX13:BY13)</f>
        <v/>
      </c>
      <c r="CA13" s="28" t="n">
        <v>51</v>
      </c>
      <c r="CB13" s="31" t="n">
        <v>41</v>
      </c>
      <c r="CC13" s="29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1" t="n">
        <v>18</v>
      </c>
      <c r="CE13" s="21" t="n">
        <v>38</v>
      </c>
      <c r="CF13" s="27">
        <f>SUM(CD13:CE13)</f>
        <v/>
      </c>
      <c r="CG13" s="28" t="n">
        <v>37</v>
      </c>
      <c r="CH13" s="31" t="n">
        <v>24</v>
      </c>
      <c r="CI13" s="29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1" t="n"/>
      <c r="CK13" s="21" t="n"/>
      <c r="CL13" s="27">
        <f>SUM(CJ13:CK13)</f>
        <v/>
      </c>
      <c r="CM13" s="28" t="n"/>
      <c r="CN13" s="31" t="n"/>
      <c r="CO13" s="29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1" t="n"/>
      <c r="CQ13" s="21" t="n"/>
      <c r="CR13" s="27">
        <f>SUM(CP13:CQ13)</f>
        <v/>
      </c>
      <c r="CS13" s="28" t="n"/>
      <c r="CT13" s="31" t="n"/>
      <c r="CU13" s="29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1" t="n">
        <v>28</v>
      </c>
      <c r="CW13" s="21" t="n">
        <v>17</v>
      </c>
      <c r="CX13" s="27">
        <f>SUM(CV13:CW13)</f>
        <v/>
      </c>
      <c r="CY13" s="28" t="n">
        <v>34</v>
      </c>
      <c r="CZ13" s="31" t="n">
        <v>40</v>
      </c>
      <c r="DA13" s="29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1" t="n"/>
      <c r="DC13" s="21" t="n"/>
      <c r="DD13" s="27">
        <f>SUM(DB13:DC13)</f>
        <v/>
      </c>
      <c r="DE13" s="28" t="n"/>
      <c r="DF13" s="31" t="n"/>
      <c r="DG13" s="29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34">
        <f>SUM(O13,U13,AA13,AG13,AM13,AS13,AY13,BE13,BK13,BQ13,BW13,CC13,CI13,CO13,CU13,DA13,DG13)</f>
        <v/>
      </c>
      <c r="DI13" s="39">
        <f>RANK(DH13,DH$4:DH$503)</f>
        <v/>
      </c>
      <c r="DJ13" s="40" t="inlineStr">
        <is>
          <t>AVERAGE(3)</t>
        </is>
      </c>
      <c r="DK13" s="40" t="inlineStr">
        <is>
          <t>GOOD(4)</t>
        </is>
      </c>
      <c r="DL13" s="40" t="inlineStr">
        <is>
          <t>AVERAGE(3)</t>
        </is>
      </c>
      <c r="DM13" s="40" t="inlineStr">
        <is>
          <t>AVERAGE(3)</t>
        </is>
      </c>
      <c r="DN13" s="19" t="inlineStr">
        <is>
          <t>AVERAGE(3)</t>
        </is>
      </c>
      <c r="DO13" s="40" t="inlineStr">
        <is>
          <t>GOOD(4)</t>
        </is>
      </c>
      <c r="DP13" s="40" t="inlineStr">
        <is>
          <t>GOOD(4)</t>
        </is>
      </c>
      <c r="DQ13" s="40" t="inlineStr">
        <is>
          <t>AVERAGE(3)</t>
        </is>
      </c>
      <c r="DR13" s="43" t="inlineStr">
        <is>
          <t>2024/2025</t>
        </is>
      </c>
      <c r="DS13" s="45" t="inlineStr">
        <is>
          <t>THIRD</t>
        </is>
      </c>
      <c r="DT13" s="40" t="inlineStr">
        <is>
          <t>AVERAGE(3)</t>
        </is>
      </c>
      <c r="DU13" s="40" t="inlineStr">
        <is>
          <t>GOOD(4)</t>
        </is>
      </c>
      <c r="DV13" s="40" t="inlineStr">
        <is>
          <t>GOOD(4)</t>
        </is>
      </c>
      <c r="DW13" s="40" t="inlineStr">
        <is>
          <t>EXCELLENT(5)</t>
        </is>
      </c>
      <c r="DX13" s="40" t="inlineStr">
        <is>
          <t>EXCELLENT(5)</t>
        </is>
      </c>
      <c r="DY13" s="40" t="inlineStr">
        <is>
          <t>GOOD(4)</t>
        </is>
      </c>
      <c r="DZ13" s="53" t="inlineStr">
        <is>
          <t>GOOD(4)</t>
        </is>
      </c>
      <c r="EA13" s="54" t="inlineStr">
        <is>
          <t>Needs to focus more during lessons to achieve full potential.</t>
        </is>
      </c>
      <c r="EB13" s="55" t="inlineStr">
        <is>
          <t>Promoted to JSS2</t>
        </is>
      </c>
      <c r="EC13" s="56" t="inlineStr">
        <is>
          <t>MR. RAHEEM A.A</t>
        </is>
      </c>
      <c r="ED13" s="57" t="inlineStr">
        <is>
          <t>Next Term Begins on Monday, 15th September, 2025</t>
        </is>
      </c>
    </row>
    <row r="14" ht="30.6" customHeight="1" s="6">
      <c r="A14" s="18" t="n">
        <v>11</v>
      </c>
      <c r="B14" s="19" t="inlineStr">
        <is>
          <t xml:space="preserve">DADA HANNAH </t>
        </is>
      </c>
      <c r="C14" s="20" t="inlineStr">
        <is>
          <t>2060</t>
        </is>
      </c>
      <c r="D14" s="128" t="inlineStr">
        <is>
          <t>Female</t>
        </is>
      </c>
      <c r="E14" s="21" t="inlineStr">
        <is>
          <t>JSS 1B</t>
        </is>
      </c>
      <c r="F14" s="21" t="n">
        <v>39</v>
      </c>
      <c r="G14" s="21" t="n">
        <v>122</v>
      </c>
      <c r="H14" s="21" t="n">
        <v>98</v>
      </c>
      <c r="I14" s="26">
        <f>G14-H14</f>
        <v/>
      </c>
      <c r="J14" s="21" t="n">
        <v>12</v>
      </c>
      <c r="K14" s="21" t="n">
        <v>12</v>
      </c>
      <c r="L14" s="27">
        <f>SUM(J14:K14)</f>
        <v/>
      </c>
      <c r="M14" s="28" t="n">
        <v>40</v>
      </c>
      <c r="N14" s="28" t="n">
        <v>39</v>
      </c>
      <c r="O14" s="29">
        <f>IF(AND(L14=0,M14=0,N14=0),0,IF(AND(L14=0,M14=0),N14/1,IF(AND(L14=0,N14=0),M14/1,IF(AND(M14=0,N14=0),L14/1,IF(L14=0,FLOOR((M14+N14)/2,0.1),IF(M14=0,(L14+N14)/2,IF(N14=0,(M14+L14)/2,FLOOR(((L14+M14+N14)/3),0.1))))))))</f>
        <v/>
      </c>
      <c r="P14" s="21" t="n">
        <v>15</v>
      </c>
      <c r="Q14" s="21" t="n">
        <v>27</v>
      </c>
      <c r="R14" s="27">
        <f>SUM(P14:Q14)</f>
        <v/>
      </c>
      <c r="S14" s="28" t="n">
        <v>36</v>
      </c>
      <c r="T14" s="28" t="n">
        <v>39</v>
      </c>
      <c r="U14" s="29">
        <f>IF(AND(R14=0,S14=0,T14=0),0,IF(AND(R14=0,S14=0),T14/1,IF(AND(R14=0,T14=0),S14/1,IF(AND(S14=0,T14=0),R14/1,IF(R14=0,FLOOR((S14+T14)/2,0.1),IF(S14=0,(R14+T14)/2,IF(T14=0,(S14+R14)/2,FLOOR(((R14+S14+T14)/3),0.1))))))))</f>
        <v/>
      </c>
      <c r="V14" s="21" t="n">
        <v>12</v>
      </c>
      <c r="W14" s="21" t="n">
        <v>33</v>
      </c>
      <c r="X14" s="27">
        <f>SUM(V14:W14)</f>
        <v/>
      </c>
      <c r="Y14" s="28" t="n">
        <v>36</v>
      </c>
      <c r="Z14" s="28" t="n">
        <v>43</v>
      </c>
      <c r="AA14" s="29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1" t="n">
        <v>14</v>
      </c>
      <c r="AC14" s="21" t="n">
        <v>36</v>
      </c>
      <c r="AD14" s="27">
        <f>SUM(AB14:AC14)</f>
        <v/>
      </c>
      <c r="AE14" s="28" t="n">
        <v>50</v>
      </c>
      <c r="AF14" s="28" t="n">
        <v>50</v>
      </c>
      <c r="AG14" s="29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1" t="n">
        <v>15</v>
      </c>
      <c r="AI14" s="21" t="n">
        <v>24</v>
      </c>
      <c r="AJ14" s="27">
        <f>SUM(AH14:AI14)</f>
        <v/>
      </c>
      <c r="AK14" s="28" t="n">
        <v>39</v>
      </c>
      <c r="AL14" s="28" t="n">
        <v>39</v>
      </c>
      <c r="AM14" s="29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1" t="n"/>
      <c r="AO14" s="21" t="n"/>
      <c r="AP14" s="27">
        <f>SUM(AN14:AO14)</f>
        <v/>
      </c>
      <c r="AQ14" s="28" t="n"/>
      <c r="AR14" s="30" t="n"/>
      <c r="AS14" s="29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1" t="n">
        <v>12</v>
      </c>
      <c r="AU14" s="21" t="n">
        <v>27</v>
      </c>
      <c r="AV14" s="27">
        <f>SUM(AT14:AU14)</f>
        <v/>
      </c>
      <c r="AW14" s="28" t="n">
        <v>39</v>
      </c>
      <c r="AX14" s="30" t="n">
        <v>39</v>
      </c>
      <c r="AY14" s="29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1" t="n">
        <v>9</v>
      </c>
      <c r="BA14" s="21" t="n">
        <v>29</v>
      </c>
      <c r="BB14" s="27">
        <f>SUM(AZ14:BA14)</f>
        <v/>
      </c>
      <c r="BC14" s="28" t="n">
        <v>38</v>
      </c>
      <c r="BD14" s="28" t="n">
        <v>38</v>
      </c>
      <c r="BE14" s="29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1" t="n">
        <v>5</v>
      </c>
      <c r="BG14" s="21" t="n">
        <v>12</v>
      </c>
      <c r="BH14" s="27">
        <f>SUM(BF14:BG14)</f>
        <v/>
      </c>
      <c r="BI14" s="28" t="n">
        <v>17</v>
      </c>
      <c r="BJ14" s="28" t="n">
        <v>17</v>
      </c>
      <c r="BK14" s="29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1" t="n">
        <v>15</v>
      </c>
      <c r="BM14" s="21" t="n">
        <v>30</v>
      </c>
      <c r="BN14" s="27">
        <f>SUM(BL14:BM14)</f>
        <v/>
      </c>
      <c r="BO14" s="28" t="n">
        <v>51</v>
      </c>
      <c r="BP14" s="31" t="n">
        <v>24</v>
      </c>
      <c r="BQ14" s="29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1" t="n"/>
      <c r="BS14" s="21" t="n"/>
      <c r="BT14" s="27">
        <f>SUM(BR14:BS14)</f>
        <v/>
      </c>
      <c r="BU14" s="28" t="n"/>
      <c r="BV14" s="31" t="n"/>
      <c r="BW14" s="29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1" t="n">
        <v>24</v>
      </c>
      <c r="BY14" s="21" t="n">
        <v>29</v>
      </c>
      <c r="BZ14" s="27">
        <f>SUM(BX14:BY14)</f>
        <v/>
      </c>
      <c r="CA14" s="28" t="n">
        <v>51</v>
      </c>
      <c r="CB14" s="31" t="n">
        <v>41</v>
      </c>
      <c r="CC14" s="29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1" t="n">
        <v>18</v>
      </c>
      <c r="CE14" s="21" t="n">
        <v>12</v>
      </c>
      <c r="CF14" s="27">
        <f>SUM(CD14:CE14)</f>
        <v/>
      </c>
      <c r="CG14" s="28" t="n">
        <v>14</v>
      </c>
      <c r="CH14" s="31" t="n">
        <v>13</v>
      </c>
      <c r="CI14" s="29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1" t="n"/>
      <c r="CK14" s="21" t="n"/>
      <c r="CL14" s="27">
        <f>SUM(CJ14:CK14)</f>
        <v/>
      </c>
      <c r="CM14" s="28" t="n"/>
      <c r="CN14" s="31" t="n"/>
      <c r="CO14" s="29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1" t="n"/>
      <c r="CQ14" s="21" t="n"/>
      <c r="CR14" s="27">
        <f>SUM(CP14:CQ14)</f>
        <v/>
      </c>
      <c r="CS14" s="28" t="n"/>
      <c r="CT14" s="31" t="n"/>
      <c r="CU14" s="29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1" t="n">
        <v>10</v>
      </c>
      <c r="CW14" s="21" t="n">
        <v>15</v>
      </c>
      <c r="CX14" s="27">
        <f>SUM(CV14:CW14)</f>
        <v/>
      </c>
      <c r="CY14" s="28" t="n">
        <v>20</v>
      </c>
      <c r="CZ14" s="31" t="n">
        <v>22</v>
      </c>
      <c r="DA14" s="29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1" t="n"/>
      <c r="DC14" s="21" t="n"/>
      <c r="DD14" s="27">
        <f>SUM(DB14:DC14)</f>
        <v/>
      </c>
      <c r="DE14" s="28" t="n"/>
      <c r="DF14" s="31" t="n"/>
      <c r="DG14" s="29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34">
        <f>SUM(O14,U14,AA14,AG14,AM14,AS14,AY14,BE14,BK14,BQ14,BW14,CC14,CI14,CO14,CU14,DA14,DG14)</f>
        <v/>
      </c>
      <c r="DI14" s="39">
        <f>RANK(DH14,DH$4:DH$503)</f>
        <v/>
      </c>
      <c r="DJ14" s="40" t="inlineStr">
        <is>
          <t>AVERAGE(3)</t>
        </is>
      </c>
      <c r="DK14" s="40" t="inlineStr">
        <is>
          <t>AVERAGE(3)</t>
        </is>
      </c>
      <c r="DL14" s="40" t="inlineStr">
        <is>
          <t>GOOD(4)</t>
        </is>
      </c>
      <c r="DM14" s="40" t="inlineStr">
        <is>
          <t>GOOD(4)</t>
        </is>
      </c>
      <c r="DN14" s="19" t="inlineStr">
        <is>
          <t>GOOD(4)</t>
        </is>
      </c>
      <c r="DO14" s="40" t="inlineStr">
        <is>
          <t>AVERAGE(3)</t>
        </is>
      </c>
      <c r="DP14" s="40" t="inlineStr">
        <is>
          <t>GOOD(4)</t>
        </is>
      </c>
      <c r="DQ14" s="40" t="inlineStr">
        <is>
          <t>GOOD(4)</t>
        </is>
      </c>
      <c r="DR14" s="43" t="inlineStr">
        <is>
          <t>2024/2025</t>
        </is>
      </c>
      <c r="DS14" s="45" t="inlineStr">
        <is>
          <t>THIRD</t>
        </is>
      </c>
      <c r="DT14" s="40" t="inlineStr">
        <is>
          <t>GOOD(4)</t>
        </is>
      </c>
      <c r="DU14" s="40" t="inlineStr">
        <is>
          <t>GOOD(4)</t>
        </is>
      </c>
      <c r="DV14" s="40" t="inlineStr">
        <is>
          <t>GOOD(4)</t>
        </is>
      </c>
      <c r="DW14" s="40" t="inlineStr">
        <is>
          <t>GOOD(4)</t>
        </is>
      </c>
      <c r="DX14" s="40" t="inlineStr">
        <is>
          <t>OPTIONAL</t>
        </is>
      </c>
      <c r="DY14" s="40" t="inlineStr">
        <is>
          <t>EXCELLENT(5)</t>
        </is>
      </c>
      <c r="DZ14" s="53" t="inlineStr">
        <is>
          <t>GOOD(4)</t>
        </is>
      </c>
      <c r="EA14" s="54" t="inlineStr">
        <is>
          <t>Prefers working independently but collaborates when needed.</t>
        </is>
      </c>
      <c r="EB14" s="55" t="inlineStr">
        <is>
          <t>To repeat JSS1</t>
        </is>
      </c>
      <c r="EC14" s="56" t="inlineStr">
        <is>
          <t>MR. RAHEEM A.A</t>
        </is>
      </c>
      <c r="ED14" s="57" t="inlineStr">
        <is>
          <t>Next Term Begins on Monday, 15th September, 2025</t>
        </is>
      </c>
    </row>
    <row r="15" ht="30.6" customHeight="1" s="6">
      <c r="A15" s="18" t="n">
        <v>12</v>
      </c>
      <c r="B15" s="19" t="inlineStr">
        <is>
          <t xml:space="preserve">FATAI MUKTAR </t>
        </is>
      </c>
      <c r="C15" s="20" t="inlineStr">
        <is>
          <t>2042</t>
        </is>
      </c>
      <c r="D15" s="128" t="inlineStr">
        <is>
          <t>Male</t>
        </is>
      </c>
      <c r="E15" s="21" t="inlineStr">
        <is>
          <t>JSS 1B</t>
        </is>
      </c>
      <c r="F15" s="21" t="n">
        <v>39</v>
      </c>
      <c r="G15" s="21" t="n">
        <v>122</v>
      </c>
      <c r="H15" s="21" t="n">
        <v>122</v>
      </c>
      <c r="I15" s="26">
        <f>G15-H15</f>
        <v/>
      </c>
      <c r="J15" s="21" t="n">
        <v>12</v>
      </c>
      <c r="K15" s="21" t="n">
        <v>10</v>
      </c>
      <c r="L15" s="27">
        <f>SUM(J15:K15)</f>
        <v/>
      </c>
      <c r="M15" s="28" t="n">
        <v>24</v>
      </c>
      <c r="N15" s="28" t="n">
        <v>38</v>
      </c>
      <c r="O15" s="29">
        <f>IF(AND(L15=0,M15=0,N15=0),0,IF(AND(L15=0,M15=0),N15/1,IF(AND(L15=0,N15=0),M15/1,IF(AND(M15=0,N15=0),L15/1,IF(L15=0,FLOOR((M15+N15)/2,0.1),IF(M15=0,(L15+N15)/2,IF(N15=0,(M15+L15)/2,FLOOR(((L15+M15+N15)/3),0.1))))))))</f>
        <v/>
      </c>
      <c r="P15" s="21" t="n">
        <v>14</v>
      </c>
      <c r="Q15" s="21" t="n">
        <v>24</v>
      </c>
      <c r="R15" s="27">
        <f>SUM(P15:Q15)</f>
        <v/>
      </c>
      <c r="S15" s="28" t="n">
        <v>38</v>
      </c>
      <c r="T15" s="28" t="n">
        <v>36</v>
      </c>
      <c r="U15" s="29">
        <f>IF(AND(R15=0,S15=0,T15=0),0,IF(AND(R15=0,S15=0),T15/1,IF(AND(R15=0,T15=0),S15/1,IF(AND(S15=0,T15=0),R15/1,IF(R15=0,FLOOR((S15+T15)/2,0.1),IF(S15=0,(R15+T15)/2,IF(T15=0,(S15+R15)/2,FLOOR(((R15+S15+T15)/3),0.1))))))))</f>
        <v/>
      </c>
      <c r="V15" s="21" t="n">
        <v>12</v>
      </c>
      <c r="W15" s="21" t="n">
        <v>35</v>
      </c>
      <c r="X15" s="27">
        <f>SUM(V15:W15)</f>
        <v/>
      </c>
      <c r="Y15" s="28" t="n">
        <v>34</v>
      </c>
      <c r="Z15" s="28" t="n">
        <v>22</v>
      </c>
      <c r="AA15" s="29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1" t="n">
        <v>14</v>
      </c>
      <c r="AC15" s="21" t="n">
        <v>23</v>
      </c>
      <c r="AD15" s="27">
        <f>SUM(AB15:AC15)</f>
        <v/>
      </c>
      <c r="AE15" s="28" t="n">
        <v>37</v>
      </c>
      <c r="AF15" s="28" t="n">
        <v>37</v>
      </c>
      <c r="AG15" s="29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1" t="n">
        <v>15</v>
      </c>
      <c r="AI15" s="21" t="n">
        <v>24</v>
      </c>
      <c r="AJ15" s="27">
        <f>SUM(AH15:AI15)</f>
        <v/>
      </c>
      <c r="AK15" s="28" t="n">
        <v>39</v>
      </c>
      <c r="AL15" s="28" t="n">
        <v>39</v>
      </c>
      <c r="AM15" s="29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1" t="n"/>
      <c r="AO15" s="21" t="n"/>
      <c r="AP15" s="27">
        <f>SUM(AN15:AO15)</f>
        <v/>
      </c>
      <c r="AQ15" s="28" t="n"/>
      <c r="AR15" s="30" t="n"/>
      <c r="AS15" s="29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1" t="n">
        <v>12</v>
      </c>
      <c r="AU15" s="21" t="n">
        <v>27</v>
      </c>
      <c r="AV15" s="27">
        <f>SUM(AT15:AU15)</f>
        <v/>
      </c>
      <c r="AW15" s="28" t="n">
        <v>39</v>
      </c>
      <c r="AX15" s="30" t="n">
        <v>39</v>
      </c>
      <c r="AY15" s="29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1" t="n">
        <v>9</v>
      </c>
      <c r="BA15" s="21" t="n">
        <v>29</v>
      </c>
      <c r="BB15" s="27">
        <f>SUM(AZ15:BA15)</f>
        <v/>
      </c>
      <c r="BC15" s="28" t="n">
        <v>38</v>
      </c>
      <c r="BD15" s="28" t="n">
        <v>38</v>
      </c>
      <c r="BE15" s="29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1" t="n">
        <v>5</v>
      </c>
      <c r="BG15" s="21" t="n">
        <v>12</v>
      </c>
      <c r="BH15" s="27">
        <f>SUM(BF15:BG15)</f>
        <v/>
      </c>
      <c r="BI15" s="28" t="n">
        <v>17</v>
      </c>
      <c r="BJ15" s="28" t="n">
        <v>17</v>
      </c>
      <c r="BK15" s="29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1" t="n">
        <v>15</v>
      </c>
      <c r="BM15" s="21" t="n">
        <v>30</v>
      </c>
      <c r="BN15" s="27">
        <f>SUM(BL15:BM15)</f>
        <v/>
      </c>
      <c r="BO15" s="28" t="n">
        <v>45</v>
      </c>
      <c r="BP15" s="31" t="n">
        <v>20</v>
      </c>
      <c r="BQ15" s="29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1" t="n"/>
      <c r="BS15" s="21" t="n"/>
      <c r="BT15" s="27">
        <f>SUM(BR15:BS15)</f>
        <v/>
      </c>
      <c r="BU15" s="28" t="n"/>
      <c r="BV15" s="31" t="n"/>
      <c r="BW15" s="29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1" t="n">
        <v>24</v>
      </c>
      <c r="BY15" s="21" t="n">
        <v>29</v>
      </c>
      <c r="BZ15" s="27">
        <f>SUM(BX15:BY15)</f>
        <v/>
      </c>
      <c r="CA15" s="28" t="n">
        <v>51</v>
      </c>
      <c r="CB15" s="31" t="n">
        <v>41</v>
      </c>
      <c r="CC15" s="29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1" t="n">
        <v>18</v>
      </c>
      <c r="CE15" s="21" t="n">
        <v>12</v>
      </c>
      <c r="CF15" s="27">
        <f>SUM(CD15:CE15)</f>
        <v/>
      </c>
      <c r="CG15" s="28" t="n">
        <v>14</v>
      </c>
      <c r="CH15" s="31" t="n">
        <v>13</v>
      </c>
      <c r="CI15" s="29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1" t="n"/>
      <c r="CK15" s="21" t="n"/>
      <c r="CL15" s="27">
        <f>SUM(CJ15:CK15)</f>
        <v/>
      </c>
      <c r="CM15" s="28" t="n"/>
      <c r="CN15" s="31" t="n"/>
      <c r="CO15" s="29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1" t="n">
        <v>12</v>
      </c>
      <c r="CQ15" s="21" t="n">
        <v>11</v>
      </c>
      <c r="CR15" s="27">
        <f>SUM(CP15:CQ15)</f>
        <v/>
      </c>
      <c r="CS15" s="28" t="n">
        <v>14</v>
      </c>
      <c r="CT15" s="31" t="n">
        <v>10</v>
      </c>
      <c r="CU15" s="29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1" t="n"/>
      <c r="CW15" s="21" t="n"/>
      <c r="CX15" s="27">
        <f>SUM(CV15:CW15)</f>
        <v/>
      </c>
      <c r="CY15" s="28" t="n"/>
      <c r="CZ15" s="31" t="n"/>
      <c r="DA15" s="29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1" t="n"/>
      <c r="DC15" s="21" t="n"/>
      <c r="DD15" s="27">
        <f>SUM(DB15:DC15)</f>
        <v/>
      </c>
      <c r="DE15" s="28" t="n"/>
      <c r="DF15" s="31" t="n"/>
      <c r="DG15" s="29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34">
        <f>SUM(O15,U15,AA15,AG15,AM15,AS15,AY15,BE15,BK15,BQ15,BW15,CC15,CI15,CO15,CU15,DA15,DG15)</f>
        <v/>
      </c>
      <c r="DI15" s="39">
        <f>RANK(DH15,DH$4:DH$503)</f>
        <v/>
      </c>
      <c r="DJ15" s="40" t="inlineStr">
        <is>
          <t>AVERAGE(3)</t>
        </is>
      </c>
      <c r="DK15" s="40" t="inlineStr">
        <is>
          <t>GOOD(4)</t>
        </is>
      </c>
      <c r="DL15" s="40" t="inlineStr">
        <is>
          <t>AVERAGE(3)</t>
        </is>
      </c>
      <c r="DM15" s="40" t="inlineStr">
        <is>
          <t>AVERAGE(3)</t>
        </is>
      </c>
      <c r="DN15" s="19" t="inlineStr">
        <is>
          <t>GOOD(4)</t>
        </is>
      </c>
      <c r="DO15" s="40" t="inlineStr">
        <is>
          <t>AVERAGE(3)</t>
        </is>
      </c>
      <c r="DP15" s="40" t="inlineStr">
        <is>
          <t>GOOD(4)</t>
        </is>
      </c>
      <c r="DQ15" s="40" t="inlineStr">
        <is>
          <t>AVERAGE(3)</t>
        </is>
      </c>
      <c r="DR15" s="43" t="inlineStr">
        <is>
          <t>2024/2025</t>
        </is>
      </c>
      <c r="DS15" s="45" t="inlineStr">
        <is>
          <t>THIRD</t>
        </is>
      </c>
      <c r="DT15" s="40" t="inlineStr">
        <is>
          <t>GOOD(4)</t>
        </is>
      </c>
      <c r="DU15" s="40" t="inlineStr">
        <is>
          <t>AVERAGE(3)</t>
        </is>
      </c>
      <c r="DV15" s="40" t="inlineStr">
        <is>
          <t>GOOD(4)</t>
        </is>
      </c>
      <c r="DW15" s="40" t="inlineStr">
        <is>
          <t>EXCELLENT(5)</t>
        </is>
      </c>
      <c r="DX15" s="40" t="inlineStr">
        <is>
          <t>GOOD(4)</t>
        </is>
      </c>
      <c r="DY15" s="40" t="inlineStr">
        <is>
          <t>EXCELLENT(5)</t>
        </is>
      </c>
      <c r="DZ15" s="53" t="inlineStr">
        <is>
          <t>GOOD(4)</t>
        </is>
      </c>
      <c r="EA15" s="54" t="inlineStr">
        <is>
          <t>Needs to focus more during lessons to achieve full potential.</t>
        </is>
      </c>
      <c r="EB15" s="55" t="inlineStr">
        <is>
          <t>To repeat JSS1</t>
        </is>
      </c>
      <c r="EC15" s="56" t="inlineStr">
        <is>
          <t>MR. RAHEEM A.A</t>
        </is>
      </c>
      <c r="ED15" s="57" t="inlineStr">
        <is>
          <t>Next Term Begins on Monday, 15th September, 2025</t>
        </is>
      </c>
    </row>
    <row r="16" ht="30.6" customHeight="1" s="6">
      <c r="A16" s="18" t="n">
        <v>13</v>
      </c>
      <c r="B16" s="19" t="inlineStr">
        <is>
          <t xml:space="preserve">FATAI WASIU </t>
        </is>
      </c>
      <c r="C16" s="20" t="inlineStr">
        <is>
          <t>1798</t>
        </is>
      </c>
      <c r="D16" s="128" t="inlineStr">
        <is>
          <t>Male</t>
        </is>
      </c>
      <c r="E16" s="21" t="inlineStr">
        <is>
          <t>JSS 1B</t>
        </is>
      </c>
      <c r="F16" s="21" t="n">
        <v>39</v>
      </c>
      <c r="G16" s="21" t="n">
        <v>122</v>
      </c>
      <c r="H16" s="21" t="n">
        <v>104</v>
      </c>
      <c r="I16" s="26">
        <f>G16-H16</f>
        <v/>
      </c>
      <c r="J16" s="21" t="n">
        <v>20</v>
      </c>
      <c r="K16" s="21" t="n">
        <v>35</v>
      </c>
      <c r="L16" s="27">
        <f>SUM(J16:K16)</f>
        <v/>
      </c>
      <c r="M16" s="28" t="n">
        <v>52</v>
      </c>
      <c r="N16" s="28" t="n">
        <v>56</v>
      </c>
      <c r="O16" s="29">
        <f>IF(AND(L16=0,M16=0,N16=0),0,IF(AND(L16=0,M16=0),N16/1,IF(AND(L16=0,N16=0),M16/1,IF(AND(M16=0,N16=0),L16/1,IF(L16=0,FLOOR((M16+N16)/2,0.1),IF(M16=0,(L16+N16)/2,IF(N16=0,(M16+L16)/2,FLOOR(((L16+M16+N16)/3),0.1))))))))</f>
        <v/>
      </c>
      <c r="P16" s="21" t="n">
        <v>17</v>
      </c>
      <c r="Q16" s="21" t="n">
        <v>13</v>
      </c>
      <c r="R16" s="27">
        <f>SUM(P16:Q16)</f>
        <v/>
      </c>
      <c r="S16" s="28" t="n">
        <v>34</v>
      </c>
      <c r="T16" s="28" t="n">
        <v>34</v>
      </c>
      <c r="U16" s="29">
        <f>IF(AND(R16=0,S16=0,T16=0),0,IF(AND(R16=0,S16=0),T16/1,IF(AND(R16=0,T16=0),S16/1,IF(AND(S16=0,T16=0),R16/1,IF(R16=0,FLOOR((S16+T16)/2,0.1),IF(S16=0,(R16+T16)/2,IF(T16=0,(S16+R16)/2,FLOOR(((R16+S16+T16)/3),0.1))))))))</f>
        <v/>
      </c>
      <c r="V16" s="21" t="n">
        <v>13</v>
      </c>
      <c r="W16" s="21" t="n">
        <v>24</v>
      </c>
      <c r="X16" s="27">
        <f>SUM(V16:W16)</f>
        <v/>
      </c>
      <c r="Y16" s="28" t="n">
        <v>34</v>
      </c>
      <c r="Z16" s="28" t="n">
        <v>32</v>
      </c>
      <c r="AA16" s="29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1" t="n">
        <v>16</v>
      </c>
      <c r="AC16" s="21" t="n">
        <v>20</v>
      </c>
      <c r="AD16" s="27">
        <f>SUM(AB16:AC16)</f>
        <v/>
      </c>
      <c r="AE16" s="28" t="n">
        <v>20</v>
      </c>
      <c r="AF16" s="28" t="n">
        <v>20</v>
      </c>
      <c r="AG16" s="29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1" t="n">
        <v>15</v>
      </c>
      <c r="AI16" s="21" t="n">
        <v>24</v>
      </c>
      <c r="AJ16" s="27">
        <f>SUM(AH16:AI16)</f>
        <v/>
      </c>
      <c r="AK16" s="28" t="n">
        <v>0</v>
      </c>
      <c r="AL16" s="28" t="n">
        <v>15</v>
      </c>
      <c r="AM16" s="29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1" t="n"/>
      <c r="AO16" s="21" t="n"/>
      <c r="AP16" s="27">
        <f>SUM(AN16:AO16)</f>
        <v/>
      </c>
      <c r="AQ16" s="28" t="n"/>
      <c r="AR16" s="30" t="n"/>
      <c r="AS16" s="29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1" t="n">
        <v>13</v>
      </c>
      <c r="AU16" s="21" t="n">
        <v>26</v>
      </c>
      <c r="AV16" s="27">
        <f>SUM(AT16:AU16)</f>
        <v/>
      </c>
      <c r="AW16" s="28" t="n">
        <v>39</v>
      </c>
      <c r="AX16" s="30" t="n">
        <v>39</v>
      </c>
      <c r="AY16" s="29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1" t="n">
        <v>10</v>
      </c>
      <c r="BA16" s="21" t="n">
        <v>29</v>
      </c>
      <c r="BB16" s="27">
        <f>SUM(AZ16:BA16)</f>
        <v/>
      </c>
      <c r="BC16" s="28" t="n">
        <v>39</v>
      </c>
      <c r="BD16" s="28" t="n">
        <v>39</v>
      </c>
      <c r="BE16" s="29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1" t="n">
        <v>5</v>
      </c>
      <c r="BG16" s="21" t="n">
        <v>12</v>
      </c>
      <c r="BH16" s="27">
        <f>SUM(BF16:BG16)</f>
        <v/>
      </c>
      <c r="BI16" s="28" t="n">
        <v>17</v>
      </c>
      <c r="BJ16" s="28" t="n">
        <v>17</v>
      </c>
      <c r="BK16" s="29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1" t="n">
        <v>15</v>
      </c>
      <c r="BM16" s="21" t="n">
        <v>20</v>
      </c>
      <c r="BN16" s="27">
        <f>SUM(BL16:BM16)</f>
        <v/>
      </c>
      <c r="BO16" s="28" t="n">
        <v>45</v>
      </c>
      <c r="BP16" s="31" t="n">
        <v>30</v>
      </c>
      <c r="BQ16" s="29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1" t="n"/>
      <c r="BS16" s="21" t="n"/>
      <c r="BT16" s="27">
        <f>SUM(BR16:BS16)</f>
        <v/>
      </c>
      <c r="BU16" s="28" t="n"/>
      <c r="BV16" s="31" t="n"/>
      <c r="BW16" s="29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1" t="n">
        <v>24</v>
      </c>
      <c r="BY16" s="21" t="n">
        <v>29</v>
      </c>
      <c r="BZ16" s="27">
        <f>SUM(BX16:BY16)</f>
        <v/>
      </c>
      <c r="CA16" s="28" t="n">
        <v>51</v>
      </c>
      <c r="CB16" s="31" t="n">
        <v>41</v>
      </c>
      <c r="CC16" s="29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1" t="n">
        <v>13</v>
      </c>
      <c r="CE16" s="21" t="n">
        <v>14</v>
      </c>
      <c r="CF16" s="27">
        <f>SUM(CD16:CE16)</f>
        <v/>
      </c>
      <c r="CG16" s="28" t="n">
        <v>16</v>
      </c>
      <c r="CH16" s="31" t="n">
        <v>15</v>
      </c>
      <c r="CI16" s="29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1" t="n"/>
      <c r="CK16" s="21" t="n"/>
      <c r="CL16" s="27">
        <f>SUM(CJ16:CK16)</f>
        <v/>
      </c>
      <c r="CM16" s="28" t="n"/>
      <c r="CN16" s="31" t="n"/>
      <c r="CO16" s="29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1" t="n">
        <v>12</v>
      </c>
      <c r="CQ16" s="21" t="n">
        <v>11</v>
      </c>
      <c r="CR16" s="27">
        <f>SUM(CP16:CQ16)</f>
        <v/>
      </c>
      <c r="CS16" s="28" t="n">
        <v>14</v>
      </c>
      <c r="CT16" s="31" t="n">
        <v>10</v>
      </c>
      <c r="CU16" s="29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1" t="n"/>
      <c r="CW16" s="21" t="n"/>
      <c r="CX16" s="27">
        <f>SUM(CV16:CW16)</f>
        <v/>
      </c>
      <c r="CY16" s="28" t="n"/>
      <c r="CZ16" s="31" t="n"/>
      <c r="DA16" s="29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1" t="n"/>
      <c r="DC16" s="21" t="n"/>
      <c r="DD16" s="27">
        <f>SUM(DB16:DC16)</f>
        <v/>
      </c>
      <c r="DE16" s="28" t="n"/>
      <c r="DF16" s="31" t="n"/>
      <c r="DG16" s="29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34">
        <f>SUM(O16,U16,AA16,AG16,AM16,AS16,AY16,BE16,BK16,BQ16,BW16,CC16,CI16,CO16,CU16,DA16,DG16)</f>
        <v/>
      </c>
      <c r="DI16" s="39">
        <f>RANK(DH16,DH$4:DH$503)</f>
        <v/>
      </c>
      <c r="DJ16" s="40" t="inlineStr">
        <is>
          <t>GOOD(4)</t>
        </is>
      </c>
      <c r="DK16" s="40" t="inlineStr">
        <is>
          <t>AVERAGE(3)</t>
        </is>
      </c>
      <c r="DL16" s="40" t="inlineStr">
        <is>
          <t>GOOD(4)</t>
        </is>
      </c>
      <c r="DM16" s="40" t="inlineStr">
        <is>
          <t>AVERAGE(3)</t>
        </is>
      </c>
      <c r="DN16" s="19" t="inlineStr">
        <is>
          <t>GOOD(4)</t>
        </is>
      </c>
      <c r="DO16" s="40" t="inlineStr">
        <is>
          <t>AVERAGE(3)</t>
        </is>
      </c>
      <c r="DP16" s="40" t="inlineStr">
        <is>
          <t>AVERAGE(3)</t>
        </is>
      </c>
      <c r="DQ16" s="40" t="inlineStr">
        <is>
          <t>AVERAGE(3)</t>
        </is>
      </c>
      <c r="DR16" s="43" t="inlineStr">
        <is>
          <t>2024/2025</t>
        </is>
      </c>
      <c r="DS16" s="45" t="inlineStr">
        <is>
          <t>THIRD</t>
        </is>
      </c>
      <c r="DT16" s="40" t="inlineStr">
        <is>
          <t>AVERAGE(3)</t>
        </is>
      </c>
      <c r="DU16" s="40" t="inlineStr">
        <is>
          <t>GOOD(4)</t>
        </is>
      </c>
      <c r="DV16" s="40" t="inlineStr">
        <is>
          <t>BELOW AVERAGE(2)</t>
        </is>
      </c>
      <c r="DW16" s="40" t="inlineStr">
        <is>
          <t>EXCELLENT(5)</t>
        </is>
      </c>
      <c r="DX16" s="40" t="inlineStr">
        <is>
          <t>AVERAGE(3)</t>
        </is>
      </c>
      <c r="DY16" s="40" t="inlineStr">
        <is>
          <t>GOOD(4)</t>
        </is>
      </c>
      <c r="DZ16" s="53" t="inlineStr">
        <is>
          <t>GOOD(4)</t>
        </is>
      </c>
      <c r="EA16" s="54" t="inlineStr">
        <is>
          <t>Needs to focus more during lessons to achieve full potential.</t>
        </is>
      </c>
      <c r="EB16" s="55" t="inlineStr">
        <is>
          <t>To repeat JSS1</t>
        </is>
      </c>
      <c r="EC16" s="56" t="inlineStr">
        <is>
          <t>MR. RAHEEM A.A</t>
        </is>
      </c>
      <c r="ED16" s="57" t="inlineStr">
        <is>
          <t>Next Term Begins on Monday, 15th September, 2025</t>
        </is>
      </c>
    </row>
    <row r="17" ht="30.6" customHeight="1" s="6">
      <c r="A17" s="18" t="n">
        <v>14</v>
      </c>
      <c r="B17" s="19" t="inlineStr">
        <is>
          <t>GARUBA NABILA A.</t>
        </is>
      </c>
      <c r="C17" s="20" t="inlineStr">
        <is>
          <t>1928</t>
        </is>
      </c>
      <c r="D17" s="128" t="inlineStr">
        <is>
          <t>Female</t>
        </is>
      </c>
      <c r="E17" s="21" t="inlineStr">
        <is>
          <t>JSS 1B</t>
        </is>
      </c>
      <c r="F17" s="21" t="n">
        <v>39</v>
      </c>
      <c r="G17" s="21" t="n">
        <v>122</v>
      </c>
      <c r="H17" s="21" t="n">
        <v>86</v>
      </c>
      <c r="I17" s="26">
        <f>G17-H17</f>
        <v/>
      </c>
      <c r="J17" s="21" t="n">
        <v>22</v>
      </c>
      <c r="K17" s="21" t="n">
        <v>12</v>
      </c>
      <c r="L17" s="27">
        <f>SUM(J17:K17)</f>
        <v/>
      </c>
      <c r="M17" s="28" t="n">
        <v>32</v>
      </c>
      <c r="N17" s="28" t="n">
        <v>21</v>
      </c>
      <c r="O17" s="29">
        <f>IF(AND(L17=0,M17=0,N17=0),0,IF(AND(L17=0,M17=0),N17/1,IF(AND(L17=0,N17=0),M17/1,IF(AND(M17=0,N17=0),L17/1,IF(L17=0,FLOOR((M17+N17)/2,0.1),IF(M17=0,(L17+N17)/2,IF(N17=0,(M17+L17)/2,FLOOR(((L17+M17+N17)/3),0.1))))))))</f>
        <v/>
      </c>
      <c r="P17" s="21" t="n">
        <v>6</v>
      </c>
      <c r="Q17" s="21" t="n">
        <v>26</v>
      </c>
      <c r="R17" s="27">
        <f>SUM(P17:Q17)</f>
        <v/>
      </c>
      <c r="S17" s="28" t="n">
        <v>66</v>
      </c>
      <c r="T17" s="28" t="n">
        <v>49</v>
      </c>
      <c r="U17" s="29">
        <f>IF(AND(R17=0,S17=0,T17=0),0,IF(AND(R17=0,S17=0),T17/1,IF(AND(R17=0,T17=0),S17/1,IF(AND(S17=0,T17=0),R17/1,IF(R17=0,FLOOR((S17+T17)/2,0.1),IF(S17=0,(R17+T17)/2,IF(T17=0,(S17+R17)/2,FLOOR(((R17+S17+T17)/3),0.1))))))))</f>
        <v/>
      </c>
      <c r="V17" s="21" t="n">
        <v>19</v>
      </c>
      <c r="W17" s="21" t="n">
        <v>40</v>
      </c>
      <c r="X17" s="27">
        <f>SUM(V17:W17)</f>
        <v/>
      </c>
      <c r="Y17" s="28" t="n">
        <v>63</v>
      </c>
      <c r="Z17" s="28" t="n">
        <v>32</v>
      </c>
      <c r="AA17" s="29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1" t="n">
        <v>25</v>
      </c>
      <c r="AC17" s="21" t="n">
        <v>31</v>
      </c>
      <c r="AD17" s="27">
        <f>SUM(AB17:AC17)</f>
        <v/>
      </c>
      <c r="AE17" s="28" t="n">
        <v>38</v>
      </c>
      <c r="AF17" s="28" t="n">
        <v>47</v>
      </c>
      <c r="AG17" s="29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1" t="n">
        <v>23</v>
      </c>
      <c r="AI17" s="21" t="n">
        <v>27</v>
      </c>
      <c r="AJ17" s="27">
        <f>SUM(AH17:AI17)</f>
        <v/>
      </c>
      <c r="AK17" s="28" t="n">
        <v>55</v>
      </c>
      <c r="AL17" s="28" t="n">
        <v>48</v>
      </c>
      <c r="AM17" s="29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1" t="n"/>
      <c r="AO17" s="21" t="n"/>
      <c r="AP17" s="27">
        <f>SUM(AN17:AO17)</f>
        <v/>
      </c>
      <c r="AQ17" s="28" t="n"/>
      <c r="AR17" s="30" t="n"/>
      <c r="AS17" s="29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1" t="n">
        <v>19</v>
      </c>
      <c r="AU17" s="21" t="n">
        <v>35</v>
      </c>
      <c r="AV17" s="27">
        <f>SUM(AT17:AU17)</f>
        <v/>
      </c>
      <c r="AW17" s="28" t="n">
        <v>31</v>
      </c>
      <c r="AX17" s="30" t="n">
        <v>16</v>
      </c>
      <c r="AY17" s="29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1" t="n">
        <v>22</v>
      </c>
      <c r="BA17" s="21" t="n">
        <v>28</v>
      </c>
      <c r="BB17" s="27">
        <f>SUM(AZ17:BA17)</f>
        <v/>
      </c>
      <c r="BC17" s="28" t="n">
        <v>40</v>
      </c>
      <c r="BD17" s="28" t="n">
        <v>45</v>
      </c>
      <c r="BE17" s="29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1" t="n">
        <v>16</v>
      </c>
      <c r="BG17" s="21" t="n">
        <v>43</v>
      </c>
      <c r="BH17" s="27">
        <f>SUM(BF17:BG17)</f>
        <v/>
      </c>
      <c r="BI17" s="28" t="n">
        <v>50</v>
      </c>
      <c r="BJ17" s="28" t="n">
        <v>37</v>
      </c>
      <c r="BK17" s="29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1" t="n">
        <v>18</v>
      </c>
      <c r="BM17" s="21" t="n">
        <v>39</v>
      </c>
      <c r="BN17" s="27">
        <f>SUM(BL17:BM17)</f>
        <v/>
      </c>
      <c r="BO17" s="28" t="n">
        <v>34</v>
      </c>
      <c r="BP17" s="31" t="n">
        <v>43</v>
      </c>
      <c r="BQ17" s="29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1" t="n"/>
      <c r="BS17" s="21" t="n"/>
      <c r="BT17" s="27">
        <f>SUM(BR17:BS17)</f>
        <v/>
      </c>
      <c r="BU17" s="28" t="n"/>
      <c r="BV17" s="31" t="n"/>
      <c r="BW17" s="29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1" t="n">
        <v>24</v>
      </c>
      <c r="BY17" s="21" t="n">
        <v>29</v>
      </c>
      <c r="BZ17" s="27">
        <f>SUM(BX17:BY17)</f>
        <v/>
      </c>
      <c r="CA17" s="28" t="n">
        <v>51</v>
      </c>
      <c r="CB17" s="31" t="n">
        <v>41</v>
      </c>
      <c r="CC17" s="29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1" t="n">
        <v>20</v>
      </c>
      <c r="CE17" s="21" t="n">
        <v>30</v>
      </c>
      <c r="CF17" s="27">
        <f>SUM(CD17:CE17)</f>
        <v/>
      </c>
      <c r="CG17" s="28" t="n">
        <v>27</v>
      </c>
      <c r="CH17" s="31" t="n">
        <v>25</v>
      </c>
      <c r="CI17" s="29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1" t="n"/>
      <c r="CK17" s="21" t="n"/>
      <c r="CL17" s="27">
        <f>SUM(CJ17:CK17)</f>
        <v/>
      </c>
      <c r="CM17" s="28" t="n"/>
      <c r="CN17" s="31" t="n"/>
      <c r="CO17" s="29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1" t="n">
        <v>24</v>
      </c>
      <c r="CQ17" s="21" t="n">
        <v>20</v>
      </c>
      <c r="CR17" s="27">
        <f>SUM(CP17:CQ17)</f>
        <v/>
      </c>
      <c r="CS17" s="28" t="n">
        <v>49</v>
      </c>
      <c r="CT17" s="31" t="n">
        <v>34</v>
      </c>
      <c r="CU17" s="29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1" t="n"/>
      <c r="CW17" s="21" t="n"/>
      <c r="CX17" s="27">
        <f>SUM(CV17:CW17)</f>
        <v/>
      </c>
      <c r="CY17" s="28" t="n"/>
      <c r="CZ17" s="31" t="n"/>
      <c r="DA17" s="29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1" t="n"/>
      <c r="DC17" s="21" t="n"/>
      <c r="DD17" s="27">
        <f>SUM(DB17:DC17)</f>
        <v/>
      </c>
      <c r="DE17" s="28" t="n"/>
      <c r="DF17" s="31" t="n"/>
      <c r="DG17" s="29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34">
        <f>SUM(O17,U17,AA17,AG17,AM17,AS17,AY17,BE17,BK17,BQ17,BW17,CC17,CI17,CO17,CU17,DA17,DG17)</f>
        <v/>
      </c>
      <c r="DI17" s="39">
        <f>RANK(DH17,DH$4:DH$503)</f>
        <v/>
      </c>
      <c r="DJ17" s="40" t="inlineStr">
        <is>
          <t>GOOD(4)</t>
        </is>
      </c>
      <c r="DK17" s="40" t="inlineStr">
        <is>
          <t>GOOD(4)</t>
        </is>
      </c>
      <c r="DL17" s="40" t="inlineStr">
        <is>
          <t>GOOD(4)</t>
        </is>
      </c>
      <c r="DM17" s="40" t="inlineStr">
        <is>
          <t>GOOD(4)</t>
        </is>
      </c>
      <c r="DN17" s="19" t="inlineStr">
        <is>
          <t>GOOD(4)</t>
        </is>
      </c>
      <c r="DO17" s="40" t="inlineStr">
        <is>
          <t>GOOD(4)</t>
        </is>
      </c>
      <c r="DP17" s="40" t="inlineStr">
        <is>
          <t>GOOD(4)</t>
        </is>
      </c>
      <c r="DQ17" s="40" t="inlineStr">
        <is>
          <t>AVERAGE(3)</t>
        </is>
      </c>
      <c r="DR17" s="43" t="inlineStr">
        <is>
          <t>2024/2025</t>
        </is>
      </c>
      <c r="DS17" s="45" t="inlineStr">
        <is>
          <t>THIRD</t>
        </is>
      </c>
      <c r="DT17" s="40" t="inlineStr">
        <is>
          <t>AVERAGE(3)</t>
        </is>
      </c>
      <c r="DU17" s="40" t="inlineStr">
        <is>
          <t>GOOD(4)</t>
        </is>
      </c>
      <c r="DV17" s="40" t="inlineStr">
        <is>
          <t>AVERAGE(3)</t>
        </is>
      </c>
      <c r="DW17" s="40" t="inlineStr">
        <is>
          <t>GOOD(4)</t>
        </is>
      </c>
      <c r="DX17" s="40" t="inlineStr">
        <is>
          <t>GOOD(4)</t>
        </is>
      </c>
      <c r="DY17" s="40" t="inlineStr">
        <is>
          <t>EXCELLENT(5)</t>
        </is>
      </c>
      <c r="DZ17" s="53" t="inlineStr">
        <is>
          <t>AVERAGE(3)</t>
        </is>
      </c>
      <c r="EA17" s="54" t="inlineStr">
        <is>
          <t>Completes assignments on time and with care.</t>
        </is>
      </c>
      <c r="EB17" s="55" t="inlineStr">
        <is>
          <t>Promoted to JSS2</t>
        </is>
      </c>
      <c r="EC17" s="56" t="inlineStr">
        <is>
          <t>MR. RAHEEM A.A</t>
        </is>
      </c>
      <c r="ED17" s="57" t="inlineStr">
        <is>
          <t>Next Term Begins on Monday, 15th September, 2025</t>
        </is>
      </c>
    </row>
    <row r="18" ht="30.6" customHeight="1" s="6">
      <c r="A18" s="18" t="n">
        <v>15</v>
      </c>
      <c r="B18" s="19" t="inlineStr">
        <is>
          <t xml:space="preserve">JAMIU ABDULRASHEED </t>
        </is>
      </c>
      <c r="C18" s="20" t="inlineStr">
        <is>
          <t>1932</t>
        </is>
      </c>
      <c r="D18" s="128" t="inlineStr">
        <is>
          <t>Male</t>
        </is>
      </c>
      <c r="E18" s="21" t="inlineStr">
        <is>
          <t>JSS 1B</t>
        </is>
      </c>
      <c r="F18" s="21" t="n">
        <v>39</v>
      </c>
      <c r="G18" s="21" t="n">
        <v>122</v>
      </c>
      <c r="H18" s="21" t="n">
        <v>120</v>
      </c>
      <c r="I18" s="26">
        <f>G18-H18</f>
        <v/>
      </c>
      <c r="J18" s="21" t="n">
        <v>20</v>
      </c>
      <c r="K18" s="21" t="n">
        <v>36</v>
      </c>
      <c r="L18" s="27">
        <f>SUM(J18:K18)</f>
        <v/>
      </c>
      <c r="M18" s="28" t="n">
        <v>44</v>
      </c>
      <c r="N18" s="28" t="n">
        <v>50</v>
      </c>
      <c r="O18" s="29">
        <f>IF(AND(L18=0,M18=0,N18=0),0,IF(AND(L18=0,M18=0),N18/1,IF(AND(L18=0,N18=0),M18/1,IF(AND(M18=0,N18=0),L18/1,IF(L18=0,FLOOR((M18+N18)/2,0.1),IF(M18=0,(L18+N18)/2,IF(N18=0,(M18+L18)/2,FLOOR(((L18+M18+N18)/3),0.1))))))))</f>
        <v/>
      </c>
      <c r="P18" s="21" t="n">
        <v>20</v>
      </c>
      <c r="Q18" s="21" t="n">
        <v>36</v>
      </c>
      <c r="R18" s="27">
        <f>SUM(P18:Q18)</f>
        <v/>
      </c>
      <c r="S18" s="28" t="n">
        <v>44</v>
      </c>
      <c r="T18" s="28" t="n">
        <v>50</v>
      </c>
      <c r="U18" s="29">
        <f>IF(AND(R18=0,S18=0,T18=0),0,IF(AND(R18=0,S18=0),T18/1,IF(AND(R18=0,T18=0),S18/1,IF(AND(S18=0,T18=0),R18/1,IF(R18=0,FLOOR((S18+T18)/2,0.1),IF(S18=0,(R18+T18)/2,IF(T18=0,(S18+R18)/2,FLOOR(((R18+S18+T18)/3),0.1))))))))</f>
        <v/>
      </c>
      <c r="V18" s="21" t="n">
        <v>14</v>
      </c>
      <c r="W18" s="21" t="n">
        <v>40</v>
      </c>
      <c r="X18" s="27">
        <f>SUM(V18:W18)</f>
        <v/>
      </c>
      <c r="Y18" s="28" t="n">
        <v>48</v>
      </c>
      <c r="Z18" s="28" t="n">
        <v>32</v>
      </c>
      <c r="AA18" s="29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1" t="n">
        <v>25</v>
      </c>
      <c r="AC18" s="21" t="n">
        <v>27</v>
      </c>
      <c r="AD18" s="27">
        <f>SUM(AB18:AC18)</f>
        <v/>
      </c>
      <c r="AE18" s="28" t="n">
        <v>65</v>
      </c>
      <c r="AF18" s="28" t="n">
        <v>58</v>
      </c>
      <c r="AG18" s="29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1" t="n">
        <v>27</v>
      </c>
      <c r="AI18" s="21" t="n">
        <v>23</v>
      </c>
      <c r="AJ18" s="27">
        <f>SUM(AH18:AI18)</f>
        <v/>
      </c>
      <c r="AK18" s="28" t="n">
        <v>38</v>
      </c>
      <c r="AL18" s="28" t="n">
        <v>36</v>
      </c>
      <c r="AM18" s="29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1" t="n"/>
      <c r="AO18" s="21" t="n"/>
      <c r="AP18" s="27">
        <f>SUM(AN18:AO18)</f>
        <v/>
      </c>
      <c r="AQ18" s="28" t="n"/>
      <c r="AR18" s="30" t="n"/>
      <c r="AS18" s="29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1" t="n">
        <v>17</v>
      </c>
      <c r="AU18" s="21" t="n">
        <v>38</v>
      </c>
      <c r="AV18" s="27">
        <f>SUM(AT18:AU18)</f>
        <v/>
      </c>
      <c r="AW18" s="28" t="n">
        <v>47</v>
      </c>
      <c r="AX18" s="30" t="n">
        <v>24</v>
      </c>
      <c r="AY18" s="29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1" t="n">
        <v>22</v>
      </c>
      <c r="BA18" s="21" t="n">
        <v>28</v>
      </c>
      <c r="BB18" s="27">
        <f>SUM(AZ18:BA18)</f>
        <v/>
      </c>
      <c r="BC18" s="28" t="n">
        <v>43</v>
      </c>
      <c r="BD18" s="28" t="n">
        <v>43</v>
      </c>
      <c r="BE18" s="29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1" t="n">
        <v>17</v>
      </c>
      <c r="BG18" s="21" t="n">
        <v>30</v>
      </c>
      <c r="BH18" s="27">
        <f>SUM(BF18:BG18)</f>
        <v/>
      </c>
      <c r="BI18" s="28" t="n">
        <v>53</v>
      </c>
      <c r="BJ18" s="28" t="n">
        <v>37</v>
      </c>
      <c r="BK18" s="29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1" t="n">
        <v>23</v>
      </c>
      <c r="BM18" s="21" t="n">
        <v>30</v>
      </c>
      <c r="BN18" s="27">
        <f>SUM(BL18:BM18)</f>
        <v/>
      </c>
      <c r="BO18" s="28" t="n">
        <v>54</v>
      </c>
      <c r="BP18" s="31" t="n">
        <v>46</v>
      </c>
      <c r="BQ18" s="29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1" t="n"/>
      <c r="BS18" s="21" t="n"/>
      <c r="BT18" s="27">
        <f>SUM(BR18:BS18)</f>
        <v/>
      </c>
      <c r="BU18" s="28" t="n"/>
      <c r="BV18" s="31" t="n"/>
      <c r="BW18" s="29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1" t="n">
        <v>24</v>
      </c>
      <c r="BY18" s="21" t="n">
        <v>29</v>
      </c>
      <c r="BZ18" s="27">
        <f>SUM(BX18:BY18)</f>
        <v/>
      </c>
      <c r="CA18" s="28" t="n">
        <v>51</v>
      </c>
      <c r="CB18" s="31" t="n">
        <v>41</v>
      </c>
      <c r="CC18" s="29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1" t="n">
        <v>20</v>
      </c>
      <c r="CE18" s="21" t="n">
        <v>31</v>
      </c>
      <c r="CF18" s="27">
        <f>SUM(CD18:CE18)</f>
        <v/>
      </c>
      <c r="CG18" s="28" t="n">
        <v>23</v>
      </c>
      <c r="CH18" s="31" t="n">
        <v>22</v>
      </c>
      <c r="CI18" s="29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1" t="n"/>
      <c r="CK18" s="21" t="n"/>
      <c r="CL18" s="27">
        <f>SUM(CJ18:CK18)</f>
        <v/>
      </c>
      <c r="CM18" s="28" t="n"/>
      <c r="CN18" s="31" t="n"/>
      <c r="CO18" s="29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1" t="n">
        <v>24</v>
      </c>
      <c r="CQ18" s="21" t="n">
        <v>18</v>
      </c>
      <c r="CR18" s="27">
        <f>SUM(CP18:CQ18)</f>
        <v/>
      </c>
      <c r="CS18" s="28" t="n">
        <v>30</v>
      </c>
      <c r="CT18" s="31" t="n">
        <v>39</v>
      </c>
      <c r="CU18" s="29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1" t="n"/>
      <c r="CW18" s="21" t="n"/>
      <c r="CX18" s="27">
        <f>SUM(CV18:CW18)</f>
        <v/>
      </c>
      <c r="CY18" s="28" t="n"/>
      <c r="CZ18" s="31" t="n"/>
      <c r="DA18" s="29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1" t="n"/>
      <c r="DC18" s="21" t="n"/>
      <c r="DD18" s="27">
        <f>SUM(DB18:DC18)</f>
        <v/>
      </c>
      <c r="DE18" s="28" t="n"/>
      <c r="DF18" s="31" t="n"/>
      <c r="DG18" s="29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34">
        <f>SUM(O18,U18,AA18,AG18,AM18,AS18,AY18,BE18,BK18,BQ18,BW18,CC18,CI18,CO18,CU18,DA18,DG18)</f>
        <v/>
      </c>
      <c r="DI18" s="39">
        <f>RANK(DH18,DH$4:DH$503)</f>
        <v/>
      </c>
      <c r="DJ18" s="40" t="inlineStr">
        <is>
          <t>GOOD(4)</t>
        </is>
      </c>
      <c r="DK18" s="40" t="inlineStr">
        <is>
          <t>GOOD(4)</t>
        </is>
      </c>
      <c r="DL18" s="40" t="inlineStr">
        <is>
          <t>GOOD(4)</t>
        </is>
      </c>
      <c r="DM18" s="40" t="inlineStr">
        <is>
          <t>AVERAGE(3)</t>
        </is>
      </c>
      <c r="DN18" s="19" t="inlineStr">
        <is>
          <t>AVERAGE(3)</t>
        </is>
      </c>
      <c r="DO18" s="40" t="inlineStr">
        <is>
          <t>AVERAGE(3)</t>
        </is>
      </c>
      <c r="DP18" s="40" t="inlineStr">
        <is>
          <t>GOOD(4)</t>
        </is>
      </c>
      <c r="DQ18" s="40" t="inlineStr">
        <is>
          <t>AVERAGE(3)</t>
        </is>
      </c>
      <c r="DR18" s="43" t="inlineStr">
        <is>
          <t>2024/2025</t>
        </is>
      </c>
      <c r="DS18" s="45" t="inlineStr">
        <is>
          <t>THIRD</t>
        </is>
      </c>
      <c r="DT18" s="40" t="inlineStr">
        <is>
          <t>GOOD(4)</t>
        </is>
      </c>
      <c r="DU18" s="40" t="inlineStr">
        <is>
          <t>GOOD(4)</t>
        </is>
      </c>
      <c r="DV18" s="40" t="inlineStr">
        <is>
          <t>GOOD(4)</t>
        </is>
      </c>
      <c r="DW18" s="40" t="inlineStr">
        <is>
          <t>EXCELLENT(5)</t>
        </is>
      </c>
      <c r="DX18" s="40" t="inlineStr">
        <is>
          <t>EXCELLENT(5)</t>
        </is>
      </c>
      <c r="DY18" s="40" t="inlineStr">
        <is>
          <t>GOOD(4)</t>
        </is>
      </c>
      <c r="DZ18" s="53" t="inlineStr">
        <is>
          <t>GOOD(4)</t>
        </is>
      </c>
      <c r="EA18" s="54" t="inlineStr">
        <is>
          <t>Needs encouragement to speak up and participate more actively.</t>
        </is>
      </c>
      <c r="EB18" s="55" t="inlineStr">
        <is>
          <t>Promoted to JSS2</t>
        </is>
      </c>
      <c r="EC18" s="56" t="inlineStr">
        <is>
          <t>MR. RAHEEM A.A</t>
        </is>
      </c>
      <c r="ED18" s="57" t="inlineStr">
        <is>
          <t>Next Term Begins on Monday, 15th September, 2025</t>
        </is>
      </c>
    </row>
    <row r="19" ht="30.6" customHeight="1" s="6">
      <c r="A19" s="18" t="n">
        <v>16</v>
      </c>
      <c r="B19" s="19" t="inlineStr">
        <is>
          <t>NURA HASSANAT TAIWO</t>
        </is>
      </c>
      <c r="C19" s="20" t="inlineStr">
        <is>
          <t>1838</t>
        </is>
      </c>
      <c r="D19" s="128" t="inlineStr">
        <is>
          <t>Female</t>
        </is>
      </c>
      <c r="E19" s="21" t="inlineStr">
        <is>
          <t>JSS 1B</t>
        </is>
      </c>
      <c r="F19" s="21" t="n">
        <v>39</v>
      </c>
      <c r="G19" s="21" t="n">
        <v>122</v>
      </c>
      <c r="H19" s="22" t="n">
        <v>96</v>
      </c>
      <c r="I19" s="26">
        <f>G19-H19</f>
        <v/>
      </c>
      <c r="J19" s="21" t="n">
        <v>20</v>
      </c>
      <c r="K19" s="21" t="n">
        <v>35</v>
      </c>
      <c r="L19" s="27">
        <f>SUM(J19:K19)</f>
        <v/>
      </c>
      <c r="M19" s="28" t="n">
        <v>53</v>
      </c>
      <c r="N19" s="28" t="n">
        <v>52</v>
      </c>
      <c r="O19" s="29">
        <f>IF(AND(L19=0,M19=0,N19=0),0,IF(AND(L19=0,M19=0),N19/1,IF(AND(L19=0,N19=0),M19/1,IF(AND(M19=0,N19=0),L19/1,IF(L19=0,FLOOR((M19+N19)/2,0.1),IF(M19=0,(L19+N19)/2,IF(N19=0,(M19+L19)/2,FLOOR(((L19+M19+N19)/3),0.1))))))))</f>
        <v/>
      </c>
      <c r="P19" s="21" t="n">
        <v>12</v>
      </c>
      <c r="Q19" s="21" t="n">
        <v>21</v>
      </c>
      <c r="R19" s="27">
        <f>SUM(P19:Q19)</f>
        <v/>
      </c>
      <c r="S19" s="28" t="n">
        <v>24</v>
      </c>
      <c r="T19" s="28" t="n">
        <v>28</v>
      </c>
      <c r="U19" s="29">
        <f>IF(AND(R19=0,S19=0,T19=0),0,IF(AND(R19=0,S19=0),T19/1,IF(AND(R19=0,T19=0),S19/1,IF(AND(S19=0,T19=0),R19/1,IF(R19=0,FLOOR((S19+T19)/2,0.1),IF(S19=0,(R19+T19)/2,IF(T19=0,(S19+R19)/2,FLOOR(((R19+S19+T19)/3),0.1))))))))</f>
        <v/>
      </c>
      <c r="V19" s="21" t="n">
        <v>15</v>
      </c>
      <c r="W19" s="21" t="n">
        <v>40</v>
      </c>
      <c r="X19" s="27">
        <f>SUM(V19:W19)</f>
        <v/>
      </c>
      <c r="Y19" s="28" t="n">
        <v>22</v>
      </c>
      <c r="Z19" s="28" t="n">
        <v>23</v>
      </c>
      <c r="AA19" s="29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1" t="n">
        <v>11</v>
      </c>
      <c r="AC19" s="21" t="n">
        <v>24</v>
      </c>
      <c r="AD19" s="27">
        <f>SUM(AB19:AC19)</f>
        <v/>
      </c>
      <c r="AE19" s="28" t="n">
        <v>24</v>
      </c>
      <c r="AF19" s="28" t="n">
        <v>24</v>
      </c>
      <c r="AG19" s="29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1" t="n">
        <v>16</v>
      </c>
      <c r="AI19" s="21" t="n">
        <v>23</v>
      </c>
      <c r="AJ19" s="27">
        <f>SUM(AH19:AI19)</f>
        <v/>
      </c>
      <c r="AK19" s="28" t="n">
        <v>0</v>
      </c>
      <c r="AL19" s="28" t="n">
        <v>15</v>
      </c>
      <c r="AM19" s="29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1" t="n"/>
      <c r="AO19" s="21" t="n"/>
      <c r="AP19" s="27">
        <f>SUM(AN19:AO19)</f>
        <v/>
      </c>
      <c r="AQ19" s="28" t="n"/>
      <c r="AR19" s="30" t="n"/>
      <c r="AS19" s="29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1" t="n">
        <v>17</v>
      </c>
      <c r="AU19" s="21" t="n">
        <v>22</v>
      </c>
      <c r="AV19" s="27">
        <f>SUM(AT19:AU19)</f>
        <v/>
      </c>
      <c r="AW19" s="28" t="n">
        <v>39</v>
      </c>
      <c r="AX19" s="30" t="n">
        <v>39</v>
      </c>
      <c r="AY19" s="29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1" t="n">
        <v>10</v>
      </c>
      <c r="BA19" s="21" t="n">
        <v>29</v>
      </c>
      <c r="BB19" s="27">
        <f>SUM(AZ19:BA19)</f>
        <v/>
      </c>
      <c r="BC19" s="28" t="n">
        <v>39</v>
      </c>
      <c r="BD19" s="28" t="n">
        <v>39</v>
      </c>
      <c r="BE19" s="29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1" t="n">
        <v>5</v>
      </c>
      <c r="BG19" s="21" t="n">
        <v>12</v>
      </c>
      <c r="BH19" s="27">
        <f>SUM(BF19:BG19)</f>
        <v/>
      </c>
      <c r="BI19" s="28" t="n">
        <v>17</v>
      </c>
      <c r="BJ19" s="28" t="n">
        <v>17</v>
      </c>
      <c r="BK19" s="29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1" t="n">
        <v>15</v>
      </c>
      <c r="BM19" s="21" t="n">
        <v>20</v>
      </c>
      <c r="BN19" s="27">
        <f>SUM(BL19:BM19)</f>
        <v/>
      </c>
      <c r="BO19" s="28" t="n">
        <v>45</v>
      </c>
      <c r="BP19" s="31" t="n">
        <v>34</v>
      </c>
      <c r="BQ19" s="29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1" t="n"/>
      <c r="BS19" s="21" t="n"/>
      <c r="BT19" s="27">
        <f>SUM(BR19:BS19)</f>
        <v/>
      </c>
      <c r="BU19" s="28" t="n"/>
      <c r="BV19" s="31" t="n"/>
      <c r="BW19" s="29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1" t="n">
        <v>24</v>
      </c>
      <c r="BY19" s="21" t="n">
        <v>29</v>
      </c>
      <c r="BZ19" s="27">
        <f>SUM(BX19:BY19)</f>
        <v/>
      </c>
      <c r="CA19" s="28" t="n">
        <v>51</v>
      </c>
      <c r="CB19" s="31" t="n">
        <v>41</v>
      </c>
      <c r="CC19" s="29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1" t="n">
        <v>12</v>
      </c>
      <c r="CE19" s="21" t="n">
        <v>13</v>
      </c>
      <c r="CF19" s="27">
        <f>SUM(CD19:CE19)</f>
        <v/>
      </c>
      <c r="CG19" s="28" t="n">
        <v>15</v>
      </c>
      <c r="CH19" s="31" t="n">
        <v>14</v>
      </c>
      <c r="CI19" s="29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1" t="n"/>
      <c r="CK19" s="21" t="n"/>
      <c r="CL19" s="27">
        <f>SUM(CJ19:CK19)</f>
        <v/>
      </c>
      <c r="CM19" s="28" t="n"/>
      <c r="CN19" s="31" t="n"/>
      <c r="CO19" s="29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1" t="n">
        <v>10</v>
      </c>
      <c r="CQ19" s="21" t="n">
        <v>18</v>
      </c>
      <c r="CR19" s="27">
        <f>SUM(CP19:CQ19)</f>
        <v/>
      </c>
      <c r="CS19" s="28" t="n">
        <v>13</v>
      </c>
      <c r="CT19" s="31" t="n">
        <v>12</v>
      </c>
      <c r="CU19" s="29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1" t="n"/>
      <c r="CW19" s="21" t="n"/>
      <c r="CX19" s="27">
        <f>SUM(CV19:CW19)</f>
        <v/>
      </c>
      <c r="CY19" s="28" t="n"/>
      <c r="CZ19" s="31" t="n"/>
      <c r="DA19" s="29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1" t="n"/>
      <c r="DC19" s="21" t="n"/>
      <c r="DD19" s="27">
        <f>SUM(DB19:DC19)</f>
        <v/>
      </c>
      <c r="DE19" s="28" t="n"/>
      <c r="DF19" s="31" t="n"/>
      <c r="DG19" s="29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34">
        <f>SUM(O19,U19,AA19,AG19,AM19,AS19,AY19,BE19,BK19,BQ19,BW19,CC19,CI19,CO19,CU19,DA19,DG19)</f>
        <v/>
      </c>
      <c r="DI19" s="39">
        <f>RANK(DH19,DH$4:DH$503)</f>
        <v/>
      </c>
      <c r="DJ19" s="40" t="inlineStr">
        <is>
          <t>GOOD(4)</t>
        </is>
      </c>
      <c r="DK19" s="40" t="inlineStr">
        <is>
          <t>GOOD(4)</t>
        </is>
      </c>
      <c r="DL19" s="40" t="inlineStr">
        <is>
          <t>GOOD(4)</t>
        </is>
      </c>
      <c r="DM19" s="40" t="inlineStr">
        <is>
          <t>AVERAGE(3)</t>
        </is>
      </c>
      <c r="DN19" s="19" t="inlineStr">
        <is>
          <t>GOOD(4)</t>
        </is>
      </c>
      <c r="DO19" s="40" t="inlineStr">
        <is>
          <t>GOOD(4)</t>
        </is>
      </c>
      <c r="DP19" s="40" t="inlineStr">
        <is>
          <t>GOOD(4)</t>
        </is>
      </c>
      <c r="DQ19" s="40" t="inlineStr">
        <is>
          <t>GOOD(4)</t>
        </is>
      </c>
      <c r="DR19" s="43" t="inlineStr">
        <is>
          <t>2024/2025</t>
        </is>
      </c>
      <c r="DS19" s="45" t="inlineStr">
        <is>
          <t>THIRD</t>
        </is>
      </c>
      <c r="DT19" s="40" t="inlineStr">
        <is>
          <t>AVERAGE(3)</t>
        </is>
      </c>
      <c r="DU19" s="40" t="inlineStr">
        <is>
          <t>GOOD(4)</t>
        </is>
      </c>
      <c r="DV19" s="40" t="inlineStr">
        <is>
          <t>AVERAGE(3)</t>
        </is>
      </c>
      <c r="DW19" s="40" t="inlineStr">
        <is>
          <t>EXCELLENT(5)</t>
        </is>
      </c>
      <c r="DX19" s="40" t="inlineStr">
        <is>
          <t>OPTIONAL</t>
        </is>
      </c>
      <c r="DY19" s="40" t="inlineStr">
        <is>
          <t>AVERAGE(3)</t>
        </is>
      </c>
      <c r="DZ19" s="53" t="inlineStr">
        <is>
          <t>GOOD(4)</t>
        </is>
      </c>
      <c r="EA19" s="54" t="inlineStr">
        <is>
          <t>Excels in most subjects and demonstrates a strong grasp of concepts.</t>
        </is>
      </c>
      <c r="EB19" s="55" t="inlineStr">
        <is>
          <t>To repeat JSS1</t>
        </is>
      </c>
      <c r="EC19" s="56" t="inlineStr">
        <is>
          <t>MR. RAHEEM A.A</t>
        </is>
      </c>
      <c r="ED19" s="57" t="inlineStr">
        <is>
          <t>Next Term Begins on Monday, 15th September, 2025</t>
        </is>
      </c>
    </row>
    <row r="20" ht="30.6" customHeight="1" s="6">
      <c r="A20" s="18" t="n">
        <v>17</v>
      </c>
      <c r="B20" s="19" t="inlineStr">
        <is>
          <t>ODEDELE ELIZABETH A.</t>
        </is>
      </c>
      <c r="C20" s="20" t="inlineStr">
        <is>
          <t>1939</t>
        </is>
      </c>
      <c r="D20" s="128" t="inlineStr">
        <is>
          <t>Female</t>
        </is>
      </c>
      <c r="E20" s="21" t="inlineStr">
        <is>
          <t>JSS 1B</t>
        </is>
      </c>
      <c r="F20" s="21" t="n">
        <v>39</v>
      </c>
      <c r="G20" s="21" t="n">
        <v>122</v>
      </c>
      <c r="H20" s="22" t="n">
        <v>60</v>
      </c>
      <c r="I20" s="26">
        <f>G20-H20</f>
        <v/>
      </c>
      <c r="J20" s="21" t="n">
        <v>24</v>
      </c>
      <c r="K20" s="21" t="n">
        <v>14</v>
      </c>
      <c r="L20" s="27">
        <f>SUM(J20:K20)</f>
        <v/>
      </c>
      <c r="M20" s="28" t="n">
        <v>44</v>
      </c>
      <c r="N20" s="28" t="n">
        <v>28</v>
      </c>
      <c r="O20" s="29">
        <f>IF(AND(L20=0,M20=0,N20=0),0,IF(AND(L20=0,M20=0),N20/1,IF(AND(L20=0,N20=0),M20/1,IF(AND(M20=0,N20=0),L20/1,IF(L20=0,FLOOR((M20+N20)/2,0.1),IF(M20=0,(L20+N20)/2,IF(N20=0,(M20+L20)/2,FLOOR(((L20+M20+N20)/3),0.1))))))))</f>
        <v/>
      </c>
      <c r="P20" s="21" t="n">
        <v>22</v>
      </c>
      <c r="Q20" s="21" t="n">
        <v>47</v>
      </c>
      <c r="R20" s="27">
        <f>SUM(P20:Q20)</f>
        <v/>
      </c>
      <c r="S20" s="28" t="n">
        <v>79</v>
      </c>
      <c r="T20" s="28" t="n">
        <v>74</v>
      </c>
      <c r="U20" s="29">
        <f>IF(AND(R20=0,S20=0,T20=0),0,IF(AND(R20=0,S20=0),T20/1,IF(AND(R20=0,T20=0),S20/1,IF(AND(S20=0,T20=0),R20/1,IF(R20=0,FLOOR((S20+T20)/2,0.1),IF(S20=0,(R20+T20)/2,IF(T20=0,(S20+R20)/2,FLOOR(((R20+S20+T20)/3),0.1))))))))</f>
        <v/>
      </c>
      <c r="V20" s="21" t="n">
        <v>23</v>
      </c>
      <c r="W20" s="21" t="n">
        <v>45</v>
      </c>
      <c r="X20" s="27">
        <f>SUM(V20:W20)</f>
        <v/>
      </c>
      <c r="Y20" s="28" t="n">
        <v>79</v>
      </c>
      <c r="Z20" s="28" t="n">
        <v>52</v>
      </c>
      <c r="AA20" s="29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1" t="n">
        <v>20</v>
      </c>
      <c r="AC20" s="21" t="n">
        <v>48</v>
      </c>
      <c r="AD20" s="27">
        <f>SUM(AB20:AC20)</f>
        <v/>
      </c>
      <c r="AE20" s="28" t="n">
        <v>87</v>
      </c>
      <c r="AF20" s="28" t="n">
        <v>78</v>
      </c>
      <c r="AG20" s="29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1" t="n">
        <v>27</v>
      </c>
      <c r="AI20" s="21" t="n">
        <v>43</v>
      </c>
      <c r="AJ20" s="27">
        <f>SUM(AH20:AI20)</f>
        <v/>
      </c>
      <c r="AK20" s="28" t="n">
        <v>68</v>
      </c>
      <c r="AL20" s="28" t="n">
        <v>34</v>
      </c>
      <c r="AM20" s="29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1" t="n"/>
      <c r="AO20" s="21" t="n"/>
      <c r="AP20" s="27">
        <f>SUM(AN20:AO20)</f>
        <v/>
      </c>
      <c r="AQ20" s="28" t="n"/>
      <c r="AR20" s="30" t="n"/>
      <c r="AS20" s="29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1" t="n">
        <v>12</v>
      </c>
      <c r="AU20" s="21" t="n">
        <v>40</v>
      </c>
      <c r="AV20" s="27">
        <f>SUM(AT20:AU20)</f>
        <v/>
      </c>
      <c r="AW20" s="28" t="n">
        <v>48</v>
      </c>
      <c r="AX20" s="30" t="n">
        <v>34</v>
      </c>
      <c r="AY20" s="29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1" t="n">
        <v>23</v>
      </c>
      <c r="BA20" s="21" t="n">
        <v>34</v>
      </c>
      <c r="BB20" s="27">
        <f>SUM(AZ20:BA20)</f>
        <v/>
      </c>
      <c r="BC20" s="28" t="n">
        <v>55</v>
      </c>
      <c r="BD20" s="28" t="n">
        <v>56</v>
      </c>
      <c r="BE20" s="29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1" t="n">
        <v>16</v>
      </c>
      <c r="BG20" s="21" t="n">
        <v>37</v>
      </c>
      <c r="BH20" s="27">
        <f>SUM(BF20:BG20)</f>
        <v/>
      </c>
      <c r="BI20" s="28" t="n">
        <v>51</v>
      </c>
      <c r="BJ20" s="28" t="n">
        <v>44</v>
      </c>
      <c r="BK20" s="29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1" t="n">
        <v>22</v>
      </c>
      <c r="BM20" s="21" t="n">
        <v>30</v>
      </c>
      <c r="BN20" s="27">
        <f>SUM(BL20:BM20)</f>
        <v/>
      </c>
      <c r="BO20" s="28" t="n">
        <v>51</v>
      </c>
      <c r="BP20" s="31" t="n">
        <v>59</v>
      </c>
      <c r="BQ20" s="29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1" t="n"/>
      <c r="BS20" s="21" t="n"/>
      <c r="BT20" s="27">
        <f>SUM(BR20:BS20)</f>
        <v/>
      </c>
      <c r="BU20" s="28" t="n"/>
      <c r="BV20" s="31" t="n"/>
      <c r="BW20" s="29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1" t="n">
        <v>24</v>
      </c>
      <c r="BY20" s="21" t="n">
        <v>29</v>
      </c>
      <c r="BZ20" s="27">
        <f>SUM(BX20:BY20)</f>
        <v/>
      </c>
      <c r="CA20" s="28" t="n">
        <v>51</v>
      </c>
      <c r="CB20" s="31" t="n">
        <v>41</v>
      </c>
      <c r="CC20" s="29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1" t="n">
        <v>19</v>
      </c>
      <c r="CE20" s="21" t="n">
        <v>33</v>
      </c>
      <c r="CF20" s="27">
        <f>SUM(CD20:CE20)</f>
        <v/>
      </c>
      <c r="CG20" s="28" t="n">
        <v>55</v>
      </c>
      <c r="CH20" s="31" t="n">
        <v>40</v>
      </c>
      <c r="CI20" s="29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1" t="n"/>
      <c r="CK20" s="21" t="n"/>
      <c r="CL20" s="27">
        <f>SUM(CJ20:CK20)</f>
        <v/>
      </c>
      <c r="CM20" s="28" t="n"/>
      <c r="CN20" s="31" t="n"/>
      <c r="CO20" s="29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1" t="n"/>
      <c r="CQ20" s="21" t="n"/>
      <c r="CR20" s="27">
        <f>SUM(CP20:CQ20)</f>
        <v/>
      </c>
      <c r="CS20" s="28" t="n"/>
      <c r="CT20" s="31" t="n"/>
      <c r="CU20" s="29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1" t="n">
        <v>22</v>
      </c>
      <c r="CW20" s="21" t="n">
        <v>23</v>
      </c>
      <c r="CX20" s="27">
        <f>SUM(CV20:CW20)</f>
        <v/>
      </c>
      <c r="CY20" s="28" t="n">
        <v>51</v>
      </c>
      <c r="CZ20" s="31" t="n">
        <v>48</v>
      </c>
      <c r="DA20" s="29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1" t="n"/>
      <c r="DC20" s="21" t="n"/>
      <c r="DD20" s="27">
        <f>SUM(DB20:DC20)</f>
        <v/>
      </c>
      <c r="DE20" s="28" t="n"/>
      <c r="DF20" s="31" t="n"/>
      <c r="DG20" s="29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34">
        <f>SUM(O20,U20,AA20,AG20,AM20,AS20,AY20,BE20,BK20,BQ20,BW20,CC20,CI20,CO20,CU20,DA20,DG20)</f>
        <v/>
      </c>
      <c r="DI20" s="39">
        <f>RANK(DH20,DH$4:DH$503)</f>
        <v/>
      </c>
      <c r="DJ20" s="40" t="inlineStr">
        <is>
          <t>GOOD(4)</t>
        </is>
      </c>
      <c r="DK20" s="40" t="inlineStr">
        <is>
          <t>AVERAGE(3)</t>
        </is>
      </c>
      <c r="DL20" s="40" t="inlineStr">
        <is>
          <t>AVERAGE(3)</t>
        </is>
      </c>
      <c r="DM20" s="40" t="inlineStr">
        <is>
          <t>GOOD(4)</t>
        </is>
      </c>
      <c r="DN20" s="19" t="inlineStr">
        <is>
          <t>GOOD(4)</t>
        </is>
      </c>
      <c r="DO20" s="40" t="inlineStr">
        <is>
          <t>AVERAGE(3)</t>
        </is>
      </c>
      <c r="DP20" s="40" t="inlineStr">
        <is>
          <t>GOOD(4)</t>
        </is>
      </c>
      <c r="DQ20" s="40" t="inlineStr">
        <is>
          <t>GOOD(4)</t>
        </is>
      </c>
      <c r="DR20" s="43" t="inlineStr">
        <is>
          <t>2024/2025</t>
        </is>
      </c>
      <c r="DS20" s="45" t="inlineStr">
        <is>
          <t>THIRD</t>
        </is>
      </c>
      <c r="DT20" s="40" t="inlineStr">
        <is>
          <t>GOOD(4)</t>
        </is>
      </c>
      <c r="DU20" s="40" t="inlineStr">
        <is>
          <t>AVERAGE(3)</t>
        </is>
      </c>
      <c r="DV20" s="40" t="inlineStr">
        <is>
          <t>GOOD(4)</t>
        </is>
      </c>
      <c r="DW20" s="40" t="inlineStr">
        <is>
          <t>GOOD(4)</t>
        </is>
      </c>
      <c r="DX20" s="40" t="inlineStr">
        <is>
          <t>GOOD(4)</t>
        </is>
      </c>
      <c r="DY20" s="40" t="inlineStr">
        <is>
          <t>GOOD(4)</t>
        </is>
      </c>
      <c r="DZ20" s="53" t="inlineStr">
        <is>
          <t>AVERAGE(3)</t>
        </is>
      </c>
      <c r="EA20" s="54" t="inlineStr">
        <is>
          <t>Needs to focus more during lessons to achieve full potential.</t>
        </is>
      </c>
      <c r="EB20" s="55" t="inlineStr">
        <is>
          <t>Promoted to JSS2</t>
        </is>
      </c>
      <c r="EC20" s="56" t="inlineStr">
        <is>
          <t>MR. RAHEEM A.A</t>
        </is>
      </c>
      <c r="ED20" s="57" t="inlineStr">
        <is>
          <t>Next Term Begins on Monday, 15th September, 2025</t>
        </is>
      </c>
    </row>
    <row r="21" ht="30.6" customHeight="1" s="6">
      <c r="A21" s="18" t="n">
        <v>18</v>
      </c>
      <c r="B21" s="19" t="inlineStr">
        <is>
          <t xml:space="preserve">ODENIBI EZRA </t>
        </is>
      </c>
      <c r="C21" s="20" t="inlineStr">
        <is>
          <t>1941</t>
        </is>
      </c>
      <c r="D21" s="128" t="inlineStr">
        <is>
          <t>Male</t>
        </is>
      </c>
      <c r="E21" s="21" t="inlineStr">
        <is>
          <t>JSS 1B</t>
        </is>
      </c>
      <c r="F21" s="21" t="n">
        <v>39</v>
      </c>
      <c r="G21" s="21" t="n">
        <v>122</v>
      </c>
      <c r="H21" s="22" t="n">
        <v>112</v>
      </c>
      <c r="I21" s="26">
        <f>G21-H21</f>
        <v/>
      </c>
      <c r="J21" s="21" t="n">
        <v>26</v>
      </c>
      <c r="K21" s="21" t="n">
        <v>50</v>
      </c>
      <c r="L21" s="27">
        <f>SUM(J21:K21)</f>
        <v/>
      </c>
      <c r="M21" s="28" t="n">
        <v>75</v>
      </c>
      <c r="N21" s="28" t="n">
        <v>56</v>
      </c>
      <c r="O21" s="29">
        <f>IF(AND(L21=0,M21=0,N21=0),0,IF(AND(L21=0,M21=0),N21/1,IF(AND(L21=0,N21=0),M21/1,IF(AND(M21=0,N21=0),L21/1,IF(L21=0,FLOOR((M21+N21)/2,0.1),IF(M21=0,(L21+N21)/2,IF(N21=0,(M21+L21)/2,FLOOR(((L21+M21+N21)/3),0.1))))))))</f>
        <v/>
      </c>
      <c r="P21" s="21" t="n">
        <v>28</v>
      </c>
      <c r="Q21" s="21" t="n">
        <v>46</v>
      </c>
      <c r="R21" s="27">
        <f>SUM(P21:Q21)</f>
        <v/>
      </c>
      <c r="S21" s="28" t="n">
        <v>82</v>
      </c>
      <c r="T21" s="28" t="n">
        <v>69</v>
      </c>
      <c r="U21" s="29">
        <f>IF(AND(R21=0,S21=0,T21=0),0,IF(AND(R21=0,S21=0),T21/1,IF(AND(R21=0,T21=0),S21/1,IF(AND(S21=0,T21=0),R21/1,IF(R21=0,FLOOR((S21+T21)/2,0.1),IF(S21=0,(R21+T21)/2,IF(T21=0,(S21+R21)/2,FLOOR(((R21+S21+T21)/3),0.1))))))))</f>
        <v/>
      </c>
      <c r="V21" s="21" t="n">
        <v>26</v>
      </c>
      <c r="W21" s="21" t="n">
        <v>50</v>
      </c>
      <c r="X21" s="27">
        <f>SUM(V21:W21)</f>
        <v/>
      </c>
      <c r="Y21" s="28" t="n">
        <v>75</v>
      </c>
      <c r="Z21" s="28" t="n">
        <v>70</v>
      </c>
      <c r="AA21" s="29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1" t="n">
        <v>9</v>
      </c>
      <c r="AC21" s="21" t="n">
        <v>44</v>
      </c>
      <c r="AD21" s="27">
        <f>SUM(AB21:AC21)</f>
        <v/>
      </c>
      <c r="AE21" s="28" t="n">
        <v>47</v>
      </c>
      <c r="AF21" s="28" t="n">
        <v>58</v>
      </c>
      <c r="AG21" s="29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1" t="n">
        <v>26</v>
      </c>
      <c r="AI21" s="21" t="n">
        <v>65</v>
      </c>
      <c r="AJ21" s="27">
        <f>SUM(AH21:AI21)</f>
        <v/>
      </c>
      <c r="AK21" s="28" t="n">
        <v>73</v>
      </c>
      <c r="AL21" s="28" t="n">
        <v>78</v>
      </c>
      <c r="AM21" s="29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1" t="n"/>
      <c r="AO21" s="21" t="n"/>
      <c r="AP21" s="27">
        <f>SUM(AN21:AO21)</f>
        <v/>
      </c>
      <c r="AQ21" s="28" t="n"/>
      <c r="AR21" s="30" t="n"/>
      <c r="AS21" s="29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1" t="n">
        <v>30</v>
      </c>
      <c r="AU21" s="21" t="n">
        <v>51</v>
      </c>
      <c r="AV21" s="27">
        <f>SUM(AT21:AU21)</f>
        <v/>
      </c>
      <c r="AW21" s="28" t="n">
        <v>58</v>
      </c>
      <c r="AX21" s="30" t="n">
        <v>91</v>
      </c>
      <c r="AY21" s="29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1" t="n">
        <v>26</v>
      </c>
      <c r="BA21" s="21" t="n">
        <v>64</v>
      </c>
      <c r="BB21" s="27">
        <f>SUM(AZ21:BA21)</f>
        <v/>
      </c>
      <c r="BC21" s="28" t="n">
        <v>72</v>
      </c>
      <c r="BD21" s="28" t="n">
        <v>81</v>
      </c>
      <c r="BE21" s="29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1" t="n">
        <v>15</v>
      </c>
      <c r="BG21" s="21" t="n">
        <v>50</v>
      </c>
      <c r="BH21" s="27">
        <f>SUM(BF21:BG21)</f>
        <v/>
      </c>
      <c r="BI21" s="28" t="n">
        <v>49</v>
      </c>
      <c r="BJ21" s="28" t="n">
        <v>73</v>
      </c>
      <c r="BK21" s="29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1" t="n">
        <v>20</v>
      </c>
      <c r="BM21" s="21" t="n">
        <v>54</v>
      </c>
      <c r="BN21" s="27">
        <f>SUM(BL21:BM21)</f>
        <v/>
      </c>
      <c r="BO21" s="28" t="n">
        <v>46</v>
      </c>
      <c r="BP21" s="31" t="n">
        <v>90</v>
      </c>
      <c r="BQ21" s="29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1" t="n"/>
      <c r="BS21" s="21" t="n"/>
      <c r="BT21" s="27">
        <f>SUM(BR21:BS21)</f>
        <v/>
      </c>
      <c r="BU21" s="28" t="n"/>
      <c r="BV21" s="31" t="n"/>
      <c r="BW21" s="29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1" t="n">
        <v>27</v>
      </c>
      <c r="BY21" s="21" t="n">
        <v>56</v>
      </c>
      <c r="BZ21" s="27">
        <f>SUM(BX21:BY21)</f>
        <v/>
      </c>
      <c r="CA21" s="28" t="n">
        <v>63</v>
      </c>
      <c r="CB21" s="31" t="n">
        <v>78</v>
      </c>
      <c r="CC21" s="29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1" t="n">
        <v>9</v>
      </c>
      <c r="CE21" s="21" t="n">
        <v>44</v>
      </c>
      <c r="CF21" s="27">
        <f>SUM(CD21:CE21)</f>
        <v/>
      </c>
      <c r="CG21" s="28" t="n">
        <v>47</v>
      </c>
      <c r="CH21" s="31" t="n">
        <v>58</v>
      </c>
      <c r="CI21" s="29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1" t="n"/>
      <c r="CK21" s="21" t="n"/>
      <c r="CL21" s="27">
        <f>SUM(CJ21:CK21)</f>
        <v/>
      </c>
      <c r="CM21" s="28" t="n"/>
      <c r="CN21" s="31" t="n"/>
      <c r="CO21" s="29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1" t="n"/>
      <c r="CQ21" s="21" t="n"/>
      <c r="CR21" s="27">
        <f>SUM(CP21:CQ21)</f>
        <v/>
      </c>
      <c r="CS21" s="28" t="n"/>
      <c r="CT21" s="31" t="n"/>
      <c r="CU21" s="29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1" t="n">
        <v>24</v>
      </c>
      <c r="CW21" s="21" t="n">
        <v>52</v>
      </c>
      <c r="CX21" s="27">
        <f>SUM(CV21:CW21)</f>
        <v/>
      </c>
      <c r="CY21" s="28" t="n">
        <v>93</v>
      </c>
      <c r="CZ21" s="31" t="n">
        <v>84</v>
      </c>
      <c r="DA21" s="29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1" t="n"/>
      <c r="DC21" s="21" t="n"/>
      <c r="DD21" s="27">
        <f>SUM(DB21:DC21)</f>
        <v/>
      </c>
      <c r="DE21" s="28" t="n"/>
      <c r="DF21" s="31" t="n"/>
      <c r="DG21" s="29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34">
        <f>SUM(O21,U21,AA21,AG21,AM21,AS21,AY21,BE21,BK21,BQ21,BW21,CC21,CI21,CO21,CU21,DA21,DG21)</f>
        <v/>
      </c>
      <c r="DI21" s="39">
        <f>RANK(DH21,DH$4:DH$503)</f>
        <v/>
      </c>
      <c r="DJ21" s="40" t="inlineStr">
        <is>
          <t>GOOD(4)</t>
        </is>
      </c>
      <c r="DK21" s="40" t="inlineStr">
        <is>
          <t>GOOD(4)</t>
        </is>
      </c>
      <c r="DL21" s="40" t="inlineStr">
        <is>
          <t>AVERAGE(3)</t>
        </is>
      </c>
      <c r="DM21" s="40" t="inlineStr">
        <is>
          <t>AVERAGE(3)</t>
        </is>
      </c>
      <c r="DN21" s="19" t="inlineStr">
        <is>
          <t>GOOD(4)</t>
        </is>
      </c>
      <c r="DO21" s="40" t="inlineStr">
        <is>
          <t>GOOD(4)</t>
        </is>
      </c>
      <c r="DP21" s="40" t="inlineStr">
        <is>
          <t>AVERAGE(3)</t>
        </is>
      </c>
      <c r="DQ21" s="40" t="inlineStr">
        <is>
          <t>AVERAGE(3)</t>
        </is>
      </c>
      <c r="DR21" s="43" t="inlineStr">
        <is>
          <t>2024/2025</t>
        </is>
      </c>
      <c r="DS21" s="45" t="inlineStr">
        <is>
          <t>THIRD</t>
        </is>
      </c>
      <c r="DT21" s="40" t="inlineStr">
        <is>
          <t>GOOD(4)</t>
        </is>
      </c>
      <c r="DU21" s="40" t="inlineStr">
        <is>
          <t>AVERAGE(3)</t>
        </is>
      </c>
      <c r="DV21" s="40" t="inlineStr">
        <is>
          <t>AVERAGE(3)</t>
        </is>
      </c>
      <c r="DW21" s="40" t="inlineStr">
        <is>
          <t>EXCELLENT(5)</t>
        </is>
      </c>
      <c r="DX21" s="40" t="inlineStr">
        <is>
          <t>GOOD(4)</t>
        </is>
      </c>
      <c r="DY21" s="40" t="inlineStr">
        <is>
          <t>EXCELLENT(5)</t>
        </is>
      </c>
      <c r="DZ21" s="53" t="inlineStr">
        <is>
          <t>AVERAGE(3)</t>
        </is>
      </c>
      <c r="EA21" s="54" t="inlineStr">
        <is>
          <t>Requires additional support in understanding key concepts.</t>
        </is>
      </c>
      <c r="EB21" s="55" t="inlineStr">
        <is>
          <t>Promoted to JSS2</t>
        </is>
      </c>
      <c r="EC21" s="56" t="inlineStr">
        <is>
          <t>MR. RAHEEM A.A</t>
        </is>
      </c>
      <c r="ED21" s="57" t="inlineStr">
        <is>
          <t>Next Term Begins on Monday, 15th September, 2025</t>
        </is>
      </c>
    </row>
    <row r="22" ht="30.6" customHeight="1" s="6">
      <c r="A22" s="18" t="n">
        <v>19</v>
      </c>
      <c r="B22" s="19" t="inlineStr">
        <is>
          <t xml:space="preserve">OGUNDELE FELIX </t>
        </is>
      </c>
      <c r="C22" s="20" t="inlineStr">
        <is>
          <t>1948</t>
        </is>
      </c>
      <c r="D22" s="128" t="inlineStr">
        <is>
          <t>Male</t>
        </is>
      </c>
      <c r="E22" s="21" t="inlineStr">
        <is>
          <t>JSS 1B</t>
        </is>
      </c>
      <c r="F22" s="21" t="n">
        <v>39</v>
      </c>
      <c r="G22" s="21" t="n">
        <v>122</v>
      </c>
      <c r="H22" s="22" t="n">
        <v>30</v>
      </c>
      <c r="I22" s="26">
        <f>G22-H22</f>
        <v/>
      </c>
      <c r="J22" s="21" t="n">
        <v>13</v>
      </c>
      <c r="K22" s="21" t="n">
        <v>0</v>
      </c>
      <c r="L22" s="27">
        <f>SUM(J22:K22)</f>
        <v/>
      </c>
      <c r="M22" s="28" t="n">
        <v>75</v>
      </c>
      <c r="N22" s="28" t="n">
        <v>55</v>
      </c>
      <c r="O22" s="29">
        <f>IF(AND(L22=0,M22=0,N22=0),0,IF(AND(L22=0,M22=0),N22/1,IF(AND(L22=0,N22=0),M22/1,IF(AND(M22=0,N22=0),L22/1,IF(L22=0,FLOOR((M22+N22)/2,0.1),IF(M22=0,(L22+N22)/2,IF(N22=0,(M22+L22)/2,FLOOR(((L22+M22+N22)/3),0.1))))))))</f>
        <v/>
      </c>
      <c r="P22" s="21" t="n">
        <v>24</v>
      </c>
      <c r="Q22" s="21" t="n">
        <v>32</v>
      </c>
      <c r="R22" s="27">
        <f>SUM(P22:Q22)</f>
        <v/>
      </c>
      <c r="S22" s="28" t="n">
        <v>74</v>
      </c>
      <c r="T22" s="28" t="n">
        <v>65</v>
      </c>
      <c r="U22" s="29">
        <f>IF(AND(R22=0,S22=0,T22=0),0,IF(AND(R22=0,S22=0),T22/1,IF(AND(R22=0,T22=0),S22/1,IF(AND(S22=0,T22=0),R22/1,IF(R22=0,FLOOR((S22+T22)/2,0.1),IF(S22=0,(R22+T22)/2,IF(T22=0,(S22+R22)/2,FLOOR(((R22+S22+T22)/3),0.1))))))))</f>
        <v/>
      </c>
      <c r="V22" s="21" t="n">
        <v>13</v>
      </c>
      <c r="W22" s="21" t="n">
        <v>40</v>
      </c>
      <c r="X22" s="27">
        <f>SUM(V22:W22)</f>
        <v/>
      </c>
      <c r="Y22" s="28" t="n">
        <v>55</v>
      </c>
      <c r="Z22" s="28" t="n">
        <v>43</v>
      </c>
      <c r="AA22" s="29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1" t="n">
        <v>19</v>
      </c>
      <c r="AC22" s="21" t="n">
        <v>51</v>
      </c>
      <c r="AD22" s="27">
        <f>SUM(AB22:AC22)</f>
        <v/>
      </c>
      <c r="AE22" s="28" t="n">
        <v>65</v>
      </c>
      <c r="AF22" s="28" t="n">
        <v>68</v>
      </c>
      <c r="AG22" s="29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1" t="n">
        <v>26</v>
      </c>
      <c r="AI22" s="21" t="n">
        <v>29</v>
      </c>
      <c r="AJ22" s="27">
        <f>SUM(AH22:AI22)</f>
        <v/>
      </c>
      <c r="AK22" s="28" t="n">
        <v>32</v>
      </c>
      <c r="AL22" s="28" t="n">
        <v>67</v>
      </c>
      <c r="AM22" s="29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1" t="n"/>
      <c r="AO22" s="21" t="n"/>
      <c r="AP22" s="27">
        <f>SUM(AN22:AO22)</f>
        <v/>
      </c>
      <c r="AQ22" s="28" t="n"/>
      <c r="AR22" s="30" t="n"/>
      <c r="AS22" s="29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1" t="n">
        <v>20</v>
      </c>
      <c r="AU22" s="21" t="n">
        <v>39</v>
      </c>
      <c r="AV22" s="27">
        <f>SUM(AT22:AU22)</f>
        <v/>
      </c>
      <c r="AW22" s="28" t="n">
        <v>35</v>
      </c>
      <c r="AX22" s="30" t="n">
        <v>27</v>
      </c>
      <c r="AY22" s="29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1" t="n">
        <v>23</v>
      </c>
      <c r="BA22" s="21" t="n">
        <v>37</v>
      </c>
      <c r="BB22" s="27">
        <f>SUM(AZ22:BA22)</f>
        <v/>
      </c>
      <c r="BC22" s="28" t="n">
        <v>57</v>
      </c>
      <c r="BD22" s="28" t="n">
        <v>58</v>
      </c>
      <c r="BE22" s="29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1" t="n">
        <v>16</v>
      </c>
      <c r="BG22" s="21" t="n">
        <v>43</v>
      </c>
      <c r="BH22" s="27">
        <f>SUM(BF22:BG22)</f>
        <v/>
      </c>
      <c r="BI22" s="28" t="n">
        <v>47</v>
      </c>
      <c r="BJ22" s="28" t="n">
        <v>64</v>
      </c>
      <c r="BK22" s="29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1" t="n">
        <v>18</v>
      </c>
      <c r="BM22" s="21" t="n">
        <v>32</v>
      </c>
      <c r="BN22" s="27">
        <f>SUM(BL22:BM22)</f>
        <v/>
      </c>
      <c r="BO22" s="28" t="n">
        <v>33</v>
      </c>
      <c r="BP22" s="31" t="n">
        <v>49</v>
      </c>
      <c r="BQ22" s="29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1" t="n"/>
      <c r="BS22" s="21" t="n"/>
      <c r="BT22" s="27">
        <f>SUM(BR22:BS22)</f>
        <v/>
      </c>
      <c r="BU22" s="28" t="n"/>
      <c r="BV22" s="31" t="n"/>
      <c r="BW22" s="29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1" t="n">
        <v>24</v>
      </c>
      <c r="BY22" s="21" t="n">
        <v>29</v>
      </c>
      <c r="BZ22" s="27">
        <f>SUM(BX22:BY22)</f>
        <v/>
      </c>
      <c r="CA22" s="28" t="n">
        <v>51</v>
      </c>
      <c r="CB22" s="31" t="n">
        <v>41</v>
      </c>
      <c r="CC22" s="29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1" t="n">
        <v>7</v>
      </c>
      <c r="CE22" s="21" t="n">
        <v>49</v>
      </c>
      <c r="CF22" s="27">
        <f>SUM(CD22:CE22)</f>
        <v/>
      </c>
      <c r="CG22" s="28" t="n">
        <v>24</v>
      </c>
      <c r="CH22" s="31" t="n">
        <v>34</v>
      </c>
      <c r="CI22" s="29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1" t="n"/>
      <c r="CK22" s="21" t="n"/>
      <c r="CL22" s="27">
        <f>SUM(CJ22:CK22)</f>
        <v/>
      </c>
      <c r="CM22" s="28" t="n"/>
      <c r="CN22" s="31" t="n"/>
      <c r="CO22" s="29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1" t="n"/>
      <c r="CQ22" s="21" t="n"/>
      <c r="CR22" s="27">
        <f>SUM(CP22:CQ22)</f>
        <v/>
      </c>
      <c r="CS22" s="28" t="n"/>
      <c r="CT22" s="31" t="n"/>
      <c r="CU22" s="29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1" t="n">
        <v>26</v>
      </c>
      <c r="CW22" s="21" t="n">
        <v>30</v>
      </c>
      <c r="CX22" s="27">
        <f>SUM(CV22:CW22)</f>
        <v/>
      </c>
      <c r="CY22" s="28" t="n">
        <v>46</v>
      </c>
      <c r="CZ22" s="31" t="n">
        <v>51</v>
      </c>
      <c r="DA22" s="29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1" t="n"/>
      <c r="DC22" s="21" t="n"/>
      <c r="DD22" s="27">
        <f>SUM(DB22:DC22)</f>
        <v/>
      </c>
      <c r="DE22" s="28" t="n"/>
      <c r="DF22" s="31" t="n"/>
      <c r="DG22" s="29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34">
        <f>SUM(O22,U22,AA22,AG22,AM22,AS22,AY22,BE22,BK22,BQ22,BW22,CC22,CI22,CO22,CU22,DA22,DG22)</f>
        <v/>
      </c>
      <c r="DI22" s="39">
        <f>RANK(DH22,DH$4:DH$503)</f>
        <v/>
      </c>
      <c r="DJ22" s="40" t="inlineStr">
        <is>
          <t>FAIR(1)</t>
        </is>
      </c>
      <c r="DK22" s="40" t="inlineStr">
        <is>
          <t>GOOD(4)</t>
        </is>
      </c>
      <c r="DL22" s="40" t="inlineStr">
        <is>
          <t>AVERAGE(3)</t>
        </is>
      </c>
      <c r="DM22" s="40" t="inlineStr">
        <is>
          <t>GOOD(4)</t>
        </is>
      </c>
      <c r="DN22" s="19" t="inlineStr">
        <is>
          <t>AVERAGE(3)</t>
        </is>
      </c>
      <c r="DO22" s="40" t="inlineStr">
        <is>
          <t>AVERAGE(3)</t>
        </is>
      </c>
      <c r="DP22" s="40" t="inlineStr">
        <is>
          <t>AVERAGE(3)</t>
        </is>
      </c>
      <c r="DQ22" s="40" t="inlineStr">
        <is>
          <t>AVERAGE(3)</t>
        </is>
      </c>
      <c r="DR22" s="43" t="inlineStr">
        <is>
          <t>2024/2025</t>
        </is>
      </c>
      <c r="DS22" s="45" t="inlineStr">
        <is>
          <t>THIRD</t>
        </is>
      </c>
      <c r="DT22" s="40" t="inlineStr">
        <is>
          <t>AVERAGE(3)</t>
        </is>
      </c>
      <c r="DU22" s="40" t="inlineStr">
        <is>
          <t>GOOD(4)</t>
        </is>
      </c>
      <c r="DV22" s="40" t="inlineStr">
        <is>
          <t>BELOW AVERAGE(2)</t>
        </is>
      </c>
      <c r="DW22" s="40" t="inlineStr">
        <is>
          <t>EXCELLENT(5)</t>
        </is>
      </c>
      <c r="DX22" s="40" t="inlineStr">
        <is>
          <t>AVERAGE(3)</t>
        </is>
      </c>
      <c r="DY22" s="40" t="inlineStr">
        <is>
          <t>GOOD(4)</t>
        </is>
      </c>
      <c r="DZ22" s="53" t="inlineStr">
        <is>
          <t>AVERAGE(3)</t>
        </is>
      </c>
      <c r="EA22" s="54" t="inlineStr">
        <is>
          <t>Should work on controlling impulsive behavior in class.</t>
        </is>
      </c>
      <c r="EB22" s="55" t="inlineStr">
        <is>
          <t>Promoted to JSS2</t>
        </is>
      </c>
      <c r="EC22" s="56" t="inlineStr">
        <is>
          <t>MR. RAHEEM A.A</t>
        </is>
      </c>
      <c r="ED22" s="57" t="inlineStr">
        <is>
          <t>Next Term Begins on Monday, 15th September, 2025</t>
        </is>
      </c>
    </row>
    <row r="23" ht="30.6" customHeight="1" s="6">
      <c r="A23" s="18" t="n">
        <v>20</v>
      </c>
      <c r="B23" s="19" t="inlineStr">
        <is>
          <t xml:space="preserve">OGUNDIRAN REBECCA </t>
        </is>
      </c>
      <c r="C23" s="20" t="inlineStr">
        <is>
          <t>1791</t>
        </is>
      </c>
      <c r="D23" s="128" t="inlineStr">
        <is>
          <t>Female</t>
        </is>
      </c>
      <c r="E23" s="21" t="inlineStr">
        <is>
          <t>JSS 1B</t>
        </is>
      </c>
      <c r="F23" s="21" t="n">
        <v>39</v>
      </c>
      <c r="G23" s="21" t="n">
        <v>122</v>
      </c>
      <c r="H23" s="22" t="n">
        <v>100</v>
      </c>
      <c r="I23" s="26">
        <f>G23-H23</f>
        <v/>
      </c>
      <c r="J23" s="21" t="n">
        <v>18</v>
      </c>
      <c r="K23" s="21" t="n">
        <v>12</v>
      </c>
      <c r="L23" s="27">
        <f>SUM(J23:K23)</f>
        <v/>
      </c>
      <c r="M23" s="28" t="n">
        <v>24</v>
      </c>
      <c r="N23" s="28" t="n">
        <v>12</v>
      </c>
      <c r="O23" s="29">
        <f>IF(AND(L23=0,M23=0,N23=0),0,IF(AND(L23=0,M23=0),N23/1,IF(AND(L23=0,N23=0),M23/1,IF(AND(M23=0,N23=0),L23/1,IF(L23=0,FLOOR((M23+N23)/2,0.1),IF(M23=0,(L23+N23)/2,IF(N23=0,(M23+L23)/2,FLOOR(((L23+M23+N23)/3),0.1))))))))</f>
        <v/>
      </c>
      <c r="P23" s="21" t="n">
        <v>14</v>
      </c>
      <c r="Q23" s="21" t="n">
        <v>28</v>
      </c>
      <c r="R23" s="27">
        <f>SUM(P23:Q23)</f>
        <v/>
      </c>
      <c r="S23" s="28" t="n">
        <v>70</v>
      </c>
      <c r="T23" s="28" t="n">
        <v>40</v>
      </c>
      <c r="U23" s="29">
        <f>IF(AND(R23=0,S23=0,T23=0),0,IF(AND(R23=0,S23=0),T23/1,IF(AND(R23=0,T23=0),S23/1,IF(AND(S23=0,T23=0),R23/1,IF(R23=0,FLOOR((S23+T23)/2,0.1),IF(S23=0,(R23+T23)/2,IF(T23=0,(S23+R23)/2,FLOOR(((R23+S23+T23)/3),0.1))))))))</f>
        <v/>
      </c>
      <c r="V23" s="21" t="n">
        <v>14</v>
      </c>
      <c r="W23" s="21" t="n">
        <v>30</v>
      </c>
      <c r="X23" s="27">
        <f>SUM(V23:W23)</f>
        <v/>
      </c>
      <c r="Y23" s="28" t="n">
        <v>34</v>
      </c>
      <c r="Z23" s="28" t="n">
        <v>12</v>
      </c>
      <c r="AA23" s="29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1" t="n">
        <v>13</v>
      </c>
      <c r="AC23" s="21" t="n">
        <v>28</v>
      </c>
      <c r="AD23" s="27">
        <f>SUM(AB23:AC23)</f>
        <v/>
      </c>
      <c r="AE23" s="28" t="n">
        <v>28</v>
      </c>
      <c r="AF23" s="28" t="n">
        <v>28</v>
      </c>
      <c r="AG23" s="29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1" t="n">
        <v>19</v>
      </c>
      <c r="AI23" s="21" t="n">
        <v>20</v>
      </c>
      <c r="AJ23" s="27">
        <f>SUM(AH23:AI23)</f>
        <v/>
      </c>
      <c r="AK23" s="28" t="n">
        <v>0</v>
      </c>
      <c r="AL23" s="28" t="n">
        <v>20</v>
      </c>
      <c r="AM23" s="29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1" t="n"/>
      <c r="AO23" s="21" t="n"/>
      <c r="AP23" s="27">
        <f>SUM(AN23:AO23)</f>
        <v/>
      </c>
      <c r="AQ23" s="28" t="n"/>
      <c r="AR23" s="30" t="n"/>
      <c r="AS23" s="29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1" t="n">
        <v>15</v>
      </c>
      <c r="AU23" s="21" t="n">
        <v>24</v>
      </c>
      <c r="AV23" s="27">
        <f>SUM(AT23:AU23)</f>
        <v/>
      </c>
      <c r="AW23" s="28" t="n">
        <v>39</v>
      </c>
      <c r="AX23" s="30" t="n">
        <v>39</v>
      </c>
      <c r="AY23" s="29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1" t="n">
        <v>9</v>
      </c>
      <c r="BA23" s="21" t="n">
        <v>30</v>
      </c>
      <c r="BB23" s="27">
        <f>SUM(AZ23:BA23)</f>
        <v/>
      </c>
      <c r="BC23" s="28" t="n">
        <v>39</v>
      </c>
      <c r="BD23" s="28" t="n">
        <v>39</v>
      </c>
      <c r="BE23" s="29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1" t="n">
        <v>5</v>
      </c>
      <c r="BG23" s="21" t="n">
        <v>12</v>
      </c>
      <c r="BH23" s="27">
        <f>SUM(BF23:BG23)</f>
        <v/>
      </c>
      <c r="BI23" s="28" t="n">
        <v>17</v>
      </c>
      <c r="BJ23" s="28" t="n">
        <v>17</v>
      </c>
      <c r="BK23" s="29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1" t="n">
        <v>15</v>
      </c>
      <c r="BM23" s="21" t="n">
        <v>22</v>
      </c>
      <c r="BN23" s="27">
        <f>SUM(BL23:BM23)</f>
        <v/>
      </c>
      <c r="BO23" s="28" t="n">
        <v>45</v>
      </c>
      <c r="BP23" s="31" t="n">
        <v>30</v>
      </c>
      <c r="BQ23" s="29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1" t="n"/>
      <c r="BS23" s="21" t="n"/>
      <c r="BT23" s="27">
        <f>SUM(BR23:BS23)</f>
        <v/>
      </c>
      <c r="BU23" s="28" t="n"/>
      <c r="BV23" s="31" t="n"/>
      <c r="BW23" s="29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1" t="n">
        <v>29</v>
      </c>
      <c r="BY23" s="21" t="n">
        <v>35</v>
      </c>
      <c r="BZ23" s="27">
        <f>SUM(BX23:BY23)</f>
        <v/>
      </c>
      <c r="CA23" s="28" t="n">
        <v>57</v>
      </c>
      <c r="CB23" s="31" t="n">
        <v>40</v>
      </c>
      <c r="CC23" s="29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1" t="n">
        <v>7</v>
      </c>
      <c r="CE23" s="21" t="n">
        <v>15</v>
      </c>
      <c r="CF23" s="27">
        <f>SUM(CD23:CE23)</f>
        <v/>
      </c>
      <c r="CG23" s="28" t="n">
        <v>13</v>
      </c>
      <c r="CH23" s="31" t="n">
        <v>12</v>
      </c>
      <c r="CI23" s="29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1" t="n"/>
      <c r="CK23" s="21" t="n"/>
      <c r="CL23" s="27">
        <f>SUM(CJ23:CK23)</f>
        <v/>
      </c>
      <c r="CM23" s="28" t="n"/>
      <c r="CN23" s="31" t="n"/>
      <c r="CO23" s="29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1" t="n"/>
      <c r="CQ23" s="21" t="n"/>
      <c r="CR23" s="27">
        <f>SUM(CP23:CQ23)</f>
        <v/>
      </c>
      <c r="CS23" s="28" t="n"/>
      <c r="CT23" s="31" t="n"/>
      <c r="CU23" s="29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1" t="n">
        <v>10</v>
      </c>
      <c r="CW23" s="21" t="n">
        <v>15</v>
      </c>
      <c r="CX23" s="27">
        <f>SUM(CV23:CW23)</f>
        <v/>
      </c>
      <c r="CY23" s="28" t="n">
        <v>10</v>
      </c>
      <c r="CZ23" s="31" t="n">
        <v>12</v>
      </c>
      <c r="DA23" s="29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1" t="n"/>
      <c r="DC23" s="21" t="n"/>
      <c r="DD23" s="27">
        <f>SUM(DB23:DC23)</f>
        <v/>
      </c>
      <c r="DE23" s="28" t="n"/>
      <c r="DF23" s="31" t="n"/>
      <c r="DG23" s="29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34">
        <f>SUM(O23,U23,AA23,AG23,AM23,AS23,AY23,BE23,BK23,BQ23,BW23,CC23,CI23,CO23,CU23,DA23,DG23)</f>
        <v/>
      </c>
      <c r="DI23" s="39">
        <f>RANK(DH23,DH$4:DH$503)</f>
        <v/>
      </c>
      <c r="DJ23" s="40" t="inlineStr">
        <is>
          <t>AVERAGE(3)</t>
        </is>
      </c>
      <c r="DK23" s="40" t="inlineStr">
        <is>
          <t>GOOD(4)</t>
        </is>
      </c>
      <c r="DL23" s="40" t="inlineStr">
        <is>
          <t>GOOD(4)</t>
        </is>
      </c>
      <c r="DM23" s="40" t="inlineStr">
        <is>
          <t>GOOD(4)</t>
        </is>
      </c>
      <c r="DN23" s="19" t="inlineStr">
        <is>
          <t>GOOD(4)</t>
        </is>
      </c>
      <c r="DO23" s="40" t="inlineStr">
        <is>
          <t>AVERAGE(3)</t>
        </is>
      </c>
      <c r="DP23" s="40" t="inlineStr">
        <is>
          <t>GOOD(4)</t>
        </is>
      </c>
      <c r="DQ23" s="40" t="inlineStr">
        <is>
          <t>GOOD(4)</t>
        </is>
      </c>
      <c r="DR23" s="43" t="inlineStr">
        <is>
          <t>2024/2025</t>
        </is>
      </c>
      <c r="DS23" s="45" t="inlineStr">
        <is>
          <t>THIRD</t>
        </is>
      </c>
      <c r="DT23" s="40" t="inlineStr">
        <is>
          <t>GOOD(4)</t>
        </is>
      </c>
      <c r="DU23" s="40" t="inlineStr">
        <is>
          <t>GOOD(4)</t>
        </is>
      </c>
      <c r="DV23" s="40" t="inlineStr">
        <is>
          <t>GOOD(4)</t>
        </is>
      </c>
      <c r="DW23" s="40" t="inlineStr">
        <is>
          <t>GOOD(4)</t>
        </is>
      </c>
      <c r="DX23" s="40" t="inlineStr">
        <is>
          <t>GOOD(4)</t>
        </is>
      </c>
      <c r="DY23" s="40" t="inlineStr">
        <is>
          <t>GOOD(4)</t>
        </is>
      </c>
      <c r="DZ23" s="53" t="inlineStr">
        <is>
          <t>AVERAGE(3)</t>
        </is>
      </c>
      <c r="EA23" s="54" t="inlineStr">
        <is>
          <t>Demonstrates a positive attitude and respect for rules.</t>
        </is>
      </c>
      <c r="EB23" s="55" t="inlineStr">
        <is>
          <t>To repeat JSS1</t>
        </is>
      </c>
      <c r="EC23" s="56" t="inlineStr">
        <is>
          <t>MR. RAHEEM A.A</t>
        </is>
      </c>
      <c r="ED23" s="57" t="inlineStr">
        <is>
          <t>Next Term Begins on Monday, 15th September, 2025</t>
        </is>
      </c>
    </row>
    <row r="24" ht="30.6" customHeight="1" s="6">
      <c r="A24" s="18" t="n">
        <v>21</v>
      </c>
      <c r="B24" s="19" t="inlineStr">
        <is>
          <t>OGUNDIYA OJEDOYIN A.</t>
        </is>
      </c>
      <c r="C24" s="20" t="inlineStr">
        <is>
          <t>1945</t>
        </is>
      </c>
      <c r="D24" s="128" t="inlineStr">
        <is>
          <t>Female</t>
        </is>
      </c>
      <c r="E24" s="21" t="inlineStr">
        <is>
          <t>JSS 1B</t>
        </is>
      </c>
      <c r="F24" s="21" t="n">
        <v>39</v>
      </c>
      <c r="G24" s="21" t="n">
        <v>122</v>
      </c>
      <c r="H24" s="22" t="n">
        <v>92</v>
      </c>
      <c r="I24" s="26">
        <f>G24-H24</f>
        <v/>
      </c>
      <c r="J24" s="21" t="n">
        <v>22</v>
      </c>
      <c r="K24" s="21" t="n">
        <v>45</v>
      </c>
      <c r="L24" s="27">
        <f>SUM(J24:K24)</f>
        <v/>
      </c>
      <c r="M24" s="28" t="n">
        <v>62</v>
      </c>
      <c r="N24" s="28" t="n">
        <v>43</v>
      </c>
      <c r="O24" s="29">
        <f>IF(AND(L24=0,M24=0,N24=0),0,IF(AND(L24=0,M24=0),N24/1,IF(AND(L24=0,N24=0),M24/1,IF(AND(M24=0,N24=0),L24/1,IF(L24=0,FLOOR((M24+N24)/2,0.1),IF(M24=0,(L24+N24)/2,IF(N24=0,(M24+L24)/2,FLOOR(((L24+M24+N24)/3),0.1))))))))</f>
        <v/>
      </c>
      <c r="P24" s="21" t="n">
        <v>22</v>
      </c>
      <c r="Q24" s="21" t="n">
        <v>32</v>
      </c>
      <c r="R24" s="27">
        <f>SUM(P24:Q24)</f>
        <v/>
      </c>
      <c r="S24" s="28" t="n">
        <v>59</v>
      </c>
      <c r="T24" s="28" t="n">
        <v>63</v>
      </c>
      <c r="U24" s="29">
        <f>IF(AND(R24=0,S24=0,T24=0),0,IF(AND(R24=0,S24=0),T24/1,IF(AND(R24=0,T24=0),S24/1,IF(AND(S24=0,T24=0),R24/1,IF(R24=0,FLOOR((S24+T24)/2,0.1),IF(S24=0,(R24+T24)/2,IF(T24=0,(S24+R24)/2,FLOOR(((R24+S24+T24)/3),0.1))))))))</f>
        <v/>
      </c>
      <c r="V24" s="21" t="n">
        <v>23</v>
      </c>
      <c r="W24" s="21" t="n">
        <v>45</v>
      </c>
      <c r="X24" s="27">
        <f>SUM(V24:W24)</f>
        <v/>
      </c>
      <c r="Y24" s="28" t="n">
        <v>79</v>
      </c>
      <c r="Z24" s="28" t="n">
        <v>60</v>
      </c>
      <c r="AA24" s="29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1" t="n">
        <v>20</v>
      </c>
      <c r="AC24" s="21" t="n">
        <v>32</v>
      </c>
      <c r="AD24" s="27">
        <f>SUM(AB24:AC24)</f>
        <v/>
      </c>
      <c r="AE24" s="28" t="n">
        <v>74</v>
      </c>
      <c r="AF24" s="28" t="n">
        <v>63</v>
      </c>
      <c r="AG24" s="29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1" t="n">
        <v>28</v>
      </c>
      <c r="AI24" s="21" t="n">
        <v>34</v>
      </c>
      <c r="AJ24" s="27">
        <f>SUM(AH24:AI24)</f>
        <v/>
      </c>
      <c r="AK24" s="28" t="n">
        <v>71</v>
      </c>
      <c r="AL24" s="28" t="n">
        <v>81</v>
      </c>
      <c r="AM24" s="29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1" t="n"/>
      <c r="AO24" s="21" t="n"/>
      <c r="AP24" s="27">
        <f>SUM(AN24:AO24)</f>
        <v/>
      </c>
      <c r="AQ24" s="28" t="n"/>
      <c r="AR24" s="30" t="n"/>
      <c r="AS24" s="29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1" t="n">
        <v>20</v>
      </c>
      <c r="AU24" s="21" t="n">
        <v>31</v>
      </c>
      <c r="AV24" s="27">
        <f>SUM(AT24:AU24)</f>
        <v/>
      </c>
      <c r="AW24" s="28" t="n">
        <v>48</v>
      </c>
      <c r="AX24" s="30" t="n">
        <v>50</v>
      </c>
      <c r="AY24" s="29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1" t="n">
        <v>24</v>
      </c>
      <c r="BA24" s="21" t="n">
        <v>35</v>
      </c>
      <c r="BB24" s="27">
        <f>SUM(AZ24:BA24)</f>
        <v/>
      </c>
      <c r="BC24" s="28" t="n">
        <v>44</v>
      </c>
      <c r="BD24" s="28" t="n">
        <v>52</v>
      </c>
      <c r="BE24" s="29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1" t="n">
        <v>14</v>
      </c>
      <c r="BG24" s="21" t="n">
        <v>39</v>
      </c>
      <c r="BH24" s="27">
        <f>SUM(BF24:BG24)</f>
        <v/>
      </c>
      <c r="BI24" s="28" t="n">
        <v>47</v>
      </c>
      <c r="BJ24" s="28" t="n">
        <v>37</v>
      </c>
      <c r="BK24" s="29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1" t="n">
        <v>21</v>
      </c>
      <c r="BM24" s="21" t="n">
        <v>30</v>
      </c>
      <c r="BN24" s="27">
        <f>SUM(BL24:BM24)</f>
        <v/>
      </c>
      <c r="BO24" s="28" t="n">
        <v>38</v>
      </c>
      <c r="BP24" s="31" t="n">
        <v>40</v>
      </c>
      <c r="BQ24" s="29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1" t="n"/>
      <c r="BS24" s="21" t="n"/>
      <c r="BT24" s="27">
        <f>SUM(BR24:BS24)</f>
        <v/>
      </c>
      <c r="BU24" s="28" t="n"/>
      <c r="BV24" s="31" t="n"/>
      <c r="BW24" s="29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1" t="n">
        <v>29</v>
      </c>
      <c r="BY24" s="21" t="n">
        <v>35</v>
      </c>
      <c r="BZ24" s="27">
        <f>SUM(BX24:BY24)</f>
        <v/>
      </c>
      <c r="CA24" s="28" t="n">
        <v>57</v>
      </c>
      <c r="CB24" s="31" t="n">
        <v>40</v>
      </c>
      <c r="CC24" s="29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1" t="n">
        <v>21</v>
      </c>
      <c r="CE24" s="21" t="n">
        <v>34</v>
      </c>
      <c r="CF24" s="27">
        <f>SUM(CD24:CE24)</f>
        <v/>
      </c>
      <c r="CG24" s="28" t="n">
        <v>36</v>
      </c>
      <c r="CH24" s="31" t="n">
        <v>25</v>
      </c>
      <c r="CI24" s="29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1" t="n"/>
      <c r="CK24" s="21" t="n"/>
      <c r="CL24" s="27">
        <f>SUM(CJ24:CK24)</f>
        <v/>
      </c>
      <c r="CM24" s="28" t="n"/>
      <c r="CN24" s="31" t="n"/>
      <c r="CO24" s="29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1" t="n"/>
      <c r="CQ24" s="21" t="n"/>
      <c r="CR24" s="27">
        <f>SUM(CP24:CQ24)</f>
        <v/>
      </c>
      <c r="CS24" s="28" t="n"/>
      <c r="CT24" s="31" t="n"/>
      <c r="CU24" s="29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1" t="n">
        <v>24</v>
      </c>
      <c r="CW24" s="21" t="n">
        <v>31</v>
      </c>
      <c r="CX24" s="27">
        <f>SUM(CV24:CW24)</f>
        <v/>
      </c>
      <c r="CY24" s="28" t="n">
        <v>67</v>
      </c>
      <c r="CZ24" s="31" t="n">
        <v>61</v>
      </c>
      <c r="DA24" s="29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1" t="n"/>
      <c r="DC24" s="21" t="n"/>
      <c r="DD24" s="27">
        <f>SUM(DB24:DC24)</f>
        <v/>
      </c>
      <c r="DE24" s="28" t="n"/>
      <c r="DF24" s="31" t="n"/>
      <c r="DG24" s="29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34">
        <f>SUM(O24,U24,AA24,AG24,AM24,AS24,AY24,BE24,BK24,BQ24,BW24,CC24,CI24,CO24,CU24,DA24,DG24)</f>
        <v/>
      </c>
      <c r="DI24" s="39">
        <f>RANK(DH24,DH$4:DH$503)</f>
        <v/>
      </c>
      <c r="DJ24" s="40" t="inlineStr">
        <is>
          <t>AVERAGE(3)</t>
        </is>
      </c>
      <c r="DK24" s="40" t="inlineStr">
        <is>
          <t>AVERAGE(3)</t>
        </is>
      </c>
      <c r="DL24" s="40" t="inlineStr">
        <is>
          <t>GOOD(4)</t>
        </is>
      </c>
      <c r="DM24" s="40" t="inlineStr">
        <is>
          <t>GOOD(4)</t>
        </is>
      </c>
      <c r="DN24" s="19" t="inlineStr">
        <is>
          <t>GOOD(4)</t>
        </is>
      </c>
      <c r="DO24" s="40" t="inlineStr">
        <is>
          <t>AVERAGE(3)</t>
        </is>
      </c>
      <c r="DP24" s="40" t="inlineStr">
        <is>
          <t>AVERAGE(3)</t>
        </is>
      </c>
      <c r="DQ24" s="40" t="inlineStr">
        <is>
          <t>AVERAGE(3)</t>
        </is>
      </c>
      <c r="DR24" s="43" t="inlineStr">
        <is>
          <t>2024/2025</t>
        </is>
      </c>
      <c r="DS24" s="45" t="inlineStr">
        <is>
          <t>THIRD</t>
        </is>
      </c>
      <c r="DT24" s="40" t="inlineStr">
        <is>
          <t>GOOD(4)</t>
        </is>
      </c>
      <c r="DU24" s="40" t="inlineStr">
        <is>
          <t>GOOD(4)</t>
        </is>
      </c>
      <c r="DV24" s="40" t="inlineStr">
        <is>
          <t>GOOD(4)</t>
        </is>
      </c>
      <c r="DW24" s="40" t="inlineStr">
        <is>
          <t>EXCELLENT(5)</t>
        </is>
      </c>
      <c r="DX24" s="40" t="inlineStr">
        <is>
          <t>EXCELLENT(5)</t>
        </is>
      </c>
      <c r="DY24" s="40" t="inlineStr">
        <is>
          <t>AVERAGE(3)</t>
        </is>
      </c>
      <c r="DZ24" s="53" t="inlineStr">
        <is>
          <t>GOOD(4)</t>
        </is>
      </c>
      <c r="EA24" s="54" t="inlineStr">
        <is>
          <t>Needs to focus more during lessons to achieve full potential.</t>
        </is>
      </c>
      <c r="EB24" s="55" t="inlineStr">
        <is>
          <t>Promoted to JSS2</t>
        </is>
      </c>
      <c r="EC24" s="56" t="inlineStr">
        <is>
          <t>MR. RAHEEM A.A</t>
        </is>
      </c>
      <c r="ED24" s="57" t="inlineStr">
        <is>
          <t>Next Term Begins on Monday, 15th September, 2025</t>
        </is>
      </c>
    </row>
    <row r="25" ht="30.6" customHeight="1" s="6">
      <c r="A25" s="18" t="n">
        <v>22</v>
      </c>
      <c r="B25" s="19" t="inlineStr">
        <is>
          <t>OGUNDOKUN ODUNAYO F.</t>
        </is>
      </c>
      <c r="C25" s="20" t="inlineStr">
        <is>
          <t>1951</t>
        </is>
      </c>
      <c r="D25" s="128" t="inlineStr">
        <is>
          <t>Female</t>
        </is>
      </c>
      <c r="E25" s="21" t="inlineStr">
        <is>
          <t>JSS 1B</t>
        </is>
      </c>
      <c r="F25" s="21" t="n">
        <v>39</v>
      </c>
      <c r="G25" s="21" t="n">
        <v>122</v>
      </c>
      <c r="H25" s="22" t="n">
        <v>106</v>
      </c>
      <c r="I25" s="26">
        <f>G25-H25</f>
        <v/>
      </c>
      <c r="J25" s="21" t="n">
        <v>22</v>
      </c>
      <c r="K25" s="21" t="n">
        <v>14</v>
      </c>
      <c r="L25" s="27">
        <f>SUM(J25:K25)</f>
        <v/>
      </c>
      <c r="M25" s="28" t="n">
        <v>46</v>
      </c>
      <c r="N25" s="28" t="n">
        <v>28</v>
      </c>
      <c r="O25" s="29">
        <f>IF(AND(L25=0,M25=0,N25=0),0,IF(AND(L25=0,M25=0),N25/1,IF(AND(L25=0,N25=0),M25/1,IF(AND(M25=0,N25=0),L25/1,IF(L25=0,FLOOR((M25+N25)/2,0.1),IF(M25=0,(L25+N25)/2,IF(N25=0,(M25+L25)/2,FLOOR(((L25+M25+N25)/3),0.1))))))))</f>
        <v/>
      </c>
      <c r="P25" s="21" t="n">
        <v>20</v>
      </c>
      <c r="Q25" s="21" t="n">
        <v>28</v>
      </c>
      <c r="R25" s="27">
        <f>SUM(P25:Q25)</f>
        <v/>
      </c>
      <c r="S25" s="28" t="n">
        <v>57</v>
      </c>
      <c r="T25" s="28" t="n">
        <v>52</v>
      </c>
      <c r="U25" s="29">
        <f>IF(AND(R25=0,S25=0,T25=0),0,IF(AND(R25=0,S25=0),T25/1,IF(AND(R25=0,T25=0),S25/1,IF(AND(S25=0,T25=0),R25/1,IF(R25=0,FLOOR((S25+T25)/2,0.1),IF(S25=0,(R25+T25)/2,IF(T25=0,(S25+R25)/2,FLOOR(((R25+S25+T25)/3),0.1))))))))</f>
        <v/>
      </c>
      <c r="V25" s="21" t="n">
        <v>13</v>
      </c>
      <c r="W25" s="21" t="n">
        <v>45</v>
      </c>
      <c r="X25" s="27">
        <f>SUM(V25:W25)</f>
        <v/>
      </c>
      <c r="Y25" s="28" t="n">
        <v>55</v>
      </c>
      <c r="Z25" s="28" t="n">
        <v>43</v>
      </c>
      <c r="AA25" s="29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1" t="n">
        <v>20</v>
      </c>
      <c r="AC25" s="21" t="n">
        <v>30</v>
      </c>
      <c r="AD25" s="27">
        <f>SUM(AB25:AC25)</f>
        <v/>
      </c>
      <c r="AE25" s="28" t="n">
        <v>30</v>
      </c>
      <c r="AF25" s="28" t="n">
        <v>40</v>
      </c>
      <c r="AG25" s="29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1" t="n">
        <v>25</v>
      </c>
      <c r="AI25" s="21" t="n">
        <v>27</v>
      </c>
      <c r="AJ25" s="27">
        <f>SUM(AH25:AI25)</f>
        <v/>
      </c>
      <c r="AK25" s="28" t="n">
        <v>45</v>
      </c>
      <c r="AL25" s="28" t="n">
        <v>38</v>
      </c>
      <c r="AM25" s="29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1" t="n"/>
      <c r="AO25" s="21" t="n"/>
      <c r="AP25" s="27">
        <f>SUM(AN25:AO25)</f>
        <v/>
      </c>
      <c r="AQ25" s="28" t="n"/>
      <c r="AR25" s="30" t="n"/>
      <c r="AS25" s="29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1" t="n">
        <v>20</v>
      </c>
      <c r="AU25" s="21" t="n">
        <v>35</v>
      </c>
      <c r="AV25" s="27">
        <f>SUM(AT25:AU25)</f>
        <v/>
      </c>
      <c r="AW25" s="28" t="n">
        <v>31</v>
      </c>
      <c r="AX25" s="30" t="n">
        <v>27</v>
      </c>
      <c r="AY25" s="29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1" t="n">
        <v>22</v>
      </c>
      <c r="BA25" s="21" t="n">
        <v>28</v>
      </c>
      <c r="BB25" s="27">
        <f>SUM(AZ25:BA25)</f>
        <v/>
      </c>
      <c r="BC25" s="28" t="n">
        <v>38</v>
      </c>
      <c r="BD25" s="28" t="n">
        <v>44</v>
      </c>
      <c r="BE25" s="29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1" t="n">
        <v>18</v>
      </c>
      <c r="BG25" s="21" t="n">
        <v>35</v>
      </c>
      <c r="BH25" s="27">
        <f>SUM(BF25:BG25)</f>
        <v/>
      </c>
      <c r="BI25" s="28" t="n">
        <v>48</v>
      </c>
      <c r="BJ25" s="28" t="n">
        <v>51</v>
      </c>
      <c r="BK25" s="29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1" t="n">
        <v>17</v>
      </c>
      <c r="BM25" s="21" t="n">
        <v>34</v>
      </c>
      <c r="BN25" s="27">
        <f>SUM(BL25:BM25)</f>
        <v/>
      </c>
      <c r="BO25" s="28" t="n">
        <v>30</v>
      </c>
      <c r="BP25" s="31" t="n">
        <v>40</v>
      </c>
      <c r="BQ25" s="29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1" t="n"/>
      <c r="BS25" s="21" t="n"/>
      <c r="BT25" s="27">
        <f>SUM(BR25:BS25)</f>
        <v/>
      </c>
      <c r="BU25" s="28" t="n"/>
      <c r="BV25" s="31" t="n"/>
      <c r="BW25" s="29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1" t="n">
        <v>28</v>
      </c>
      <c r="BY25" s="21" t="n">
        <v>30</v>
      </c>
      <c r="BZ25" s="27">
        <f>SUM(BX25:BY25)</f>
        <v/>
      </c>
      <c r="CA25" s="28" t="n">
        <v>50</v>
      </c>
      <c r="CB25" s="31" t="n">
        <v>57</v>
      </c>
      <c r="CC25" s="29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1" t="n">
        <v>16</v>
      </c>
      <c r="CE25" s="21" t="n">
        <v>34</v>
      </c>
      <c r="CF25" s="27">
        <f>SUM(CD25:CE25)</f>
        <v/>
      </c>
      <c r="CG25" s="28" t="n">
        <v>26</v>
      </c>
      <c r="CH25" s="31" t="n">
        <v>25</v>
      </c>
      <c r="CI25" s="29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1" t="n"/>
      <c r="CK25" s="21" t="n"/>
      <c r="CL25" s="27">
        <f>SUM(CJ25:CK25)</f>
        <v/>
      </c>
      <c r="CM25" s="28" t="n"/>
      <c r="CN25" s="31" t="n"/>
      <c r="CO25" s="29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1" t="n"/>
      <c r="CQ25" s="21" t="n"/>
      <c r="CR25" s="27">
        <f>SUM(CP25:CQ25)</f>
        <v/>
      </c>
      <c r="CS25" s="28" t="n"/>
      <c r="CT25" s="31" t="n"/>
      <c r="CU25" s="29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1" t="n">
        <v>28</v>
      </c>
      <c r="CW25" s="21" t="n">
        <v>20</v>
      </c>
      <c r="CX25" s="27">
        <f>SUM(CV25:CW25)</f>
        <v/>
      </c>
      <c r="CY25" s="28" t="n">
        <v>37</v>
      </c>
      <c r="CZ25" s="31" t="n">
        <v>42</v>
      </c>
      <c r="DA25" s="29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1" t="n"/>
      <c r="DC25" s="21" t="n"/>
      <c r="DD25" s="27">
        <f>SUM(DB25:DC25)</f>
        <v/>
      </c>
      <c r="DE25" s="28" t="n"/>
      <c r="DF25" s="31" t="n"/>
      <c r="DG25" s="29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34">
        <f>SUM(O25,U25,AA25,AG25,AM25,AS25,AY25,BE25,BK25,BQ25,BW25,CC25,CI25,CO25,CU25,DA25,DG25)</f>
        <v/>
      </c>
      <c r="DI25" s="39">
        <f>RANK(DH25,DH$4:DH$503)</f>
        <v/>
      </c>
      <c r="DJ25" s="40" t="inlineStr">
        <is>
          <t>AVERAGE(3)</t>
        </is>
      </c>
      <c r="DK25" s="40" t="inlineStr">
        <is>
          <t>AVERAGE(3)</t>
        </is>
      </c>
      <c r="DL25" s="40" t="inlineStr">
        <is>
          <t>AVERAGE(3)</t>
        </is>
      </c>
      <c r="DM25" s="40" t="inlineStr">
        <is>
          <t>AVERAGE(3)</t>
        </is>
      </c>
      <c r="DN25" s="19" t="inlineStr">
        <is>
          <t>GOOD(4)</t>
        </is>
      </c>
      <c r="DO25" s="40" t="inlineStr">
        <is>
          <t>GOOD(4)</t>
        </is>
      </c>
      <c r="DP25" s="40" t="inlineStr">
        <is>
          <t>AVERAGE(3)</t>
        </is>
      </c>
      <c r="DQ25" s="40" t="inlineStr">
        <is>
          <t>GOOD(4)</t>
        </is>
      </c>
      <c r="DR25" s="43" t="inlineStr">
        <is>
          <t>2024/2025</t>
        </is>
      </c>
      <c r="DS25" s="45" t="inlineStr">
        <is>
          <t>THIRD</t>
        </is>
      </c>
      <c r="DT25" s="40" t="inlineStr">
        <is>
          <t>OPTIONAL</t>
        </is>
      </c>
      <c r="DU25" s="40" t="inlineStr">
        <is>
          <t>AVERAGE(3)</t>
        </is>
      </c>
      <c r="DV25" s="40" t="inlineStr">
        <is>
          <t>BELOW AVERAGE(2)</t>
        </is>
      </c>
      <c r="DW25" s="40" t="inlineStr">
        <is>
          <t>EXCELLENT(5)</t>
        </is>
      </c>
      <c r="DX25" s="40" t="inlineStr">
        <is>
          <t>AVERAGE(3)</t>
        </is>
      </c>
      <c r="DY25" s="40" t="inlineStr">
        <is>
          <t>GOOD(4)</t>
        </is>
      </c>
      <c r="DZ25" s="53" t="inlineStr">
        <is>
          <t>GOOD(4)</t>
        </is>
      </c>
      <c r="EA25" s="54" t="inlineStr">
        <is>
          <t>Demonstrates a positive attitude and respect for rules.</t>
        </is>
      </c>
      <c r="EB25" s="55" t="inlineStr">
        <is>
          <t>Promoted to JSS2</t>
        </is>
      </c>
      <c r="EC25" s="56" t="inlineStr">
        <is>
          <t>MR. RAHEEM A.A</t>
        </is>
      </c>
      <c r="ED25" s="57" t="inlineStr">
        <is>
          <t>Next Term Begins on Monday, 15th September, 2025</t>
        </is>
      </c>
    </row>
    <row r="26" ht="30.6" customHeight="1" s="6">
      <c r="A26" s="18" t="n">
        <v>23</v>
      </c>
      <c r="B26" s="19" t="inlineStr">
        <is>
          <t xml:space="preserve">OJEBISI OJESEWA </t>
        </is>
      </c>
      <c r="C26" s="20" t="inlineStr">
        <is>
          <t>1953</t>
        </is>
      </c>
      <c r="D26" s="128" t="inlineStr">
        <is>
          <t>Female</t>
        </is>
      </c>
      <c r="E26" s="21" t="inlineStr">
        <is>
          <t>JSS 1B</t>
        </is>
      </c>
      <c r="F26" s="21" t="n">
        <v>39</v>
      </c>
      <c r="G26" s="21" t="n">
        <v>122</v>
      </c>
      <c r="H26" s="22" t="n">
        <v>106</v>
      </c>
      <c r="I26" s="26">
        <f>G26-H26</f>
        <v/>
      </c>
      <c r="J26" s="21" t="n">
        <v>22</v>
      </c>
      <c r="K26" s="21" t="n">
        <v>28</v>
      </c>
      <c r="L26" s="27">
        <f>SUM(J26:K26)</f>
        <v/>
      </c>
      <c r="M26" s="28" t="n">
        <v>28</v>
      </c>
      <c r="N26" s="28" t="n">
        <v>36</v>
      </c>
      <c r="O26" s="29">
        <f>IF(AND(L26=0,M26=0,N26=0),0,IF(AND(L26=0,M26=0),N26/1,IF(AND(L26=0,N26=0),M26/1,IF(AND(M26=0,N26=0),L26/1,IF(L26=0,FLOOR((M26+N26)/2,0.1),IF(M26=0,(L26+N26)/2,IF(N26=0,(M26+L26)/2,FLOOR(((L26+M26+N26)/3),0.1))))))))</f>
        <v/>
      </c>
      <c r="P26" s="21" t="n">
        <v>24</v>
      </c>
      <c r="Q26" s="21" t="n">
        <v>36</v>
      </c>
      <c r="R26" s="27">
        <f>SUM(P26:Q26)</f>
        <v/>
      </c>
      <c r="S26" s="28" t="n">
        <v>53</v>
      </c>
      <c r="T26" s="28" t="n">
        <v>56</v>
      </c>
      <c r="U26" s="29">
        <f>IF(AND(R26=0,S26=0,T26=0),0,IF(AND(R26=0,S26=0),T26/1,IF(AND(R26=0,T26=0),S26/1,IF(AND(S26=0,T26=0),R26/1,IF(R26=0,FLOOR((S26+T26)/2,0.1),IF(S26=0,(R26+T26)/2,IF(T26=0,(S26+R26)/2,FLOOR(((R26+S26+T26)/3),0.1))))))))</f>
        <v/>
      </c>
      <c r="V26" s="21" t="n">
        <v>18</v>
      </c>
      <c r="W26" s="21" t="n">
        <v>40</v>
      </c>
      <c r="X26" s="27">
        <f>SUM(V26:W26)</f>
        <v/>
      </c>
      <c r="Y26" s="28" t="n">
        <v>72</v>
      </c>
      <c r="Z26" s="28" t="n">
        <v>43</v>
      </c>
      <c r="AA26" s="29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1" t="n">
        <v>18</v>
      </c>
      <c r="AC26" s="21" t="n">
        <v>52</v>
      </c>
      <c r="AD26" s="27">
        <f>SUM(AB26:AC26)</f>
        <v/>
      </c>
      <c r="AE26" s="28" t="n">
        <v>57</v>
      </c>
      <c r="AF26" s="28" t="n">
        <v>64</v>
      </c>
      <c r="AG26" s="29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1" t="n">
        <v>27</v>
      </c>
      <c r="AI26" s="21" t="n">
        <v>27</v>
      </c>
      <c r="AJ26" s="27">
        <f>SUM(AH26:AI26)</f>
        <v/>
      </c>
      <c r="AK26" s="28" t="n">
        <v>57</v>
      </c>
      <c r="AL26" s="28" t="n">
        <v>40</v>
      </c>
      <c r="AM26" s="29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1" t="n"/>
      <c r="AO26" s="21" t="n"/>
      <c r="AP26" s="27">
        <f>SUM(AN26:AO26)</f>
        <v/>
      </c>
      <c r="AQ26" s="28" t="n"/>
      <c r="AR26" s="30" t="n"/>
      <c r="AS26" s="29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1" t="n">
        <v>18</v>
      </c>
      <c r="AU26" s="21" t="n">
        <v>32</v>
      </c>
      <c r="AV26" s="27">
        <f>SUM(AT26:AU26)</f>
        <v/>
      </c>
      <c r="AW26" s="28" t="n">
        <v>41</v>
      </c>
      <c r="AX26" s="30" t="n">
        <v>57</v>
      </c>
      <c r="AY26" s="29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1" t="n">
        <v>22</v>
      </c>
      <c r="BA26" s="21" t="n">
        <v>38</v>
      </c>
      <c r="BB26" s="27">
        <f>SUM(AZ26:BA26)</f>
        <v/>
      </c>
      <c r="BC26" s="28" t="n">
        <v>42</v>
      </c>
      <c r="BD26" s="28" t="n">
        <v>51</v>
      </c>
      <c r="BE26" s="29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1" t="n">
        <v>17</v>
      </c>
      <c r="BG26" s="21" t="n">
        <v>41</v>
      </c>
      <c r="BH26" s="27">
        <f>SUM(BF26:BG26)</f>
        <v/>
      </c>
      <c r="BI26" s="28" t="n">
        <v>54</v>
      </c>
      <c r="BJ26" s="28" t="n">
        <v>68</v>
      </c>
      <c r="BK26" s="29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1" t="n">
        <v>17</v>
      </c>
      <c r="BM26" s="21" t="n">
        <v>39</v>
      </c>
      <c r="BN26" s="27">
        <f>SUM(BL26:BM26)</f>
        <v/>
      </c>
      <c r="BO26" s="28" t="n">
        <v>32</v>
      </c>
      <c r="BP26" s="31" t="n">
        <v>41</v>
      </c>
      <c r="BQ26" s="29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1" t="n"/>
      <c r="BS26" s="21" t="n"/>
      <c r="BT26" s="27">
        <f>SUM(BR26:BS26)</f>
        <v/>
      </c>
      <c r="BU26" s="28" t="n"/>
      <c r="BV26" s="31" t="n"/>
      <c r="BW26" s="29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1" t="n">
        <v>28</v>
      </c>
      <c r="BY26" s="21" t="n">
        <v>30</v>
      </c>
      <c r="BZ26" s="27">
        <f>SUM(BX26:BY26)</f>
        <v/>
      </c>
      <c r="CA26" s="28" t="n">
        <v>50</v>
      </c>
      <c r="CB26" s="31" t="n">
        <v>57</v>
      </c>
      <c r="CC26" s="29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1" t="n">
        <v>9</v>
      </c>
      <c r="CE26" s="21" t="n">
        <v>41</v>
      </c>
      <c r="CF26" s="27">
        <f>SUM(CD26:CE26)</f>
        <v/>
      </c>
      <c r="CG26" s="28" t="n">
        <v>40</v>
      </c>
      <c r="CH26" s="31" t="n">
        <v>22</v>
      </c>
      <c r="CI26" s="29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1" t="n"/>
      <c r="CK26" s="21" t="n"/>
      <c r="CL26" s="27">
        <f>SUM(CJ26:CK26)</f>
        <v/>
      </c>
      <c r="CM26" s="28" t="n"/>
      <c r="CN26" s="31" t="n"/>
      <c r="CO26" s="29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1" t="n"/>
      <c r="CQ26" s="21" t="n"/>
      <c r="CR26" s="27">
        <f>SUM(CP26:CQ26)</f>
        <v/>
      </c>
      <c r="CS26" s="28" t="n"/>
      <c r="CT26" s="31" t="n"/>
      <c r="CU26" s="29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1" t="n">
        <v>26</v>
      </c>
      <c r="CW26" s="21" t="n">
        <v>36</v>
      </c>
      <c r="CX26" s="27">
        <f>SUM(CV26:CW26)</f>
        <v/>
      </c>
      <c r="CY26" s="28" t="n">
        <v>90</v>
      </c>
      <c r="CZ26" s="31" t="n">
        <v>76</v>
      </c>
      <c r="DA26" s="29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1" t="n"/>
      <c r="DC26" s="21" t="n"/>
      <c r="DD26" s="27">
        <f>SUM(DB26:DC26)</f>
        <v/>
      </c>
      <c r="DE26" s="28" t="n"/>
      <c r="DF26" s="31" t="n"/>
      <c r="DG26" s="29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34">
        <f>SUM(O26,U26,AA26,AG26,AM26,AS26,AY26,BE26,BK26,BQ26,BW26,CC26,CI26,CO26,CU26,DA26,DG26)</f>
        <v/>
      </c>
      <c r="DI26" s="39">
        <f>RANK(DH26,DH$4:DH$503)</f>
        <v/>
      </c>
      <c r="DJ26" s="40" t="inlineStr">
        <is>
          <t>GOOD(4)</t>
        </is>
      </c>
      <c r="DK26" s="40" t="inlineStr">
        <is>
          <t>AVERAGE(3)</t>
        </is>
      </c>
      <c r="DL26" s="40" t="inlineStr">
        <is>
          <t>AVERAGE(3)</t>
        </is>
      </c>
      <c r="DM26" s="40" t="inlineStr">
        <is>
          <t>GOOD(4)</t>
        </is>
      </c>
      <c r="DN26" s="19" t="inlineStr">
        <is>
          <t>GOOD(4)</t>
        </is>
      </c>
      <c r="DO26" s="40" t="inlineStr">
        <is>
          <t>GOOD(4)</t>
        </is>
      </c>
      <c r="DP26" s="40" t="inlineStr">
        <is>
          <t>GOOD(4)</t>
        </is>
      </c>
      <c r="DQ26" s="40" t="inlineStr">
        <is>
          <t>GOOD(4)</t>
        </is>
      </c>
      <c r="DR26" s="43" t="inlineStr">
        <is>
          <t>2024/2025</t>
        </is>
      </c>
      <c r="DS26" s="45" t="inlineStr">
        <is>
          <t>THIRD</t>
        </is>
      </c>
      <c r="DT26" s="40" t="inlineStr">
        <is>
          <t>OPTIONAL</t>
        </is>
      </c>
      <c r="DU26" s="40" t="inlineStr">
        <is>
          <t>AVERAGE(3)</t>
        </is>
      </c>
      <c r="DV26" s="40" t="inlineStr">
        <is>
          <t>AVERAGE(3)</t>
        </is>
      </c>
      <c r="DW26" s="40" t="inlineStr">
        <is>
          <t>GOOD(4)</t>
        </is>
      </c>
      <c r="DX26" s="40" t="inlineStr">
        <is>
          <t>EXCELLENT(5)</t>
        </is>
      </c>
      <c r="DY26" s="40" t="inlineStr">
        <is>
          <t>GOOD(4)</t>
        </is>
      </c>
      <c r="DZ26" s="53" t="inlineStr">
        <is>
          <t>AVERAGE(3)</t>
        </is>
      </c>
      <c r="EA26" s="54" t="inlineStr">
        <is>
          <t>Completes assignments on time and with care.</t>
        </is>
      </c>
      <c r="EB26" s="55" t="inlineStr">
        <is>
          <t>Promoted to JSS2</t>
        </is>
      </c>
      <c r="EC26" s="56" t="inlineStr">
        <is>
          <t>MR. RAHEEM A.A</t>
        </is>
      </c>
      <c r="ED26" s="57" t="inlineStr">
        <is>
          <t>Next Term Begins on Monday, 15th September, 2025</t>
        </is>
      </c>
    </row>
    <row r="27" ht="30.6" customHeight="1" s="6">
      <c r="A27" s="18" t="n">
        <v>24</v>
      </c>
      <c r="B27" s="19" t="inlineStr">
        <is>
          <t xml:space="preserve">OJO OLUWAFEMI </t>
        </is>
      </c>
      <c r="C27" s="20" t="inlineStr">
        <is>
          <t>1956</t>
        </is>
      </c>
      <c r="D27" s="128" t="inlineStr">
        <is>
          <t>Female</t>
        </is>
      </c>
      <c r="E27" s="21" t="inlineStr">
        <is>
          <t>JSS 1B</t>
        </is>
      </c>
      <c r="F27" s="21" t="n">
        <v>39</v>
      </c>
      <c r="G27" s="21" t="n">
        <v>122</v>
      </c>
      <c r="H27" s="22" t="n">
        <v>108</v>
      </c>
      <c r="I27" s="26">
        <f>G27-H27</f>
        <v/>
      </c>
      <c r="J27" s="21" t="n">
        <v>27</v>
      </c>
      <c r="K27" s="21" t="n">
        <v>25</v>
      </c>
      <c r="L27" s="27">
        <f>SUM(J27:K27)</f>
        <v/>
      </c>
      <c r="M27" s="28" t="n">
        <v>43</v>
      </c>
      <c r="N27" s="28" t="n">
        <v>48</v>
      </c>
      <c r="O27" s="29">
        <f>IF(AND(L27=0,M27=0,N27=0),0,IF(AND(L27=0,M27=0),N27/1,IF(AND(L27=0,N27=0),M27/1,IF(AND(M27=0,N27=0),L27/1,IF(L27=0,FLOOR((M27+N27)/2,0.1),IF(M27=0,(L27+N27)/2,IF(N27=0,(M27+L27)/2,FLOOR(((L27+M27+N27)/3),0.1))))))))</f>
        <v/>
      </c>
      <c r="P27" s="21" t="n">
        <v>18</v>
      </c>
      <c r="Q27" s="21" t="n">
        <v>30</v>
      </c>
      <c r="R27" s="27">
        <f>SUM(P27:Q27)</f>
        <v/>
      </c>
      <c r="S27" s="28" t="n">
        <v>40</v>
      </c>
      <c r="T27" s="28" t="n">
        <v>48</v>
      </c>
      <c r="U27" s="29">
        <f>IF(AND(R27=0,S27=0,T27=0),0,IF(AND(R27=0,S27=0),T27/1,IF(AND(R27=0,T27=0),S27/1,IF(AND(S27=0,T27=0),R27/1,IF(R27=0,FLOOR((S27+T27)/2,0.1),IF(S27=0,(R27+T27)/2,IF(T27=0,(S27+R27)/2,FLOOR(((R27+S27+T27)/3),0.1))))))))</f>
        <v/>
      </c>
      <c r="V27" s="21" t="n">
        <v>17</v>
      </c>
      <c r="W27" s="21" t="n">
        <v>40</v>
      </c>
      <c r="X27" s="27">
        <f>SUM(V27:W27)</f>
        <v/>
      </c>
      <c r="Y27" s="28" t="n">
        <v>50</v>
      </c>
      <c r="Z27" s="28" t="n">
        <v>44</v>
      </c>
      <c r="AA27" s="29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1" t="n">
        <v>27</v>
      </c>
      <c r="AC27" s="21" t="n">
        <v>25</v>
      </c>
      <c r="AD27" s="27">
        <f>SUM(AB27:AC27)</f>
        <v/>
      </c>
      <c r="AE27" s="28" t="n">
        <v>43</v>
      </c>
      <c r="AF27" s="28" t="n">
        <v>48</v>
      </c>
      <c r="AG27" s="29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1" t="n">
        <v>22</v>
      </c>
      <c r="AI27" s="21" t="n">
        <v>32</v>
      </c>
      <c r="AJ27" s="27">
        <f>SUM(AH27:AI27)</f>
        <v/>
      </c>
      <c r="AK27" s="28" t="n">
        <v>64</v>
      </c>
      <c r="AL27" s="28" t="n">
        <v>57</v>
      </c>
      <c r="AM27" s="29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1" t="n"/>
      <c r="AO27" s="21" t="n"/>
      <c r="AP27" s="27">
        <f>SUM(AN27:AO27)</f>
        <v/>
      </c>
      <c r="AQ27" s="28" t="n"/>
      <c r="AR27" s="30" t="n"/>
      <c r="AS27" s="29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1" t="n">
        <v>12</v>
      </c>
      <c r="AU27" s="21" t="n">
        <v>48</v>
      </c>
      <c r="AV27" s="27">
        <f>SUM(AT27:AU27)</f>
        <v/>
      </c>
      <c r="AW27" s="28" t="n">
        <v>33</v>
      </c>
      <c r="AX27" s="30" t="n">
        <v>51</v>
      </c>
      <c r="AY27" s="29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1" t="n">
        <v>22</v>
      </c>
      <c r="BA27" s="21" t="n">
        <v>30</v>
      </c>
      <c r="BB27" s="27">
        <f>SUM(AZ27:BA27)</f>
        <v/>
      </c>
      <c r="BC27" s="28" t="n">
        <v>48</v>
      </c>
      <c r="BD27" s="28" t="n">
        <v>50</v>
      </c>
      <c r="BE27" s="29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1" t="n">
        <v>15</v>
      </c>
      <c r="BG27" s="21" t="n">
        <v>33</v>
      </c>
      <c r="BH27" s="27">
        <f>SUM(BF27:BG27)</f>
        <v/>
      </c>
      <c r="BI27" s="28" t="n">
        <v>50</v>
      </c>
      <c r="BJ27" s="28" t="n">
        <v>51</v>
      </c>
      <c r="BK27" s="29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1" t="n">
        <v>18</v>
      </c>
      <c r="BM27" s="21" t="n">
        <v>39</v>
      </c>
      <c r="BN27" s="27">
        <f>SUM(BL27:BM27)</f>
        <v/>
      </c>
      <c r="BO27" s="28" t="n">
        <v>45</v>
      </c>
      <c r="BP27" s="31" t="n">
        <v>43</v>
      </c>
      <c r="BQ27" s="29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1" t="n"/>
      <c r="BS27" s="21" t="n"/>
      <c r="BT27" s="27">
        <f>SUM(BR27:BS27)</f>
        <v/>
      </c>
      <c r="BU27" s="28" t="n"/>
      <c r="BV27" s="31" t="n"/>
      <c r="BW27" s="29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1" t="n">
        <v>28</v>
      </c>
      <c r="BY27" s="21" t="n">
        <v>30</v>
      </c>
      <c r="BZ27" s="27">
        <f>SUM(BX27:BY27)</f>
        <v/>
      </c>
      <c r="CA27" s="28" t="n">
        <v>50</v>
      </c>
      <c r="CB27" s="31" t="n">
        <v>57</v>
      </c>
      <c r="CC27" s="29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1" t="n">
        <v>3</v>
      </c>
      <c r="CE27" s="21" t="n">
        <v>49</v>
      </c>
      <c r="CF27" s="27">
        <f>SUM(CD27:CE27)</f>
        <v/>
      </c>
      <c r="CG27" s="28" t="n">
        <v>38</v>
      </c>
      <c r="CH27" s="31" t="n">
        <v>22</v>
      </c>
      <c r="CI27" s="29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1" t="n"/>
      <c r="CK27" s="21" t="n"/>
      <c r="CL27" s="27">
        <f>SUM(CJ27:CK27)</f>
        <v/>
      </c>
      <c r="CM27" s="28" t="n"/>
      <c r="CN27" s="31" t="n"/>
      <c r="CO27" s="29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1" t="n"/>
      <c r="CQ27" s="21" t="n"/>
      <c r="CR27" s="27">
        <f>SUM(CP27:CQ27)</f>
        <v/>
      </c>
      <c r="CS27" s="28" t="n"/>
      <c r="CT27" s="31" t="n"/>
      <c r="CU27" s="29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1" t="n">
        <v>30</v>
      </c>
      <c r="CW27" s="21" t="n">
        <v>30</v>
      </c>
      <c r="CX27" s="27">
        <f>SUM(CV27:CW27)</f>
        <v/>
      </c>
      <c r="CY27" s="28" t="n">
        <v>36</v>
      </c>
      <c r="CZ27" s="31" t="n">
        <v>48</v>
      </c>
      <c r="DA27" s="29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1" t="n"/>
      <c r="DC27" s="21" t="n"/>
      <c r="DD27" s="27">
        <f>SUM(DB27:DC27)</f>
        <v/>
      </c>
      <c r="DE27" s="28" t="n"/>
      <c r="DF27" s="31" t="n"/>
      <c r="DG27" s="29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34">
        <f>SUM(O27,U27,AA27,AG27,AM27,AS27,AY27,BE27,BK27,BQ27,BW27,CC27,CI27,CO27,CU27,DA27,DG27)</f>
        <v/>
      </c>
      <c r="DI27" s="39">
        <f>RANK(DH27,DH$4:DH$503)</f>
        <v/>
      </c>
      <c r="DJ27" s="40" t="inlineStr">
        <is>
          <t>GOOD(4)</t>
        </is>
      </c>
      <c r="DK27" s="40" t="inlineStr">
        <is>
          <t>GOOD(4)</t>
        </is>
      </c>
      <c r="DL27" s="40" t="inlineStr">
        <is>
          <t>GOOD(4)</t>
        </is>
      </c>
      <c r="DM27" s="40" t="inlineStr">
        <is>
          <t>GOOD(4)</t>
        </is>
      </c>
      <c r="DN27" s="19" t="inlineStr">
        <is>
          <t>GOOD(4)</t>
        </is>
      </c>
      <c r="DO27" s="40" t="inlineStr">
        <is>
          <t>GOOD(4)</t>
        </is>
      </c>
      <c r="DP27" s="40" t="inlineStr">
        <is>
          <t>AVERAGE(3)</t>
        </is>
      </c>
      <c r="DQ27" s="40" t="inlineStr">
        <is>
          <t>AVERAGE(3)</t>
        </is>
      </c>
      <c r="DR27" s="43" t="inlineStr">
        <is>
          <t>2024/2025</t>
        </is>
      </c>
      <c r="DS27" s="45" t="inlineStr">
        <is>
          <t>THIRD</t>
        </is>
      </c>
      <c r="DT27" s="40" t="inlineStr">
        <is>
          <t>OPTIONAL</t>
        </is>
      </c>
      <c r="DU27" s="40" t="inlineStr">
        <is>
          <t>GOOD(4)</t>
        </is>
      </c>
      <c r="DV27" s="40" t="inlineStr">
        <is>
          <t>BELOW AVERAGE(2)</t>
        </is>
      </c>
      <c r="DW27" s="40" t="inlineStr">
        <is>
          <t>GOOD(4)</t>
        </is>
      </c>
      <c r="DX27" s="40" t="inlineStr">
        <is>
          <t>OPTIONAL</t>
        </is>
      </c>
      <c r="DY27" s="40" t="inlineStr">
        <is>
          <t>GOOD(4)</t>
        </is>
      </c>
      <c r="DZ27" s="53" t="inlineStr">
        <is>
          <t>AVERAGE(3)</t>
        </is>
      </c>
      <c r="EA27" s="54" t="inlineStr">
        <is>
          <t>Shows consistent effort and improvement in academic work.</t>
        </is>
      </c>
      <c r="EB27" s="55" t="inlineStr">
        <is>
          <t>Promoted to JSS2</t>
        </is>
      </c>
      <c r="EC27" s="56" t="inlineStr">
        <is>
          <t>MR. RAHEEM A.A</t>
        </is>
      </c>
      <c r="ED27" s="57" t="inlineStr">
        <is>
          <t>Next Term Begins on Monday, 15th September, 2025</t>
        </is>
      </c>
    </row>
    <row r="28" ht="30.6" customHeight="1" s="6">
      <c r="A28" s="18" t="n">
        <v>25</v>
      </c>
      <c r="B28" s="19" t="inlineStr">
        <is>
          <t xml:space="preserve">OLADUNNI AGNES </t>
        </is>
      </c>
      <c r="C28" s="20" t="inlineStr">
        <is>
          <t>2063</t>
        </is>
      </c>
      <c r="D28" s="128" t="inlineStr">
        <is>
          <t>Female</t>
        </is>
      </c>
      <c r="E28" s="21" t="inlineStr">
        <is>
          <t>JSS 1B</t>
        </is>
      </c>
      <c r="F28" s="21" t="n">
        <v>39</v>
      </c>
      <c r="G28" s="21" t="n">
        <v>122</v>
      </c>
      <c r="H28" s="22" t="n">
        <v>108</v>
      </c>
      <c r="I28" s="26">
        <f>G28-H28</f>
        <v/>
      </c>
      <c r="J28" s="21" t="n">
        <v>10</v>
      </c>
      <c r="K28" s="21" t="n">
        <v>29</v>
      </c>
      <c r="L28" s="27">
        <f>SUM(J28:K28)</f>
        <v/>
      </c>
      <c r="M28" s="28" t="n">
        <v>23</v>
      </c>
      <c r="N28" s="28" t="n">
        <v>21</v>
      </c>
      <c r="O28" s="29">
        <f>IF(AND(L28=0,M28=0,N28=0),0,IF(AND(L28=0,M28=0),N28/1,IF(AND(L28=0,N28=0),M28/1,IF(AND(M28=0,N28=0),L28/1,IF(L28=0,FLOOR((M28+N28)/2,0.1),IF(M28=0,(L28+N28)/2,IF(N28=0,(M28+L28)/2,FLOOR(((L28+M28+N28)/3),0.1))))))))</f>
        <v/>
      </c>
      <c r="P28" s="21" t="n">
        <v>16</v>
      </c>
      <c r="Q28" s="21" t="n">
        <v>14</v>
      </c>
      <c r="R28" s="27">
        <f>SUM(P28:Q28)</f>
        <v/>
      </c>
      <c r="S28" s="28" t="n">
        <v>25</v>
      </c>
      <c r="T28" s="28" t="n">
        <v>28</v>
      </c>
      <c r="U28" s="29">
        <f>IF(AND(R28=0,S28=0,T28=0),0,IF(AND(R28=0,S28=0),T28/1,IF(AND(R28=0,T28=0),S28/1,IF(AND(S28=0,T28=0),R28/1,IF(R28=0,FLOOR((S28+T28)/2,0.1),IF(S28=0,(R28+T28)/2,IF(T28=0,(S28+R28)/2,FLOOR(((R28+S28+T28)/3),0.1))))))))</f>
        <v/>
      </c>
      <c r="V28" s="21" t="n">
        <v>14</v>
      </c>
      <c r="W28" s="21" t="n">
        <v>30</v>
      </c>
      <c r="X28" s="27">
        <f>SUM(V28:W28)</f>
        <v/>
      </c>
      <c r="Y28" s="28" t="n">
        <v>26</v>
      </c>
      <c r="Z28" s="28" t="n">
        <v>22</v>
      </c>
      <c r="AA28" s="29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1" t="n">
        <v>12</v>
      </c>
      <c r="AC28" s="21" t="n">
        <v>30</v>
      </c>
      <c r="AD28" s="27">
        <f>SUM(AB28:AC28)</f>
        <v/>
      </c>
      <c r="AE28" s="28" t="n">
        <v>42</v>
      </c>
      <c r="AF28" s="28" t="n">
        <v>42</v>
      </c>
      <c r="AG28" s="29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1" t="n">
        <v>10</v>
      </c>
      <c r="AI28" s="21" t="n">
        <v>19</v>
      </c>
      <c r="AJ28" s="27">
        <f>SUM(AH28:AI28)</f>
        <v/>
      </c>
      <c r="AK28" s="28" t="n">
        <v>29</v>
      </c>
      <c r="AL28" s="28" t="n">
        <v>29</v>
      </c>
      <c r="AM28" s="29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1" t="n"/>
      <c r="AO28" s="21" t="n"/>
      <c r="AP28" s="27">
        <f>SUM(AN28:AO28)</f>
        <v/>
      </c>
      <c r="AQ28" s="28" t="n"/>
      <c r="AR28" s="30" t="n"/>
      <c r="AS28" s="29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1" t="n">
        <v>12</v>
      </c>
      <c r="AU28" s="21" t="n">
        <v>25</v>
      </c>
      <c r="AV28" s="27">
        <f>SUM(AT28:AU28)</f>
        <v/>
      </c>
      <c r="AW28" s="28" t="n">
        <v>37</v>
      </c>
      <c r="AX28" s="30" t="n">
        <v>37</v>
      </c>
      <c r="AY28" s="29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1" t="n">
        <v>10</v>
      </c>
      <c r="BA28" s="21" t="n">
        <v>29</v>
      </c>
      <c r="BB28" s="27">
        <f>SUM(AZ28:BA28)</f>
        <v/>
      </c>
      <c r="BC28" s="28" t="n">
        <v>39</v>
      </c>
      <c r="BD28" s="28" t="n">
        <v>39</v>
      </c>
      <c r="BE28" s="29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1" t="n">
        <v>5</v>
      </c>
      <c r="BG28" s="21" t="n">
        <v>12</v>
      </c>
      <c r="BH28" s="27">
        <f>SUM(BF28:BG28)</f>
        <v/>
      </c>
      <c r="BI28" s="28" t="n">
        <v>17</v>
      </c>
      <c r="BJ28" s="28" t="n">
        <v>17</v>
      </c>
      <c r="BK28" s="29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1" t="n">
        <v>18</v>
      </c>
      <c r="BM28" s="21" t="n">
        <v>15</v>
      </c>
      <c r="BN28" s="27">
        <f>SUM(BL28:BM28)</f>
        <v/>
      </c>
      <c r="BO28" s="28" t="n">
        <v>30</v>
      </c>
      <c r="BP28" s="31" t="n">
        <v>22</v>
      </c>
      <c r="BQ28" s="29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1" t="n"/>
      <c r="BS28" s="21" t="n"/>
      <c r="BT28" s="27">
        <f>SUM(BR28:BS28)</f>
        <v/>
      </c>
      <c r="BU28" s="28" t="n"/>
      <c r="BV28" s="31" t="n"/>
      <c r="BW28" s="29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1" t="n">
        <v>28</v>
      </c>
      <c r="BY28" s="21" t="n">
        <v>30</v>
      </c>
      <c r="BZ28" s="27">
        <f>SUM(BX28:BY28)</f>
        <v/>
      </c>
      <c r="CA28" s="28" t="n">
        <v>50</v>
      </c>
      <c r="CB28" s="31" t="n">
        <v>57</v>
      </c>
      <c r="CC28" s="29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1" t="n">
        <v>12</v>
      </c>
      <c r="CE28" s="21" t="n">
        <v>13</v>
      </c>
      <c r="CF28" s="27">
        <f>SUM(CD28:CE28)</f>
        <v/>
      </c>
      <c r="CG28" s="28" t="n">
        <v>15</v>
      </c>
      <c r="CH28" s="31" t="n">
        <v>14</v>
      </c>
      <c r="CI28" s="29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1" t="n"/>
      <c r="CK28" s="21" t="n"/>
      <c r="CL28" s="27">
        <f>SUM(CJ28:CK28)</f>
        <v/>
      </c>
      <c r="CM28" s="28" t="n"/>
      <c r="CN28" s="31" t="n"/>
      <c r="CO28" s="29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1" t="n"/>
      <c r="CQ28" s="21" t="n"/>
      <c r="CR28" s="27">
        <f>SUM(CP28:CQ28)</f>
        <v/>
      </c>
      <c r="CS28" s="28" t="n"/>
      <c r="CT28" s="31" t="n"/>
      <c r="CU28" s="29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1" t="n">
        <v>10</v>
      </c>
      <c r="CW28" s="21" t="n">
        <v>20</v>
      </c>
      <c r="CX28" s="27">
        <f>SUM(CV28:CW28)</f>
        <v/>
      </c>
      <c r="CY28" s="28" t="n">
        <v>18</v>
      </c>
      <c r="CZ28" s="31" t="n">
        <v>24</v>
      </c>
      <c r="DA28" s="29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1" t="n"/>
      <c r="DC28" s="21" t="n"/>
      <c r="DD28" s="27">
        <f>SUM(DB28:DC28)</f>
        <v/>
      </c>
      <c r="DE28" s="28" t="n"/>
      <c r="DF28" s="31" t="n"/>
      <c r="DG28" s="29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34">
        <f>SUM(O28,U28,AA28,AG28,AM28,AS28,AY28,BE28,BK28,BQ28,BW28,CC28,CI28,CO28,CU28,DA28,DG28)</f>
        <v/>
      </c>
      <c r="DI28" s="39">
        <f>RANK(DH28,DH$4:DH$503)</f>
        <v/>
      </c>
      <c r="DJ28" s="40" t="inlineStr">
        <is>
          <t>AVERAGE(3)</t>
        </is>
      </c>
      <c r="DK28" s="40" t="inlineStr">
        <is>
          <t>AVERAGE(3)</t>
        </is>
      </c>
      <c r="DL28" s="40" t="inlineStr">
        <is>
          <t>AVERAGE(3)</t>
        </is>
      </c>
      <c r="DM28" s="40" t="inlineStr">
        <is>
          <t>GOOD(4)</t>
        </is>
      </c>
      <c r="DN28" s="19" t="inlineStr">
        <is>
          <t>AVERAGE(3)</t>
        </is>
      </c>
      <c r="DO28" s="40" t="inlineStr">
        <is>
          <t>GOOD(4)</t>
        </is>
      </c>
      <c r="DP28" s="40" t="inlineStr">
        <is>
          <t>AVERAGE(3)</t>
        </is>
      </c>
      <c r="DQ28" s="40" t="inlineStr">
        <is>
          <t>GOOD(4)</t>
        </is>
      </c>
      <c r="DR28" s="43" t="inlineStr">
        <is>
          <t>2024/2025</t>
        </is>
      </c>
      <c r="DS28" s="45" t="inlineStr">
        <is>
          <t>THIRD</t>
        </is>
      </c>
      <c r="DT28" s="40" t="inlineStr">
        <is>
          <t>OPTIONAL</t>
        </is>
      </c>
      <c r="DU28" s="40" t="inlineStr">
        <is>
          <t>AVERAGE(3)</t>
        </is>
      </c>
      <c r="DV28" s="40" t="inlineStr">
        <is>
          <t>GOOD(4)</t>
        </is>
      </c>
      <c r="DW28" s="40" t="inlineStr">
        <is>
          <t>EXCELLENT(5)</t>
        </is>
      </c>
      <c r="DX28" s="40" t="inlineStr">
        <is>
          <t>OPTIONAL</t>
        </is>
      </c>
      <c r="DY28" s="40" t="inlineStr">
        <is>
          <t>GOOD(4)</t>
        </is>
      </c>
      <c r="DZ28" s="53" t="inlineStr">
        <is>
          <t>AVERAGE(3)</t>
        </is>
      </c>
      <c r="EA28" s="54" t="inlineStr">
        <is>
          <t>Has made noticeable progress in social and emotional growth.</t>
        </is>
      </c>
      <c r="EB28" s="55" t="inlineStr">
        <is>
          <t>To repeat JSS1</t>
        </is>
      </c>
      <c r="EC28" s="56" t="inlineStr">
        <is>
          <t>MR. RAHEEM A.A</t>
        </is>
      </c>
      <c r="ED28" s="57" t="inlineStr">
        <is>
          <t>Next Term Begins on Monday, 15th September, 2025</t>
        </is>
      </c>
    </row>
    <row r="29" ht="30.6" customHeight="1" s="6">
      <c r="A29" s="18" t="n">
        <v>26</v>
      </c>
      <c r="B29" s="19" t="inlineStr">
        <is>
          <t>OLADUNNI GOLD N.</t>
        </is>
      </c>
      <c r="C29" s="20" t="inlineStr">
        <is>
          <t>1962</t>
        </is>
      </c>
      <c r="D29" s="128" t="inlineStr">
        <is>
          <t>Female</t>
        </is>
      </c>
      <c r="E29" s="21" t="inlineStr">
        <is>
          <t>JSS 1B</t>
        </is>
      </c>
      <c r="F29" s="21" t="n">
        <v>39</v>
      </c>
      <c r="G29" s="21" t="n">
        <v>122</v>
      </c>
      <c r="H29" s="22" t="n">
        <v>114</v>
      </c>
      <c r="I29" s="26">
        <f>G29-H29</f>
        <v/>
      </c>
      <c r="J29" s="21" t="n">
        <v>18</v>
      </c>
      <c r="K29" s="21" t="n">
        <v>23</v>
      </c>
      <c r="L29" s="27">
        <f>SUM(J29:K29)</f>
        <v/>
      </c>
      <c r="M29" s="28" t="n">
        <v>22</v>
      </c>
      <c r="N29" s="28" t="n">
        <v>26</v>
      </c>
      <c r="O29" s="29">
        <f>IF(AND(L29=0,M29=0,N29=0),0,IF(AND(L29=0,M29=0),N29/1,IF(AND(L29=0,N29=0),M29/1,IF(AND(M29=0,N29=0),L29/1,IF(L29=0,FLOOR((M29+N29)/2,0.1),IF(M29=0,(L29+N29)/2,IF(N29=0,(M29+L29)/2,FLOOR(((L29+M29+N29)/3),0.1))))))))</f>
        <v/>
      </c>
      <c r="P29" s="21" t="n">
        <v>24</v>
      </c>
      <c r="Q29" s="21" t="n">
        <v>32</v>
      </c>
      <c r="R29" s="27">
        <f>SUM(P29:Q29)</f>
        <v/>
      </c>
      <c r="S29" s="28" t="n">
        <v>59</v>
      </c>
      <c r="T29" s="28" t="n">
        <v>58</v>
      </c>
      <c r="U29" s="29">
        <f>IF(AND(R29=0,S29=0,T29=0),0,IF(AND(R29=0,S29=0),T29/1,IF(AND(R29=0,T29=0),S29/1,IF(AND(S29=0,T29=0),R29/1,IF(R29=0,FLOOR((S29+T29)/2,0.1),IF(S29=0,(R29+T29)/2,IF(T29=0,(S29+R29)/2,FLOOR(((R29+S29+T29)/3),0.1))))))))</f>
        <v/>
      </c>
      <c r="V29" s="21" t="n">
        <v>13</v>
      </c>
      <c r="W29" s="21" t="n">
        <v>40</v>
      </c>
      <c r="X29" s="27">
        <f>SUM(V29:W29)</f>
        <v/>
      </c>
      <c r="Y29" s="28" t="n">
        <v>57</v>
      </c>
      <c r="Z29" s="28" t="n">
        <v>49</v>
      </c>
      <c r="AA29" s="29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1" t="n">
        <v>23</v>
      </c>
      <c r="AC29" s="21" t="n">
        <v>30</v>
      </c>
      <c r="AD29" s="27">
        <f>SUM(AB29:AC29)</f>
        <v/>
      </c>
      <c r="AE29" s="28" t="n">
        <v>78</v>
      </c>
      <c r="AF29" s="28" t="n">
        <v>66</v>
      </c>
      <c r="AG29" s="29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1" t="n">
        <v>21</v>
      </c>
      <c r="AI29" s="21" t="n">
        <v>30</v>
      </c>
      <c r="AJ29" s="27">
        <f>SUM(AH29:AI29)</f>
        <v/>
      </c>
      <c r="AK29" s="28" t="n">
        <v>97</v>
      </c>
      <c r="AL29" s="28" t="n">
        <v>43</v>
      </c>
      <c r="AM29" s="29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1" t="n"/>
      <c r="AO29" s="21" t="n"/>
      <c r="AP29" s="27">
        <f>SUM(AN29:AO29)</f>
        <v/>
      </c>
      <c r="AQ29" s="28" t="n"/>
      <c r="AR29" s="30" t="n"/>
      <c r="AS29" s="29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1" t="n">
        <v>25</v>
      </c>
      <c r="AU29" s="21" t="n">
        <v>26</v>
      </c>
      <c r="AV29" s="27">
        <f>SUM(AT29:AU29)</f>
        <v/>
      </c>
      <c r="AW29" s="28" t="n">
        <v>55</v>
      </c>
      <c r="AX29" s="30" t="n">
        <v>50</v>
      </c>
      <c r="AY29" s="29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1" t="n">
        <v>23</v>
      </c>
      <c r="BA29" s="21" t="n">
        <v>29</v>
      </c>
      <c r="BB29" s="27">
        <f>SUM(AZ29:BA29)</f>
        <v/>
      </c>
      <c r="BC29" s="28" t="n">
        <v>63</v>
      </c>
      <c r="BD29" s="28" t="n">
        <v>63</v>
      </c>
      <c r="BE29" s="29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1" t="n">
        <v>15</v>
      </c>
      <c r="BG29" s="21" t="n">
        <v>22</v>
      </c>
      <c r="BH29" s="27">
        <f>SUM(BF29:BG29)</f>
        <v/>
      </c>
      <c r="BI29" s="28" t="n">
        <v>50</v>
      </c>
      <c r="BJ29" s="28" t="n">
        <v>39</v>
      </c>
      <c r="BK29" s="29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1" t="n">
        <v>20</v>
      </c>
      <c r="BM29" s="21" t="n">
        <v>32</v>
      </c>
      <c r="BN29" s="27">
        <f>SUM(BL29:BM29)</f>
        <v/>
      </c>
      <c r="BO29" s="28" t="n">
        <v>21</v>
      </c>
      <c r="BP29" s="31" t="n">
        <v>55</v>
      </c>
      <c r="BQ29" s="29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1" t="n"/>
      <c r="BS29" s="21" t="n"/>
      <c r="BT29" s="27">
        <f>SUM(BR29:BS29)</f>
        <v/>
      </c>
      <c r="BU29" s="28" t="n"/>
      <c r="BV29" s="31" t="n"/>
      <c r="BW29" s="29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1" t="n">
        <v>6</v>
      </c>
      <c r="BY29" s="21" t="n">
        <v>24</v>
      </c>
      <c r="BZ29" s="27">
        <f>SUM(BX29:BY29)</f>
        <v/>
      </c>
      <c r="CA29" s="28" t="n">
        <v>43</v>
      </c>
      <c r="CB29" s="31" t="n">
        <v>67</v>
      </c>
      <c r="CC29" s="29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1" t="n">
        <v>18</v>
      </c>
      <c r="CE29" s="21" t="n">
        <v>33</v>
      </c>
      <c r="CF29" s="27">
        <f>SUM(CD29:CE29)</f>
        <v/>
      </c>
      <c r="CG29" s="28" t="n">
        <v>47</v>
      </c>
      <c r="CH29" s="31" t="n">
        <v>19</v>
      </c>
      <c r="CI29" s="29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1" t="n"/>
      <c r="CK29" s="21" t="n"/>
      <c r="CL29" s="27">
        <f>SUM(CJ29:CK29)</f>
        <v/>
      </c>
      <c r="CM29" s="28" t="n"/>
      <c r="CN29" s="31" t="n"/>
      <c r="CO29" s="29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1" t="n"/>
      <c r="CQ29" s="21" t="n"/>
      <c r="CR29" s="27">
        <f>SUM(CP29:CQ29)</f>
        <v/>
      </c>
      <c r="CS29" s="28" t="n"/>
      <c r="CT29" s="31" t="n"/>
      <c r="CU29" s="29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1" t="n">
        <v>22</v>
      </c>
      <c r="CW29" s="21" t="n">
        <v>36</v>
      </c>
      <c r="CX29" s="27">
        <f>SUM(CV29:CW29)</f>
        <v/>
      </c>
      <c r="CY29" s="28" t="n">
        <v>64</v>
      </c>
      <c r="CZ29" s="31" t="n">
        <v>61</v>
      </c>
      <c r="DA29" s="29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1" t="n"/>
      <c r="DC29" s="21" t="n"/>
      <c r="DD29" s="27">
        <f>SUM(DB29:DC29)</f>
        <v/>
      </c>
      <c r="DE29" s="28" t="n"/>
      <c r="DF29" s="31" t="n"/>
      <c r="DG29" s="29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34">
        <f>SUM(O29,U29,AA29,AG29,AM29,AS29,AY29,BE29,BK29,BQ29,BW29,CC29,CI29,CO29,CU29,DA29,DG29)</f>
        <v/>
      </c>
      <c r="DI29" s="39">
        <f>RANK(DH29,DH$4:DH$503)</f>
        <v/>
      </c>
      <c r="DJ29" s="40" t="inlineStr">
        <is>
          <t>GOOD(4)</t>
        </is>
      </c>
      <c r="DK29" s="40" t="inlineStr">
        <is>
          <t>AVERAGE(3)</t>
        </is>
      </c>
      <c r="DL29" s="40" t="inlineStr">
        <is>
          <t>AVERAGE(3)</t>
        </is>
      </c>
      <c r="DM29" s="40" t="inlineStr">
        <is>
          <t>GOOD(4)</t>
        </is>
      </c>
      <c r="DN29" s="19" t="inlineStr">
        <is>
          <t>GOOD(4)</t>
        </is>
      </c>
      <c r="DO29" s="40" t="inlineStr">
        <is>
          <t>AVERAGE(3)</t>
        </is>
      </c>
      <c r="DP29" s="40" t="inlineStr">
        <is>
          <t>GOOD(4)</t>
        </is>
      </c>
      <c r="DQ29" s="40" t="inlineStr">
        <is>
          <t>AVERAGE(3)</t>
        </is>
      </c>
      <c r="DR29" s="43" t="inlineStr">
        <is>
          <t>2024/2025</t>
        </is>
      </c>
      <c r="DS29" s="45" t="inlineStr">
        <is>
          <t>THIRD</t>
        </is>
      </c>
      <c r="DT29" s="40" t="inlineStr">
        <is>
          <t>GOOD(4)</t>
        </is>
      </c>
      <c r="DU29" s="40" t="inlineStr">
        <is>
          <t>GOOD(4)</t>
        </is>
      </c>
      <c r="DV29" s="40" t="inlineStr">
        <is>
          <t>AVERAGE(3)</t>
        </is>
      </c>
      <c r="DW29" s="40" t="inlineStr">
        <is>
          <t>EXCELLENT(5)</t>
        </is>
      </c>
      <c r="DX29" s="40" t="inlineStr">
        <is>
          <t>EXCELLENT(5)</t>
        </is>
      </c>
      <c r="DY29" s="40" t="inlineStr">
        <is>
          <t>AVERAGE(3)</t>
        </is>
      </c>
      <c r="DZ29" s="53" t="inlineStr">
        <is>
          <t>AVERAGE(3)</t>
        </is>
      </c>
      <c r="EA29" s="54" t="inlineStr">
        <is>
          <t>Completes assignments on time and with care.</t>
        </is>
      </c>
      <c r="EB29" s="55" t="inlineStr">
        <is>
          <t>Promoted to JSS2</t>
        </is>
      </c>
      <c r="EC29" s="56" t="inlineStr">
        <is>
          <t>MR. RAHEEM A.A</t>
        </is>
      </c>
      <c r="ED29" s="57" t="inlineStr">
        <is>
          <t>Next Term Begins on Monday, 15th September, 2025</t>
        </is>
      </c>
    </row>
    <row r="30" ht="30.6" customHeight="1" s="6">
      <c r="A30" s="18" t="n">
        <v>27</v>
      </c>
      <c r="B30" s="19" t="inlineStr">
        <is>
          <t xml:space="preserve">OLAGBEMIRO OJENIHUN </t>
        </is>
      </c>
      <c r="C30" s="20" t="inlineStr">
        <is>
          <t>1963</t>
        </is>
      </c>
      <c r="D30" s="128" t="inlineStr">
        <is>
          <t>Female</t>
        </is>
      </c>
      <c r="E30" s="21" t="inlineStr">
        <is>
          <t>JSS 1B</t>
        </is>
      </c>
      <c r="F30" s="21" t="n">
        <v>39</v>
      </c>
      <c r="G30" s="21" t="n">
        <v>122</v>
      </c>
      <c r="H30" s="22" t="n">
        <v>120</v>
      </c>
      <c r="I30" s="26">
        <f>G30-H30</f>
        <v/>
      </c>
      <c r="J30" s="21" t="n">
        <v>24</v>
      </c>
      <c r="K30" s="21" t="n">
        <v>26</v>
      </c>
      <c r="L30" s="27">
        <f>SUM(J30:K30)</f>
        <v/>
      </c>
      <c r="M30" s="28" t="n">
        <v>55</v>
      </c>
      <c r="N30" s="28" t="n">
        <v>38</v>
      </c>
      <c r="O30" s="29">
        <f>IF(AND(L30=0,M30=0,N30=0),0,IF(AND(L30=0,M30=0),N30/1,IF(AND(L30=0,N30=0),M30/1,IF(AND(M30=0,N30=0),L30/1,IF(L30=0,FLOOR((M30+N30)/2,0.1),IF(M30=0,(L30+N30)/2,IF(N30=0,(M30+L30)/2,FLOOR(((L30+M30+N30)/3),0.1))))))))</f>
        <v/>
      </c>
      <c r="P30" s="21" t="n">
        <v>19</v>
      </c>
      <c r="Q30" s="21" t="n">
        <v>49</v>
      </c>
      <c r="R30" s="27">
        <f>SUM(P30:Q30)</f>
        <v/>
      </c>
      <c r="S30" s="28" t="n">
        <v>83</v>
      </c>
      <c r="T30" s="28" t="n">
        <v>76</v>
      </c>
      <c r="U30" s="29">
        <f>IF(AND(R30=0,S30=0,T30=0),0,IF(AND(R30=0,S30=0),T30/1,IF(AND(R30=0,T30=0),S30/1,IF(AND(S30=0,T30=0),R30/1,IF(R30=0,FLOOR((S30+T30)/2,0.1),IF(S30=0,(R30+T30)/2,IF(T30=0,(S30+R30)/2,FLOOR(((R30+S30+T30)/3),0.1))))))))</f>
        <v/>
      </c>
      <c r="V30" s="21" t="n">
        <v>26</v>
      </c>
      <c r="W30" s="21" t="n">
        <v>41</v>
      </c>
      <c r="X30" s="27">
        <f>SUM(V30:W30)</f>
        <v/>
      </c>
      <c r="Y30" s="28" t="n">
        <v>58</v>
      </c>
      <c r="Z30" s="28" t="n">
        <v>49</v>
      </c>
      <c r="AA30" s="29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1" t="n">
        <v>20</v>
      </c>
      <c r="AC30" s="21" t="n">
        <v>35</v>
      </c>
      <c r="AD30" s="27">
        <f>SUM(AB30:AC30)</f>
        <v/>
      </c>
      <c r="AE30" s="28" t="n">
        <v>89</v>
      </c>
      <c r="AF30" s="28" t="n">
        <v>72</v>
      </c>
      <c r="AG30" s="29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1" t="n">
        <v>27</v>
      </c>
      <c r="AI30" s="21" t="n">
        <v>25</v>
      </c>
      <c r="AJ30" s="27">
        <f>SUM(AH30:AI30)</f>
        <v/>
      </c>
      <c r="AK30" s="28" t="n">
        <v>85</v>
      </c>
      <c r="AL30" s="28" t="n">
        <v>83</v>
      </c>
      <c r="AM30" s="29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1" t="n"/>
      <c r="AO30" s="21" t="n"/>
      <c r="AP30" s="27">
        <f>SUM(AN30:AO30)</f>
        <v/>
      </c>
      <c r="AQ30" s="28" t="n"/>
      <c r="AR30" s="30" t="n"/>
      <c r="AS30" s="29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1" t="n">
        <v>10</v>
      </c>
      <c r="AU30" s="21" t="n">
        <v>42</v>
      </c>
      <c r="AV30" s="27">
        <f>SUM(AT30:AU30)</f>
        <v/>
      </c>
      <c r="AW30" s="28" t="n">
        <v>66</v>
      </c>
      <c r="AX30" s="30" t="n">
        <v>47</v>
      </c>
      <c r="AY30" s="29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1" t="n">
        <v>23</v>
      </c>
      <c r="BA30" s="21" t="n">
        <v>35</v>
      </c>
      <c r="BB30" s="27">
        <f>SUM(AZ30:BA30)</f>
        <v/>
      </c>
      <c r="BC30" s="28" t="n">
        <v>49</v>
      </c>
      <c r="BD30" s="28" t="n">
        <v>54</v>
      </c>
      <c r="BE30" s="29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1" t="n">
        <v>16</v>
      </c>
      <c r="BG30" s="21" t="n">
        <v>25</v>
      </c>
      <c r="BH30" s="27">
        <f>SUM(BF30:BG30)</f>
        <v/>
      </c>
      <c r="BI30" s="28" t="n">
        <v>48</v>
      </c>
      <c r="BJ30" s="28" t="n">
        <v>57</v>
      </c>
      <c r="BK30" s="29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1" t="n">
        <v>22</v>
      </c>
      <c r="BM30" s="21" t="n">
        <v>32</v>
      </c>
      <c r="BN30" s="27">
        <f>SUM(BL30:BM30)</f>
        <v/>
      </c>
      <c r="BO30" s="28" t="n">
        <v>68</v>
      </c>
      <c r="BP30" s="31" t="n">
        <v>55</v>
      </c>
      <c r="BQ30" s="29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1" t="n"/>
      <c r="BS30" s="21" t="n"/>
      <c r="BT30" s="27">
        <f>SUM(BR30:BS30)</f>
        <v/>
      </c>
      <c r="BU30" s="28" t="n"/>
      <c r="BV30" s="31" t="n"/>
      <c r="BW30" s="29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1" t="n">
        <v>6</v>
      </c>
      <c r="BY30" s="21" t="n">
        <v>24</v>
      </c>
      <c r="BZ30" s="27">
        <f>SUM(BX30:BY30)</f>
        <v/>
      </c>
      <c r="CA30" s="28" t="n">
        <v>43</v>
      </c>
      <c r="CB30" s="31" t="n">
        <v>67</v>
      </c>
      <c r="CC30" s="29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1" t="n">
        <v>9</v>
      </c>
      <c r="CE30" s="21" t="n">
        <v>42</v>
      </c>
      <c r="CF30" s="27">
        <f>SUM(CD30:CE30)</f>
        <v/>
      </c>
      <c r="CG30" s="28" t="n">
        <v>35</v>
      </c>
      <c r="CH30" s="31" t="n">
        <v>22</v>
      </c>
      <c r="CI30" s="29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1" t="n"/>
      <c r="CK30" s="21" t="n"/>
      <c r="CL30" s="27">
        <f>SUM(CJ30:CK30)</f>
        <v/>
      </c>
      <c r="CM30" s="28" t="n"/>
      <c r="CN30" s="31" t="n"/>
      <c r="CO30" s="29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1" t="n"/>
      <c r="CQ30" s="21" t="n"/>
      <c r="CR30" s="27">
        <f>SUM(CP30:CQ30)</f>
        <v/>
      </c>
      <c r="CS30" s="28" t="n"/>
      <c r="CT30" s="31" t="n"/>
      <c r="CU30" s="29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1" t="n">
        <v>24</v>
      </c>
      <c r="CW30" s="21" t="n">
        <v>30</v>
      </c>
      <c r="CX30" s="27">
        <f>SUM(CV30:CW30)</f>
        <v/>
      </c>
      <c r="CY30" s="28" t="n">
        <v>72</v>
      </c>
      <c r="CZ30" s="31" t="n">
        <v>63</v>
      </c>
      <c r="DA30" s="29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1" t="n"/>
      <c r="DC30" s="21" t="n"/>
      <c r="DD30" s="27">
        <f>SUM(DB30:DC30)</f>
        <v/>
      </c>
      <c r="DE30" s="28" t="n"/>
      <c r="DF30" s="31" t="n"/>
      <c r="DG30" s="29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34">
        <f>SUM(O30,U30,AA30,AG30,AM30,AS30,AY30,BE30,BK30,BQ30,BW30,CC30,CI30,CO30,CU30,DA30,DG30)</f>
        <v/>
      </c>
      <c r="DI30" s="39">
        <f>RANK(DH30,DH$4:DH$503)</f>
        <v/>
      </c>
      <c r="DJ30" s="40" t="inlineStr">
        <is>
          <t>GOOD(4)</t>
        </is>
      </c>
      <c r="DK30" s="40" t="inlineStr">
        <is>
          <t>GOOD(4)</t>
        </is>
      </c>
      <c r="DL30" s="40" t="inlineStr">
        <is>
          <t>AVERAGE(3)</t>
        </is>
      </c>
      <c r="DM30" s="40" t="inlineStr">
        <is>
          <t>AVERAGE(3)</t>
        </is>
      </c>
      <c r="DN30" s="19" t="inlineStr">
        <is>
          <t>AVERAGE(3)</t>
        </is>
      </c>
      <c r="DO30" s="40" t="inlineStr">
        <is>
          <t>AVERAGE(3)</t>
        </is>
      </c>
      <c r="DP30" s="40" t="inlineStr">
        <is>
          <t>AVERAGE(3)</t>
        </is>
      </c>
      <c r="DQ30" s="40" t="inlineStr">
        <is>
          <t>GOOD(4)</t>
        </is>
      </c>
      <c r="DR30" s="43" t="inlineStr">
        <is>
          <t>2024/2025</t>
        </is>
      </c>
      <c r="DS30" s="45" t="inlineStr">
        <is>
          <t>THIRD</t>
        </is>
      </c>
      <c r="DT30" s="40" t="inlineStr">
        <is>
          <t>GOOD(4)</t>
        </is>
      </c>
      <c r="DU30" s="40" t="inlineStr">
        <is>
          <t>GOOD(4)</t>
        </is>
      </c>
      <c r="DV30" s="40" t="inlineStr">
        <is>
          <t>GOOD(4)</t>
        </is>
      </c>
      <c r="DW30" s="40" t="inlineStr">
        <is>
          <t>GOOD(4)</t>
        </is>
      </c>
      <c r="DX30" s="40" t="inlineStr">
        <is>
          <t>AVERAGE(3)</t>
        </is>
      </c>
      <c r="DY30" s="40" t="inlineStr">
        <is>
          <t>GOOD(4)</t>
        </is>
      </c>
      <c r="DZ30" s="53" t="inlineStr">
        <is>
          <t>AVERAGE(3)</t>
        </is>
      </c>
      <c r="EA30" s="54" t="inlineStr">
        <is>
          <t>Completes assignments on time and with care.</t>
        </is>
      </c>
      <c r="EB30" s="55" t="inlineStr">
        <is>
          <t>Promoted to JSS2</t>
        </is>
      </c>
      <c r="EC30" s="56" t="inlineStr">
        <is>
          <t>MR. RAHEEM A.A</t>
        </is>
      </c>
      <c r="ED30" s="57" t="inlineStr">
        <is>
          <t>Next Term Begins on Monday, 15th September, 2025</t>
        </is>
      </c>
    </row>
    <row r="31" ht="30.6" customHeight="1" s="6">
      <c r="A31" s="18" t="n">
        <v>28</v>
      </c>
      <c r="B31" s="19" t="inlineStr">
        <is>
          <t xml:space="preserve">OLAGBENRO JULIET </t>
        </is>
      </c>
      <c r="C31" s="20" t="inlineStr">
        <is>
          <t>2036</t>
        </is>
      </c>
      <c r="D31" s="128" t="inlineStr">
        <is>
          <t>Female</t>
        </is>
      </c>
      <c r="E31" s="21" t="inlineStr">
        <is>
          <t>JSS 1B</t>
        </is>
      </c>
      <c r="F31" s="21" t="n">
        <v>39</v>
      </c>
      <c r="G31" s="21" t="n">
        <v>122</v>
      </c>
      <c r="H31" s="22" t="n">
        <v>98</v>
      </c>
      <c r="I31" s="26">
        <f>G31-H31</f>
        <v/>
      </c>
      <c r="J31" s="21" t="n">
        <v>20</v>
      </c>
      <c r="K31" s="21" t="n">
        <v>10</v>
      </c>
      <c r="L31" s="27">
        <f>SUM(J31:K31)</f>
        <v/>
      </c>
      <c r="M31" s="28" t="n">
        <v>20</v>
      </c>
      <c r="N31" s="28" t="n">
        <v>22</v>
      </c>
      <c r="O31" s="29">
        <f>IF(AND(L31=0,M31=0,N31=0),0,IF(AND(L31=0,M31=0),N31/1,IF(AND(L31=0,N31=0),M31/1,IF(AND(M31=0,N31=0),L31/1,IF(L31=0,FLOOR((M31+N31)/2,0.1),IF(M31=0,(L31+N31)/2,IF(N31=0,(M31+L31)/2,FLOOR(((L31+M31+N31)/3),0.1))))))))</f>
        <v/>
      </c>
      <c r="P31" s="21" t="n">
        <v>16</v>
      </c>
      <c r="Q31" s="21" t="n">
        <v>25</v>
      </c>
      <c r="R31" s="27">
        <f>SUM(P31:Q31)</f>
        <v/>
      </c>
      <c r="S31" s="28" t="n">
        <v>38</v>
      </c>
      <c r="T31" s="28" t="n">
        <v>40</v>
      </c>
      <c r="U31" s="29">
        <f>IF(AND(R31=0,S31=0,T31=0),0,IF(AND(R31=0,S31=0),T31/1,IF(AND(R31=0,T31=0),S31/1,IF(AND(S31=0,T31=0),R31/1,IF(R31=0,FLOOR((S31+T31)/2,0.1),IF(S31=0,(R31+T31)/2,IF(T31=0,(S31+R31)/2,FLOOR(((R31+S31+T31)/3),0.1))))))))</f>
        <v/>
      </c>
      <c r="V31" s="21" t="n">
        <v>13</v>
      </c>
      <c r="W31" s="21" t="n">
        <v>32</v>
      </c>
      <c r="X31" s="27">
        <f>SUM(V31:W31)</f>
        <v/>
      </c>
      <c r="Y31" s="28" t="n">
        <v>32</v>
      </c>
      <c r="Z31" s="28" t="n">
        <v>25</v>
      </c>
      <c r="AA31" s="29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1" t="n">
        <v>16</v>
      </c>
      <c r="AC31" s="21" t="n">
        <v>30</v>
      </c>
      <c r="AD31" s="27">
        <f>SUM(AB31:AC31)</f>
        <v/>
      </c>
      <c r="AE31" s="28" t="n">
        <v>46</v>
      </c>
      <c r="AF31" s="28" t="n">
        <v>46</v>
      </c>
      <c r="AG31" s="29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1" t="n">
        <v>7</v>
      </c>
      <c r="AI31" s="21" t="n">
        <v>25</v>
      </c>
      <c r="AJ31" s="27">
        <f>SUM(AH31:AI31)</f>
        <v/>
      </c>
      <c r="AK31" s="28" t="n">
        <v>32</v>
      </c>
      <c r="AL31" s="28" t="n">
        <v>32</v>
      </c>
      <c r="AM31" s="29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1" t="n"/>
      <c r="AO31" s="21" t="n"/>
      <c r="AP31" s="27">
        <f>SUM(AN31:AO31)</f>
        <v/>
      </c>
      <c r="AQ31" s="28" t="n"/>
      <c r="AR31" s="30" t="n"/>
      <c r="AS31" s="29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1" t="n">
        <v>10</v>
      </c>
      <c r="AU31" s="21" t="n">
        <v>26</v>
      </c>
      <c r="AV31" s="27">
        <f>SUM(AT31:AU31)</f>
        <v/>
      </c>
      <c r="AW31" s="28" t="n">
        <v>36</v>
      </c>
      <c r="AX31" s="30" t="n">
        <v>36</v>
      </c>
      <c r="AY31" s="29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1" t="n">
        <v>10</v>
      </c>
      <c r="BA31" s="21" t="n">
        <v>29</v>
      </c>
      <c r="BB31" s="27">
        <f>SUM(AZ31:BA31)</f>
        <v/>
      </c>
      <c r="BC31" s="28" t="n">
        <v>39</v>
      </c>
      <c r="BD31" s="28" t="n">
        <v>39</v>
      </c>
      <c r="BE31" s="29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1" t="n">
        <v>5</v>
      </c>
      <c r="BG31" s="21" t="n">
        <v>12</v>
      </c>
      <c r="BH31" s="27">
        <f>SUM(BF31:BG31)</f>
        <v/>
      </c>
      <c r="BI31" s="28" t="n">
        <v>17</v>
      </c>
      <c r="BJ31" s="28" t="n">
        <v>17</v>
      </c>
      <c r="BK31" s="29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1" t="n">
        <v>15</v>
      </c>
      <c r="BM31" s="21" t="n">
        <v>22</v>
      </c>
      <c r="BN31" s="27">
        <f>SUM(BL31:BM31)</f>
        <v/>
      </c>
      <c r="BO31" s="28" t="n">
        <v>45</v>
      </c>
      <c r="BP31" s="31" t="n">
        <v>30</v>
      </c>
      <c r="BQ31" s="29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1" t="n"/>
      <c r="BS31" s="21" t="n"/>
      <c r="BT31" s="27">
        <f>SUM(BR31:BS31)</f>
        <v/>
      </c>
      <c r="BU31" s="28" t="n"/>
      <c r="BV31" s="31" t="n"/>
      <c r="BW31" s="29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1" t="n">
        <v>6</v>
      </c>
      <c r="BY31" s="21" t="n">
        <v>24</v>
      </c>
      <c r="BZ31" s="27">
        <f>SUM(BX31:BY31)</f>
        <v/>
      </c>
      <c r="CA31" s="28" t="n">
        <v>43</v>
      </c>
      <c r="CB31" s="31" t="n">
        <v>67</v>
      </c>
      <c r="CC31" s="29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1" t="n">
        <v>10</v>
      </c>
      <c r="CE31" s="21" t="n">
        <v>12</v>
      </c>
      <c r="CF31" s="27">
        <f>SUM(CD31:CE31)</f>
        <v/>
      </c>
      <c r="CG31" s="28" t="n">
        <v>14</v>
      </c>
      <c r="CH31" s="31" t="n">
        <v>13</v>
      </c>
      <c r="CI31" s="29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1" t="n"/>
      <c r="CK31" s="21" t="n"/>
      <c r="CL31" s="27">
        <f>SUM(CJ31:CK31)</f>
        <v/>
      </c>
      <c r="CM31" s="28" t="n"/>
      <c r="CN31" s="31" t="n"/>
      <c r="CO31" s="29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1" t="n"/>
      <c r="CQ31" s="21" t="n"/>
      <c r="CR31" s="27">
        <f>SUM(CP31:CQ31)</f>
        <v/>
      </c>
      <c r="CS31" s="28" t="n"/>
      <c r="CT31" s="31" t="n"/>
      <c r="CU31" s="29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1" t="n">
        <v>10</v>
      </c>
      <c r="CW31" s="21" t="n">
        <v>15</v>
      </c>
      <c r="CX31" s="27">
        <f>SUM(CV31:CW31)</f>
        <v/>
      </c>
      <c r="CY31" s="28" t="n">
        <v>20</v>
      </c>
      <c r="CZ31" s="31" t="n">
        <v>22</v>
      </c>
      <c r="DA31" s="29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1" t="n"/>
      <c r="DC31" s="21" t="n"/>
      <c r="DD31" s="27">
        <f>SUM(DB31:DC31)</f>
        <v/>
      </c>
      <c r="DE31" s="28" t="n"/>
      <c r="DF31" s="31" t="n"/>
      <c r="DG31" s="29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34">
        <f>SUM(O31,U31,AA31,AG31,AM31,AS31,AY31,BE31,BK31,BQ31,BW31,CC31,CI31,CO31,CU31,DA31,DG31)</f>
        <v/>
      </c>
      <c r="DI31" s="39">
        <f>RANK(DH31,DH$4:DH$503)</f>
        <v/>
      </c>
      <c r="DJ31" s="40" t="inlineStr">
        <is>
          <t>AVERAGE(3)</t>
        </is>
      </c>
      <c r="DK31" s="40" t="inlineStr">
        <is>
          <t>AVERAGE(3)</t>
        </is>
      </c>
      <c r="DL31" s="40" t="inlineStr">
        <is>
          <t>GOOD(4)</t>
        </is>
      </c>
      <c r="DM31" s="40" t="inlineStr">
        <is>
          <t>GOOD(4)</t>
        </is>
      </c>
      <c r="DN31" s="40" t="inlineStr">
        <is>
          <t>AVERAGE(3)</t>
        </is>
      </c>
      <c r="DO31" s="40" t="inlineStr">
        <is>
          <t>AVERAGE(3)</t>
        </is>
      </c>
      <c r="DP31" s="40" t="inlineStr">
        <is>
          <t>AVERAGE(3)</t>
        </is>
      </c>
      <c r="DQ31" s="40" t="inlineStr">
        <is>
          <t>GOOD(4)</t>
        </is>
      </c>
      <c r="DR31" s="43" t="inlineStr">
        <is>
          <t>2024/2025</t>
        </is>
      </c>
      <c r="DS31" s="45" t="inlineStr">
        <is>
          <t>THIRD</t>
        </is>
      </c>
      <c r="DT31" s="40" t="inlineStr">
        <is>
          <t>AVERAGE(3)</t>
        </is>
      </c>
      <c r="DU31" s="40" t="inlineStr">
        <is>
          <t>GOOD(4)</t>
        </is>
      </c>
      <c r="DV31" s="40" t="inlineStr">
        <is>
          <t>AVERAGE(3)</t>
        </is>
      </c>
      <c r="DW31" s="40" t="inlineStr">
        <is>
          <t>GOOD(4)</t>
        </is>
      </c>
      <c r="DX31" s="40" t="inlineStr">
        <is>
          <t>EXCELLENT(5)</t>
        </is>
      </c>
      <c r="DY31" s="40" t="inlineStr">
        <is>
          <t>GOOD(4)</t>
        </is>
      </c>
      <c r="DZ31" s="53" t="inlineStr">
        <is>
          <t>AVERAGE(3)</t>
        </is>
      </c>
      <c r="EA31" s="54" t="inlineStr">
        <is>
          <t>Demonstrates a positive attitude and respect for rules.</t>
        </is>
      </c>
      <c r="EB31" s="55" t="inlineStr">
        <is>
          <t>To repeat JSS1</t>
        </is>
      </c>
      <c r="EC31" s="56" t="inlineStr">
        <is>
          <t>MR. RAHEEM A.A</t>
        </is>
      </c>
      <c r="ED31" s="57" t="inlineStr">
        <is>
          <t>Next Term Begins on Monday, 15th September, 2025</t>
        </is>
      </c>
    </row>
    <row r="32" ht="30.6" customHeight="1" s="6">
      <c r="A32" s="18" t="n">
        <v>29</v>
      </c>
      <c r="B32" s="19" t="inlineStr">
        <is>
          <t>OMOTUNDE HELLEN O.</t>
        </is>
      </c>
      <c r="C32" s="20" t="inlineStr">
        <is>
          <t>1968</t>
        </is>
      </c>
      <c r="D32" s="128" t="inlineStr">
        <is>
          <t>Female</t>
        </is>
      </c>
      <c r="E32" s="21" t="inlineStr">
        <is>
          <t>JSS 1B</t>
        </is>
      </c>
      <c r="F32" s="21" t="n">
        <v>39</v>
      </c>
      <c r="G32" s="21" t="n">
        <v>122</v>
      </c>
      <c r="H32" s="22" t="n">
        <v>33</v>
      </c>
      <c r="I32" s="26">
        <f>G32-H32</f>
        <v/>
      </c>
      <c r="J32" s="21" t="n">
        <v>23</v>
      </c>
      <c r="K32" s="21" t="n">
        <v>70</v>
      </c>
      <c r="L32" s="27">
        <f>SUM(J32:K32)</f>
        <v/>
      </c>
      <c r="M32" s="28" t="n">
        <v>61</v>
      </c>
      <c r="N32" s="28" t="n">
        <v>77</v>
      </c>
      <c r="O32" s="29">
        <f>IF(AND(L32=0,M32=0,N32=0),0,IF(AND(L32=0,M32=0),N32/1,IF(AND(L32=0,N32=0),M32/1,IF(AND(M32=0,N32=0),L32/1,IF(L32=0,FLOOR((M32+N32)/2,0.1),IF(M32=0,(L32+N32)/2,IF(N32=0,(M32+L32)/2,FLOOR(((L32+M32+N32)/3),0.1))))))))</f>
        <v/>
      </c>
      <c r="P32" s="21" t="n">
        <v>25</v>
      </c>
      <c r="Q32" s="21" t="n">
        <v>58</v>
      </c>
      <c r="R32" s="27">
        <f>SUM(P32:Q32)</f>
        <v/>
      </c>
      <c r="S32" s="28" t="n">
        <v>93</v>
      </c>
      <c r="T32" s="28" t="n">
        <v>66</v>
      </c>
      <c r="U32" s="29">
        <f>IF(AND(R32=0,S32=0,T32=0),0,IF(AND(R32=0,S32=0),T32/1,IF(AND(R32=0,T32=0),S32/1,IF(AND(S32=0,T32=0),R32/1,IF(R32=0,FLOOR((S32+T32)/2,0.1),IF(S32=0,(R32+T32)/2,IF(T32=0,(S32+R32)/2,FLOOR(((R32+S32+T32)/3),0.1))))))))</f>
        <v/>
      </c>
      <c r="V32" s="21" t="n">
        <v>30</v>
      </c>
      <c r="W32" s="21" t="n">
        <v>50</v>
      </c>
      <c r="X32" s="27">
        <f>SUM(V32:W32)</f>
        <v/>
      </c>
      <c r="Y32" s="28" t="n">
        <v>80</v>
      </c>
      <c r="Z32" s="28" t="n">
        <v>54</v>
      </c>
      <c r="AA32" s="29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1" t="n">
        <v>23</v>
      </c>
      <c r="AC32" s="21" t="n">
        <v>70</v>
      </c>
      <c r="AD32" s="27">
        <f>SUM(AB32:AC32)</f>
        <v/>
      </c>
      <c r="AE32" s="28" t="n">
        <v>61</v>
      </c>
      <c r="AF32" s="28" t="n">
        <v>77</v>
      </c>
      <c r="AG32" s="29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1" t="n">
        <v>29</v>
      </c>
      <c r="AI32" s="21" t="n">
        <v>51</v>
      </c>
      <c r="AJ32" s="27">
        <f>SUM(AH32:AI32)</f>
        <v/>
      </c>
      <c r="AK32" s="28" t="n">
        <v>89</v>
      </c>
      <c r="AL32" s="28" t="n">
        <v>77</v>
      </c>
      <c r="AM32" s="29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1" t="n"/>
      <c r="AO32" s="21" t="n"/>
      <c r="AP32" s="27">
        <f>SUM(AN32:AO32)</f>
        <v/>
      </c>
      <c r="AQ32" s="28" t="n"/>
      <c r="AR32" s="30" t="n"/>
      <c r="AS32" s="29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1" t="n">
        <v>30</v>
      </c>
      <c r="AU32" s="21" t="n">
        <v>52</v>
      </c>
      <c r="AV32" s="27">
        <f>SUM(AT32:AU32)</f>
        <v/>
      </c>
      <c r="AW32" s="28" t="n">
        <v>67</v>
      </c>
      <c r="AX32" s="30" t="n">
        <v>86</v>
      </c>
      <c r="AY32" s="29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1" t="n">
        <v>24</v>
      </c>
      <c r="BA32" s="21" t="n">
        <v>38</v>
      </c>
      <c r="BB32" s="27">
        <f>SUM(AZ32:BA32)</f>
        <v/>
      </c>
      <c r="BC32" s="28" t="n">
        <v>78</v>
      </c>
      <c r="BD32" s="28" t="n">
        <v>63</v>
      </c>
      <c r="BE32" s="29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1" t="n">
        <v>15</v>
      </c>
      <c r="BG32" s="21" t="n">
        <v>58</v>
      </c>
      <c r="BH32" s="27">
        <f>SUM(BF32:BG32)</f>
        <v/>
      </c>
      <c r="BI32" s="28" t="n">
        <v>56</v>
      </c>
      <c r="BJ32" s="28" t="n">
        <v>63</v>
      </c>
      <c r="BK32" s="29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1" t="n">
        <v>23</v>
      </c>
      <c r="BM32" s="21" t="n">
        <v>42</v>
      </c>
      <c r="BN32" s="27">
        <f>SUM(BL32:BM32)</f>
        <v/>
      </c>
      <c r="BO32" s="28" t="n">
        <v>83</v>
      </c>
      <c r="BP32" s="31" t="n">
        <v>44</v>
      </c>
      <c r="BQ32" s="29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1" t="n"/>
      <c r="BS32" s="21" t="n"/>
      <c r="BT32" s="27">
        <f>SUM(BR32:BS32)</f>
        <v/>
      </c>
      <c r="BU32" s="28" t="n"/>
      <c r="BV32" s="31" t="n"/>
      <c r="BW32" s="29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1" t="n">
        <v>6</v>
      </c>
      <c r="BY32" s="21" t="n">
        <v>24</v>
      </c>
      <c r="BZ32" s="27">
        <f>SUM(BX32:BY32)</f>
        <v/>
      </c>
      <c r="CA32" s="28" t="n">
        <v>43</v>
      </c>
      <c r="CB32" s="31" t="n">
        <v>67</v>
      </c>
      <c r="CC32" s="29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1" t="n">
        <v>14</v>
      </c>
      <c r="CE32" s="21" t="n">
        <v>39</v>
      </c>
      <c r="CF32" s="27">
        <f>SUM(CD32:CE32)</f>
        <v/>
      </c>
      <c r="CG32" s="28" t="n">
        <v>84</v>
      </c>
      <c r="CH32" s="31" t="n">
        <v>49</v>
      </c>
      <c r="CI32" s="29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1" t="n"/>
      <c r="CK32" s="21" t="n"/>
      <c r="CL32" s="27">
        <f>SUM(CJ32:CK32)</f>
        <v/>
      </c>
      <c r="CM32" s="28" t="n"/>
      <c r="CN32" s="31" t="n"/>
      <c r="CO32" s="29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1" t="n"/>
      <c r="CQ32" s="21" t="n"/>
      <c r="CR32" s="27">
        <f>SUM(CP32:CQ32)</f>
        <v/>
      </c>
      <c r="CS32" s="28" t="n"/>
      <c r="CT32" s="31" t="n"/>
      <c r="CU32" s="29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1" t="n">
        <v>30</v>
      </c>
      <c r="CW32" s="21" t="n">
        <v>36</v>
      </c>
      <c r="CX32" s="27">
        <f>SUM(CV32:CW32)</f>
        <v/>
      </c>
      <c r="CY32" s="28" t="n">
        <v>97</v>
      </c>
      <c r="CZ32" s="31" t="n">
        <v>82</v>
      </c>
      <c r="DA32" s="29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1" t="n"/>
      <c r="DC32" s="21" t="n"/>
      <c r="DD32" s="27">
        <f>SUM(DB32:DC32)</f>
        <v/>
      </c>
      <c r="DE32" s="28" t="n"/>
      <c r="DF32" s="31" t="n"/>
      <c r="DG32" s="29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34">
        <f>SUM(O32,U32,AA32,AG32,AM32,AS32,AY32,BE32,BK32,BQ32,BW32,CC32,CI32,CO32,CU32,DA32,DG32)</f>
        <v/>
      </c>
      <c r="DI32" s="39">
        <f>RANK(DH32,DH$4:DH$503)</f>
        <v/>
      </c>
      <c r="DJ32" s="40" t="inlineStr">
        <is>
          <t>AVERAGE(3)</t>
        </is>
      </c>
      <c r="DK32" s="40" t="inlineStr">
        <is>
          <t>AVERAGE(3)</t>
        </is>
      </c>
      <c r="DL32" s="40" t="inlineStr">
        <is>
          <t>AVERAGE(3)</t>
        </is>
      </c>
      <c r="DM32" s="40" t="inlineStr">
        <is>
          <t>AVERAGE(3)</t>
        </is>
      </c>
      <c r="DN32" s="40" t="inlineStr">
        <is>
          <t>CHOOSE RATING</t>
        </is>
      </c>
      <c r="DO32" s="40" t="inlineStr">
        <is>
          <t>AVERAGE(3)</t>
        </is>
      </c>
      <c r="DP32" s="40" t="inlineStr">
        <is>
          <t>GOOD(4)</t>
        </is>
      </c>
      <c r="DQ32" s="40" t="inlineStr">
        <is>
          <t>GOOD(4)</t>
        </is>
      </c>
      <c r="DR32" s="43" t="inlineStr">
        <is>
          <t>2024/2025</t>
        </is>
      </c>
      <c r="DS32" s="45" t="inlineStr">
        <is>
          <t>THIRD</t>
        </is>
      </c>
      <c r="DT32" s="40" t="inlineStr">
        <is>
          <t>GOOD(4)</t>
        </is>
      </c>
      <c r="DU32" s="40" t="inlineStr">
        <is>
          <t>GOOD(4)</t>
        </is>
      </c>
      <c r="DV32" s="40" t="inlineStr">
        <is>
          <t>AVERAGE(3)</t>
        </is>
      </c>
      <c r="DW32" s="40" t="inlineStr">
        <is>
          <t>OPTIONAL</t>
        </is>
      </c>
      <c r="DX32" s="40" t="inlineStr">
        <is>
          <t>GOOD(4)</t>
        </is>
      </c>
      <c r="DY32" s="40" t="inlineStr">
        <is>
          <t>EXCELLENT(5)</t>
        </is>
      </c>
      <c r="DZ32" s="53" t="inlineStr">
        <is>
          <t>GOOD(4)</t>
        </is>
      </c>
      <c r="EA32" s="54" t="inlineStr">
        <is>
          <t>Is a quiet student but attentive and engaged.</t>
        </is>
      </c>
      <c r="EB32" s="55" t="inlineStr">
        <is>
          <t>Promoted to JSS2</t>
        </is>
      </c>
      <c r="EC32" s="56" t="inlineStr">
        <is>
          <t>MR. RAHEEM A.A</t>
        </is>
      </c>
      <c r="ED32" s="57" t="inlineStr">
        <is>
          <t>Next Term Begins on Monday, 15th September, 2025</t>
        </is>
      </c>
    </row>
    <row r="33" ht="30.6" customHeight="1" s="6">
      <c r="A33" s="18" t="n">
        <v>30</v>
      </c>
      <c r="B33" s="19" t="inlineStr">
        <is>
          <t>RAHEEM MARIAM W.</t>
        </is>
      </c>
      <c r="C33" s="20" t="inlineStr">
        <is>
          <t>1974</t>
        </is>
      </c>
      <c r="D33" s="128" t="inlineStr">
        <is>
          <t>Female</t>
        </is>
      </c>
      <c r="E33" s="21" t="inlineStr">
        <is>
          <t>JSS 1B</t>
        </is>
      </c>
      <c r="F33" s="21" t="n">
        <v>39</v>
      </c>
      <c r="G33" s="21" t="n">
        <v>122</v>
      </c>
      <c r="H33" s="22" t="n">
        <v>41</v>
      </c>
      <c r="I33" s="26">
        <f>G33-H33</f>
        <v/>
      </c>
      <c r="J33" s="21" t="n">
        <v>18</v>
      </c>
      <c r="K33" s="21" t="n">
        <v>13</v>
      </c>
      <c r="L33" s="27">
        <f>SUM(J33:K33)</f>
        <v/>
      </c>
      <c r="M33" s="28" t="n">
        <v>17</v>
      </c>
      <c r="N33" s="28" t="n">
        <v>15</v>
      </c>
      <c r="O33" s="29">
        <f>IF(AND(L33=0,M33=0,N33=0),0,IF(AND(L33=0,M33=0),N33/1,IF(AND(L33=0,N33=0),M33/1,IF(AND(M33=0,N33=0),L33/1,IF(L33=0,FLOOR((M33+N33)/2,0.1),IF(M33=0,(L33+N33)/2,IF(N33=0,(M33+L33)/2,FLOOR(((L33+M33+N33)/3),0.1))))))))</f>
        <v/>
      </c>
      <c r="P33" s="21" t="n">
        <v>16</v>
      </c>
      <c r="Q33" s="21" t="n">
        <v>35</v>
      </c>
      <c r="R33" s="27">
        <f>SUM(P33:Q33)</f>
        <v/>
      </c>
      <c r="S33" s="28" t="n">
        <v>52</v>
      </c>
      <c r="T33" s="28" t="n">
        <v>36</v>
      </c>
      <c r="U33" s="29">
        <f>IF(AND(R33=0,S33=0,T33=0),0,IF(AND(R33=0,S33=0),T33/1,IF(AND(R33=0,T33=0),S33/1,IF(AND(S33=0,T33=0),R33/1,IF(R33=0,FLOOR((S33+T33)/2,0.1),IF(S33=0,(R33+T33)/2,IF(T33=0,(S33+R33)/2,FLOOR(((R33+S33+T33)/3),0.1))))))))</f>
        <v/>
      </c>
      <c r="V33" s="21" t="n">
        <v>13</v>
      </c>
      <c r="W33" s="21" t="n">
        <v>40</v>
      </c>
      <c r="X33" s="27">
        <f>SUM(V33:W33)</f>
        <v/>
      </c>
      <c r="Y33" s="28" t="n">
        <v>48</v>
      </c>
      <c r="Z33" s="28" t="n">
        <v>54</v>
      </c>
      <c r="AA33" s="29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1" t="n">
        <v>25</v>
      </c>
      <c r="AC33" s="21" t="n">
        <v>34</v>
      </c>
      <c r="AD33" s="27">
        <f>SUM(AB33:AC33)</f>
        <v/>
      </c>
      <c r="AE33" s="28" t="n">
        <v>89</v>
      </c>
      <c r="AF33" s="28" t="n">
        <v>74</v>
      </c>
      <c r="AG33" s="29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1" t="n">
        <v>25</v>
      </c>
      <c r="AI33" s="21" t="n">
        <v>28</v>
      </c>
      <c r="AJ33" s="27">
        <f>SUM(AH33:AI33)</f>
        <v/>
      </c>
      <c r="AK33" s="28" t="n">
        <v>50</v>
      </c>
      <c r="AL33" s="28" t="n">
        <v>25</v>
      </c>
      <c r="AM33" s="29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1" t="n"/>
      <c r="AO33" s="21" t="n"/>
      <c r="AP33" s="27">
        <f>SUM(AN33:AO33)</f>
        <v/>
      </c>
      <c r="AQ33" s="28" t="n"/>
      <c r="AR33" s="30" t="n"/>
      <c r="AS33" s="29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1" t="n">
        <v>16</v>
      </c>
      <c r="AU33" s="21" t="n">
        <v>35</v>
      </c>
      <c r="AV33" s="27">
        <f>SUM(AT33:AU33)</f>
        <v/>
      </c>
      <c r="AW33" s="28" t="n">
        <v>31</v>
      </c>
      <c r="AX33" s="30" t="n">
        <v>32</v>
      </c>
      <c r="AY33" s="29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1" t="n">
        <v>21</v>
      </c>
      <c r="BA33" s="21" t="n">
        <v>35</v>
      </c>
      <c r="BB33" s="27">
        <f>SUM(AZ33:BA33)</f>
        <v/>
      </c>
      <c r="BC33" s="28" t="n">
        <v>39</v>
      </c>
      <c r="BD33" s="28" t="n">
        <v>48</v>
      </c>
      <c r="BE33" s="29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1" t="n">
        <v>16</v>
      </c>
      <c r="BG33" s="21" t="n">
        <v>35</v>
      </c>
      <c r="BH33" s="27">
        <f>SUM(BF33:BG33)</f>
        <v/>
      </c>
      <c r="BI33" s="28" t="n">
        <v>50</v>
      </c>
      <c r="BJ33" s="28" t="n">
        <v>23</v>
      </c>
      <c r="BK33" s="29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1" t="n">
        <v>19</v>
      </c>
      <c r="BM33" s="21" t="n">
        <v>38</v>
      </c>
      <c r="BN33" s="27">
        <f>SUM(BL33:BM33)</f>
        <v/>
      </c>
      <c r="BO33" s="28" t="n">
        <v>48</v>
      </c>
      <c r="BP33" s="31" t="n">
        <v>42</v>
      </c>
      <c r="BQ33" s="29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1" t="n"/>
      <c r="BS33" s="21" t="n"/>
      <c r="BT33" s="27">
        <f>SUM(BR33:BS33)</f>
        <v/>
      </c>
      <c r="BU33" s="28" t="n"/>
      <c r="BV33" s="31" t="n"/>
      <c r="BW33" s="29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1" t="n">
        <v>6</v>
      </c>
      <c r="BY33" s="21" t="n">
        <v>24</v>
      </c>
      <c r="BZ33" s="27">
        <f>SUM(BX33:BY33)</f>
        <v/>
      </c>
      <c r="CA33" s="28" t="n">
        <v>43</v>
      </c>
      <c r="CB33" s="31" t="n">
        <v>67</v>
      </c>
      <c r="CC33" s="29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1" t="n">
        <v>18</v>
      </c>
      <c r="CE33" s="21" t="n">
        <v>35</v>
      </c>
      <c r="CF33" s="27">
        <f>SUM(CD33:CE33)</f>
        <v/>
      </c>
      <c r="CG33" s="28" t="n">
        <v>18</v>
      </c>
      <c r="CH33" s="31" t="n">
        <v>22</v>
      </c>
      <c r="CI33" s="29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1" t="n"/>
      <c r="CK33" s="21" t="n"/>
      <c r="CL33" s="27">
        <f>SUM(CJ33:CK33)</f>
        <v/>
      </c>
      <c r="CM33" s="28" t="n"/>
      <c r="CN33" s="31" t="n"/>
      <c r="CO33" s="29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1" t="n">
        <v>20</v>
      </c>
      <c r="CQ33" s="21" t="n">
        <v>26</v>
      </c>
      <c r="CR33" s="27">
        <f>SUM(CP33:CQ33)</f>
        <v/>
      </c>
      <c r="CS33" s="28" t="n">
        <v>34</v>
      </c>
      <c r="CT33" s="31" t="n">
        <v>38</v>
      </c>
      <c r="CU33" s="29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1" t="n"/>
      <c r="CW33" s="21" t="n"/>
      <c r="CX33" s="27">
        <f>SUM(CV33:CW33)</f>
        <v/>
      </c>
      <c r="CY33" s="28" t="n"/>
      <c r="CZ33" s="31" t="n"/>
      <c r="DA33" s="29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1" t="n"/>
      <c r="DC33" s="21" t="n"/>
      <c r="DD33" s="27">
        <f>SUM(DB33:DC33)</f>
        <v/>
      </c>
      <c r="DE33" s="28" t="n"/>
      <c r="DF33" s="31" t="n"/>
      <c r="DG33" s="29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34">
        <f>SUM(O33,U33,AA33,AG33,AM33,AS33,AY33,BE33,BK33,BQ33,BW33,CC33,CI33,CO33,CU33,DA33,DG33)</f>
        <v/>
      </c>
      <c r="DI33" s="39">
        <f>RANK(DH33,DH$4:DH$503)</f>
        <v/>
      </c>
      <c r="DJ33" s="40" t="inlineStr">
        <is>
          <t>GOOD(4)</t>
        </is>
      </c>
      <c r="DK33" s="40" t="inlineStr">
        <is>
          <t>AVERAGE(3)</t>
        </is>
      </c>
      <c r="DL33" s="40" t="inlineStr">
        <is>
          <t>AVERAGE(3)</t>
        </is>
      </c>
      <c r="DM33" s="40" t="inlineStr">
        <is>
          <t>AVERAGE(3)</t>
        </is>
      </c>
      <c r="DN33" s="40" t="inlineStr">
        <is>
          <t>GOOD(4)</t>
        </is>
      </c>
      <c r="DO33" s="40" t="inlineStr">
        <is>
          <t>AVERAGE(3)</t>
        </is>
      </c>
      <c r="DP33" s="40" t="inlineStr">
        <is>
          <t>AVERAGE(3)</t>
        </is>
      </c>
      <c r="DQ33" s="40" t="inlineStr">
        <is>
          <t>GOOD(4)</t>
        </is>
      </c>
      <c r="DR33" s="43" t="inlineStr">
        <is>
          <t>2024/2025</t>
        </is>
      </c>
      <c r="DS33" s="45" t="inlineStr">
        <is>
          <t>THIRD</t>
        </is>
      </c>
      <c r="DT33" s="40" t="inlineStr">
        <is>
          <t>AVERAGE(3)</t>
        </is>
      </c>
      <c r="DU33" s="40" t="inlineStr">
        <is>
          <t>EXCELLENT(5)</t>
        </is>
      </c>
      <c r="DV33" s="40" t="inlineStr">
        <is>
          <t>AVERAGE(3)</t>
        </is>
      </c>
      <c r="DW33" s="40" t="inlineStr">
        <is>
          <t>GOOD(4)</t>
        </is>
      </c>
      <c r="DX33" s="40" t="inlineStr">
        <is>
          <t>GOOD(4)</t>
        </is>
      </c>
      <c r="DY33" s="40" t="inlineStr">
        <is>
          <t>GOOD(4)</t>
        </is>
      </c>
      <c r="DZ33" s="53" t="inlineStr">
        <is>
          <t>GOOD(4)</t>
        </is>
      </c>
      <c r="EA33" s="54" t="inlineStr">
        <is>
          <t>Excels in most subjects and demonstrates a strong grasp of concepts.</t>
        </is>
      </c>
      <c r="EB33" s="55" t="inlineStr">
        <is>
          <t>Promoted to JSS2</t>
        </is>
      </c>
      <c r="EC33" s="56" t="inlineStr">
        <is>
          <t>MR. RAHEEM A.A</t>
        </is>
      </c>
      <c r="ED33" s="57" t="inlineStr">
        <is>
          <t>Next Term Begins on Monday, 15th September, 2025</t>
        </is>
      </c>
    </row>
    <row r="34" ht="30.6" customHeight="1" s="6">
      <c r="A34" s="18" t="n">
        <v>31</v>
      </c>
      <c r="B34" s="19" t="inlineStr">
        <is>
          <t xml:space="preserve">RAUF RAHAMAN </t>
        </is>
      </c>
      <c r="C34" s="20" t="inlineStr">
        <is>
          <t>2049</t>
        </is>
      </c>
      <c r="D34" s="128" t="inlineStr">
        <is>
          <t>Male</t>
        </is>
      </c>
      <c r="E34" s="21" t="inlineStr">
        <is>
          <t>JSS 1B</t>
        </is>
      </c>
      <c r="F34" s="21" t="n">
        <v>39</v>
      </c>
      <c r="G34" s="21" t="n">
        <v>122</v>
      </c>
      <c r="H34" s="22" t="n">
        <v>32</v>
      </c>
      <c r="I34" s="26">
        <f>G34-H34</f>
        <v/>
      </c>
      <c r="J34" s="21" t="n">
        <v>18</v>
      </c>
      <c r="K34" s="21" t="n">
        <v>13</v>
      </c>
      <c r="L34" s="27">
        <f>SUM(J34:K34)</f>
        <v/>
      </c>
      <c r="M34" s="28" t="n">
        <v>21</v>
      </c>
      <c r="N34" s="28" t="n">
        <v>10</v>
      </c>
      <c r="O34" s="29">
        <f>IF(AND(L34=0,M34=0,N34=0),0,IF(AND(L34=0,M34=0),N34/1,IF(AND(L34=0,N34=0),M34/1,IF(AND(M34=0,N34=0),L34/1,IF(L34=0,FLOOR((M34+N34)/2,0.1),IF(M34=0,(L34+N34)/2,IF(N34=0,(M34+L34)/2,FLOOR(((L34+M34+N34)/3),0.1))))))))</f>
        <v/>
      </c>
      <c r="P34" s="21" t="n">
        <v>17</v>
      </c>
      <c r="Q34" s="21" t="n">
        <v>24</v>
      </c>
      <c r="R34" s="27">
        <f>SUM(P34:Q34)</f>
        <v/>
      </c>
      <c r="S34" s="28" t="n">
        <v>54</v>
      </c>
      <c r="T34" s="28" t="n">
        <v>39</v>
      </c>
      <c r="U34" s="29">
        <f>IF(AND(R34=0,S34=0,T34=0),0,IF(AND(R34=0,S34=0),T34/1,IF(AND(R34=0,T34=0),S34/1,IF(AND(S34=0,T34=0),R34/1,IF(R34=0,FLOOR((S34+T34)/2,0.1),IF(S34=0,(R34+T34)/2,IF(T34=0,(S34+R34)/2,FLOOR(((R34+S34+T34)/3),0.1))))))))</f>
        <v/>
      </c>
      <c r="V34" s="21" t="n">
        <v>15</v>
      </c>
      <c r="W34" s="21" t="n">
        <v>31</v>
      </c>
      <c r="X34" s="27">
        <f>SUM(V34:W34)</f>
        <v/>
      </c>
      <c r="Y34" s="28" t="n">
        <v>32</v>
      </c>
      <c r="Z34" s="28" t="n">
        <v>34</v>
      </c>
      <c r="AA34" s="29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1" t="n">
        <v>11</v>
      </c>
      <c r="AC34" s="21" t="n">
        <v>31</v>
      </c>
      <c r="AD34" s="27">
        <f>SUM(AB34:AC34)</f>
        <v/>
      </c>
      <c r="AE34" s="28" t="n">
        <v>42</v>
      </c>
      <c r="AF34" s="28" t="n">
        <v>42</v>
      </c>
      <c r="AG34" s="29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1" t="n">
        <v>9</v>
      </c>
      <c r="AI34" s="21" t="n">
        <v>20</v>
      </c>
      <c r="AJ34" s="27">
        <f>SUM(AH34:AI34)</f>
        <v/>
      </c>
      <c r="AK34" s="28" t="n">
        <v>29</v>
      </c>
      <c r="AL34" s="28" t="n">
        <v>29</v>
      </c>
      <c r="AM34" s="29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1" t="n"/>
      <c r="AO34" s="21" t="n"/>
      <c r="AP34" s="27">
        <f>SUM(AN34:AO34)</f>
        <v/>
      </c>
      <c r="AQ34" s="28" t="n"/>
      <c r="AR34" s="30" t="n"/>
      <c r="AS34" s="29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1" t="n">
        <v>16</v>
      </c>
      <c r="AU34" s="21" t="n">
        <v>23</v>
      </c>
      <c r="AV34" s="27">
        <f>SUM(AT34:AU34)</f>
        <v/>
      </c>
      <c r="AW34" s="28" t="n">
        <v>39</v>
      </c>
      <c r="AX34" s="30" t="n">
        <v>39</v>
      </c>
      <c r="AY34" s="29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1" t="n">
        <v>10</v>
      </c>
      <c r="BA34" s="21" t="n">
        <v>29</v>
      </c>
      <c r="BB34" s="27">
        <f>SUM(AZ34:BA34)</f>
        <v/>
      </c>
      <c r="BC34" s="28" t="n">
        <v>39</v>
      </c>
      <c r="BD34" s="28" t="n">
        <v>39</v>
      </c>
      <c r="BE34" s="29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1" t="n">
        <v>5</v>
      </c>
      <c r="BG34" s="21" t="n">
        <v>12</v>
      </c>
      <c r="BH34" s="27">
        <f>SUM(BF34:BG34)</f>
        <v/>
      </c>
      <c r="BI34" s="28" t="n">
        <v>17</v>
      </c>
      <c r="BJ34" s="28" t="n">
        <v>17</v>
      </c>
      <c r="BK34" s="29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1" t="n">
        <v>15</v>
      </c>
      <c r="BM34" s="21" t="n">
        <v>21</v>
      </c>
      <c r="BN34" s="27">
        <f>SUM(BL34:BM34)</f>
        <v/>
      </c>
      <c r="BO34" s="28" t="n">
        <v>45</v>
      </c>
      <c r="BP34" s="31" t="n">
        <v>22</v>
      </c>
      <c r="BQ34" s="29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1" t="n"/>
      <c r="BS34" s="21" t="n"/>
      <c r="BT34" s="27">
        <f>SUM(BR34:BS34)</f>
        <v/>
      </c>
      <c r="BU34" s="28" t="n"/>
      <c r="BV34" s="31" t="n"/>
      <c r="BW34" s="29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1" t="n">
        <v>6</v>
      </c>
      <c r="BY34" s="21" t="n">
        <v>24</v>
      </c>
      <c r="BZ34" s="27">
        <f>SUM(BX34:BY34)</f>
        <v/>
      </c>
      <c r="CA34" s="28" t="n">
        <v>43</v>
      </c>
      <c r="CB34" s="31" t="n">
        <v>67</v>
      </c>
      <c r="CC34" s="29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1" t="n">
        <v>12</v>
      </c>
      <c r="CE34" s="21" t="n">
        <v>13</v>
      </c>
      <c r="CF34" s="27">
        <f>SUM(CD34:CE34)</f>
        <v/>
      </c>
      <c r="CG34" s="28" t="n">
        <v>12</v>
      </c>
      <c r="CH34" s="31" t="n">
        <v>14</v>
      </c>
      <c r="CI34" s="29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1" t="n"/>
      <c r="CK34" s="21" t="n"/>
      <c r="CL34" s="27">
        <f>SUM(CJ34:CK34)</f>
        <v/>
      </c>
      <c r="CM34" s="28" t="n"/>
      <c r="CN34" s="31" t="n"/>
      <c r="CO34" s="29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1" t="n">
        <v>12</v>
      </c>
      <c r="CQ34" s="21" t="n">
        <v>11</v>
      </c>
      <c r="CR34" s="27">
        <f>SUM(CP34:CQ34)</f>
        <v/>
      </c>
      <c r="CS34" s="28" t="n">
        <v>14</v>
      </c>
      <c r="CT34" s="31" t="n">
        <v>13</v>
      </c>
      <c r="CU34" s="29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1" t="n"/>
      <c r="CW34" s="21" t="n"/>
      <c r="CX34" s="27">
        <f>SUM(CV34:CW34)</f>
        <v/>
      </c>
      <c r="CY34" s="28" t="n"/>
      <c r="CZ34" s="31" t="n"/>
      <c r="DA34" s="29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1" t="n"/>
      <c r="DC34" s="21" t="n"/>
      <c r="DD34" s="27">
        <f>SUM(DB34:DC34)</f>
        <v/>
      </c>
      <c r="DE34" s="28" t="n"/>
      <c r="DF34" s="31" t="n"/>
      <c r="DG34" s="29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34">
        <f>SUM(O34,U34,AA34,AG34,AM34,AS34,AY34,BE34,BK34,BQ34,BW34,CC34,CI34,CO34,CU34,DA34,DG34)</f>
        <v/>
      </c>
      <c r="DI34" s="39">
        <f>RANK(DH34,DH$4:DH$503)</f>
        <v/>
      </c>
      <c r="DJ34" s="40" t="inlineStr">
        <is>
          <t>GOOD(4)</t>
        </is>
      </c>
      <c r="DK34" s="40" t="inlineStr">
        <is>
          <t>AVERAGE(3)</t>
        </is>
      </c>
      <c r="DL34" s="40" t="inlineStr">
        <is>
          <t>GOOD(4)</t>
        </is>
      </c>
      <c r="DM34" s="40" t="inlineStr">
        <is>
          <t>AVERAGE(3)</t>
        </is>
      </c>
      <c r="DN34" s="40" t="inlineStr">
        <is>
          <t>GOOD(4)</t>
        </is>
      </c>
      <c r="DO34" s="40" t="inlineStr">
        <is>
          <t>AVERAGE(3)</t>
        </is>
      </c>
      <c r="DP34" s="40" t="inlineStr">
        <is>
          <t>AVERAGE(3)</t>
        </is>
      </c>
      <c r="DQ34" s="40" t="inlineStr">
        <is>
          <t>GOOD(4)</t>
        </is>
      </c>
      <c r="DR34" s="43" t="inlineStr">
        <is>
          <t>2024/2025</t>
        </is>
      </c>
      <c r="DS34" s="45" t="inlineStr">
        <is>
          <t>THIRD</t>
        </is>
      </c>
      <c r="DT34" s="40" t="inlineStr">
        <is>
          <t>AVERAGE(3)</t>
        </is>
      </c>
      <c r="DU34" s="40" t="inlineStr">
        <is>
          <t>GOOD(4)</t>
        </is>
      </c>
      <c r="DV34" s="40" t="inlineStr">
        <is>
          <t>AVERAGE(3)</t>
        </is>
      </c>
      <c r="DW34" s="40" t="inlineStr">
        <is>
          <t>EXCELLENT(5)</t>
        </is>
      </c>
      <c r="DX34" s="40" t="inlineStr">
        <is>
          <t>AVERAGE(3)</t>
        </is>
      </c>
      <c r="DY34" s="40" t="inlineStr">
        <is>
          <t>AVERAGE(3)</t>
        </is>
      </c>
      <c r="DZ34" s="53" t="inlineStr">
        <is>
          <t>GOOD(4)</t>
        </is>
      </c>
      <c r="EA34" s="54" t="inlineStr">
        <is>
          <t>Demonstrates a positive attitude and respect for rules.</t>
        </is>
      </c>
      <c r="EB34" s="55" t="inlineStr">
        <is>
          <t>To repeat JSS1</t>
        </is>
      </c>
      <c r="EC34" s="56" t="inlineStr">
        <is>
          <t>MR. RAHEEM A.A</t>
        </is>
      </c>
      <c r="ED34" s="57" t="inlineStr">
        <is>
          <t>Next Term Begins on Monday, 15th September, 2025</t>
        </is>
      </c>
    </row>
    <row r="35" ht="30.6" customHeight="1" s="6">
      <c r="A35" s="18" t="n">
        <v>32</v>
      </c>
      <c r="B35" s="19" t="inlineStr">
        <is>
          <t>SAHEED BASHEET O.</t>
        </is>
      </c>
      <c r="C35" s="20" t="inlineStr">
        <is>
          <t>1977</t>
        </is>
      </c>
      <c r="D35" s="128" t="inlineStr">
        <is>
          <t>Male</t>
        </is>
      </c>
      <c r="E35" s="21" t="inlineStr">
        <is>
          <t>JSS 1B</t>
        </is>
      </c>
      <c r="F35" s="21" t="n">
        <v>39</v>
      </c>
      <c r="G35" s="21" t="n">
        <v>122</v>
      </c>
      <c r="H35" s="22" t="n">
        <v>45</v>
      </c>
      <c r="I35" s="26">
        <f>G35-H35</f>
        <v/>
      </c>
      <c r="J35" s="21" t="n">
        <v>24</v>
      </c>
      <c r="K35" s="21" t="n">
        <v>14</v>
      </c>
      <c r="L35" s="27">
        <f>SUM(J35:K35)</f>
        <v/>
      </c>
      <c r="M35" s="28" t="n">
        <v>37</v>
      </c>
      <c r="N35" s="28" t="n">
        <v>48</v>
      </c>
      <c r="O35" s="29">
        <f>IF(AND(L35=0,M35=0,N35=0),0,IF(AND(L35=0,M35=0),N35/1,IF(AND(L35=0,N35=0),M35/1,IF(AND(M35=0,N35=0),L35/1,IF(L35=0,FLOOR((M35+N35)/2,0.1),IF(M35=0,(L35+N35)/2,IF(N35=0,(M35+L35)/2,FLOOR(((L35+M35+N35)/3),0.1))))))))</f>
        <v/>
      </c>
      <c r="P35" s="21" t="n">
        <v>19</v>
      </c>
      <c r="Q35" s="21" t="n">
        <v>36</v>
      </c>
      <c r="R35" s="27">
        <f>SUM(P35:Q35)</f>
        <v/>
      </c>
      <c r="S35" s="28" t="n">
        <v>68</v>
      </c>
      <c r="T35" s="28" t="n">
        <v>62</v>
      </c>
      <c r="U35" s="29">
        <f>IF(AND(R35=0,S35=0,T35=0),0,IF(AND(R35=0,S35=0),T35/1,IF(AND(R35=0,T35=0),S35/1,IF(AND(S35=0,T35=0),R35/1,IF(R35=0,FLOOR((S35+T35)/2,0.1),IF(S35=0,(R35+T35)/2,IF(T35=0,(S35+R35)/2,FLOOR(((R35+S35+T35)/3),0.1))))))))</f>
        <v/>
      </c>
      <c r="V35" s="21" t="n">
        <v>14</v>
      </c>
      <c r="W35" s="21" t="n">
        <v>40</v>
      </c>
      <c r="X35" s="27">
        <f>SUM(V35:W35)</f>
        <v/>
      </c>
      <c r="Y35" s="28" t="n">
        <v>63</v>
      </c>
      <c r="Z35" s="28" t="n">
        <v>54</v>
      </c>
      <c r="AA35" s="29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1" t="n">
        <v>20</v>
      </c>
      <c r="AC35" s="21" t="n">
        <v>44</v>
      </c>
      <c r="AD35" s="27">
        <f>SUM(AB35:AC35)</f>
        <v/>
      </c>
      <c r="AE35" s="28" t="n">
        <v>74</v>
      </c>
      <c r="AF35" s="28" t="n">
        <v>69</v>
      </c>
      <c r="AG35" s="29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1" t="n">
        <v>30</v>
      </c>
      <c r="AI35" s="21" t="n">
        <v>32</v>
      </c>
      <c r="AJ35" s="27">
        <f>SUM(AH35:AI35)</f>
        <v/>
      </c>
      <c r="AK35" s="28" t="n">
        <v>64</v>
      </c>
      <c r="AL35" s="28" t="n">
        <v>62</v>
      </c>
      <c r="AM35" s="29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1" t="n"/>
      <c r="AO35" s="21" t="n"/>
      <c r="AP35" s="27">
        <f>SUM(AN35:AO35)</f>
        <v/>
      </c>
      <c r="AQ35" s="28" t="n"/>
      <c r="AR35" s="30" t="n"/>
      <c r="AS35" s="29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1" t="n">
        <v>20</v>
      </c>
      <c r="AU35" s="21" t="n">
        <v>31</v>
      </c>
      <c r="AV35" s="27">
        <f>SUM(AT35:AU35)</f>
        <v/>
      </c>
      <c r="AW35" s="28" t="n">
        <v>53</v>
      </c>
      <c r="AX35" s="30" t="n">
        <v>46</v>
      </c>
      <c r="AY35" s="29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1" t="n">
        <v>21</v>
      </c>
      <c r="BA35" s="21" t="n">
        <v>29</v>
      </c>
      <c r="BB35" s="27">
        <f>SUM(AZ35:BA35)</f>
        <v/>
      </c>
      <c r="BC35" s="28" t="n">
        <v>56</v>
      </c>
      <c r="BD35" s="28" t="n">
        <v>39</v>
      </c>
      <c r="BE35" s="29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1" t="n">
        <v>18</v>
      </c>
      <c r="BG35" s="21" t="n">
        <v>36</v>
      </c>
      <c r="BH35" s="27">
        <f>SUM(BF35:BG35)</f>
        <v/>
      </c>
      <c r="BI35" s="28" t="n">
        <v>59</v>
      </c>
      <c r="BJ35" s="28" t="n">
        <v>52</v>
      </c>
      <c r="BK35" s="29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1" t="n">
        <v>17</v>
      </c>
      <c r="BM35" s="21" t="n">
        <v>34</v>
      </c>
      <c r="BN35" s="27">
        <f>SUM(BL35:BM35)</f>
        <v/>
      </c>
      <c r="BO35" s="28" t="n">
        <v>59</v>
      </c>
      <c r="BP35" s="31" t="n">
        <v>63</v>
      </c>
      <c r="BQ35" s="29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1" t="n"/>
      <c r="BS35" s="21" t="n"/>
      <c r="BT35" s="27">
        <f>SUM(BR35:BS35)</f>
        <v/>
      </c>
      <c r="BU35" s="28" t="n"/>
      <c r="BV35" s="31" t="n"/>
      <c r="BW35" s="29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1" t="n">
        <v>6</v>
      </c>
      <c r="BY35" s="21" t="n">
        <v>24</v>
      </c>
      <c r="BZ35" s="27">
        <f>SUM(BX35:BY35)</f>
        <v/>
      </c>
      <c r="CA35" s="28" t="n">
        <v>43</v>
      </c>
      <c r="CB35" s="31" t="n">
        <v>67</v>
      </c>
      <c r="CC35" s="29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1" t="n">
        <v>3</v>
      </c>
      <c r="CE35" s="21" t="n">
        <v>50</v>
      </c>
      <c r="CF35" s="27">
        <f>SUM(CD35:CE35)</f>
        <v/>
      </c>
      <c r="CG35" s="28" t="n">
        <v>44</v>
      </c>
      <c r="CH35" s="31" t="n">
        <v>46</v>
      </c>
      <c r="CI35" s="29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1" t="n"/>
      <c r="CK35" s="21" t="n"/>
      <c r="CL35" s="27">
        <f>SUM(CJ35:CK35)</f>
        <v/>
      </c>
      <c r="CM35" s="28" t="n"/>
      <c r="CN35" s="31" t="n"/>
      <c r="CO35" s="29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1" t="n">
        <v>26</v>
      </c>
      <c r="CQ35" s="21" t="n">
        <v>61</v>
      </c>
      <c r="CR35" s="27">
        <f>SUM(CP35:CQ35)</f>
        <v/>
      </c>
      <c r="CS35" s="28" t="n">
        <v>77</v>
      </c>
      <c r="CT35" s="31" t="n">
        <v>79</v>
      </c>
      <c r="CU35" s="29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1" t="n"/>
      <c r="CW35" s="21" t="n"/>
      <c r="CX35" s="27">
        <f>SUM(CV35:CW35)</f>
        <v/>
      </c>
      <c r="CY35" s="28" t="n"/>
      <c r="CZ35" s="31" t="n"/>
      <c r="DA35" s="29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1" t="n"/>
      <c r="DC35" s="21" t="n"/>
      <c r="DD35" s="27">
        <f>SUM(DB35:DC35)</f>
        <v/>
      </c>
      <c r="DE35" s="28" t="n"/>
      <c r="DF35" s="31" t="n"/>
      <c r="DG35" s="29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34">
        <f>SUM(O35,U35,AA35,AG35,AM35,AS35,AY35,BE35,BK35,BQ35,BW35,CC35,CI35,CO35,CU35,DA35,DG35)</f>
        <v/>
      </c>
      <c r="DI35" s="39">
        <f>RANK(DH35,DH$4:DH$503)</f>
        <v/>
      </c>
      <c r="DJ35" s="40" t="inlineStr">
        <is>
          <t>GOOD(4)</t>
        </is>
      </c>
      <c r="DK35" s="40" t="inlineStr">
        <is>
          <t>GOOD(4)</t>
        </is>
      </c>
      <c r="DL35" s="40" t="inlineStr">
        <is>
          <t>GOOD(4)</t>
        </is>
      </c>
      <c r="DM35" s="40" t="inlineStr">
        <is>
          <t>GOOD(4)</t>
        </is>
      </c>
      <c r="DN35" s="40" t="inlineStr">
        <is>
          <t>AVERAGE(3)</t>
        </is>
      </c>
      <c r="DO35" s="40" t="inlineStr">
        <is>
          <t>GOOD(4)</t>
        </is>
      </c>
      <c r="DP35" s="40" t="inlineStr">
        <is>
          <t>AVERAGE(3)</t>
        </is>
      </c>
      <c r="DQ35" s="40" t="inlineStr">
        <is>
          <t>GOOD(4)</t>
        </is>
      </c>
      <c r="DR35" s="43" t="inlineStr">
        <is>
          <t>2024/2025</t>
        </is>
      </c>
      <c r="DS35" s="45" t="inlineStr">
        <is>
          <t>THIRD</t>
        </is>
      </c>
      <c r="DT35" s="40" t="inlineStr">
        <is>
          <t>GOOD(4)</t>
        </is>
      </c>
      <c r="DU35" s="40" t="inlineStr">
        <is>
          <t>GOOD(4)</t>
        </is>
      </c>
      <c r="DV35" s="40" t="inlineStr">
        <is>
          <t>BELOW AVERAGE(2)</t>
        </is>
      </c>
      <c r="DW35" s="40" t="inlineStr">
        <is>
          <t>OPTIONAL</t>
        </is>
      </c>
      <c r="DX35" s="40" t="inlineStr">
        <is>
          <t>EXCELLENT(5)</t>
        </is>
      </c>
      <c r="DY35" s="40" t="inlineStr">
        <is>
          <t>BELOW AVERAGE(2)</t>
        </is>
      </c>
      <c r="DZ35" s="53" t="inlineStr">
        <is>
          <t>GOOD(4)</t>
        </is>
      </c>
      <c r="EA35" s="54" t="inlineStr">
        <is>
          <t>Excels in most subjects and demonstrates a strong grasp of concepts.</t>
        </is>
      </c>
      <c r="EB35" s="55" t="inlineStr">
        <is>
          <t>Promoted to JSS2</t>
        </is>
      </c>
      <c r="EC35" s="56" t="inlineStr">
        <is>
          <t>MR. RAHEEM A.A</t>
        </is>
      </c>
      <c r="ED35" s="57" t="inlineStr">
        <is>
          <t>Next Term Begins on Monday, 15th September, 2025</t>
        </is>
      </c>
    </row>
    <row r="36" ht="30.6" customHeight="1" s="6">
      <c r="A36" s="18" t="n">
        <v>33</v>
      </c>
      <c r="B36" s="19" t="inlineStr">
        <is>
          <t xml:space="preserve">SAKA KAZEEM </t>
        </is>
      </c>
      <c r="C36" s="20" t="inlineStr">
        <is>
          <t>1886</t>
        </is>
      </c>
      <c r="D36" s="128" t="inlineStr">
        <is>
          <t>Male</t>
        </is>
      </c>
      <c r="E36" s="21" t="inlineStr">
        <is>
          <t>JSS 1B</t>
        </is>
      </c>
      <c r="F36" s="21" t="n">
        <v>39</v>
      </c>
      <c r="G36" s="21" t="n">
        <v>122</v>
      </c>
      <c r="H36" s="22" t="n">
        <v>48</v>
      </c>
      <c r="I36" s="26">
        <f>G36-H36</f>
        <v/>
      </c>
      <c r="J36" s="21" t="n">
        <v>22</v>
      </c>
      <c r="K36" s="21" t="n">
        <v>27</v>
      </c>
      <c r="L36" s="27">
        <f>SUM(J36:K36)</f>
        <v/>
      </c>
      <c r="M36" s="28" t="n">
        <v>19</v>
      </c>
      <c r="N36" s="28" t="n">
        <v>30</v>
      </c>
      <c r="O36" s="29">
        <f>IF(AND(L36=0,M36=0,N36=0),0,IF(AND(L36=0,M36=0),N36/1,IF(AND(L36=0,N36=0),M36/1,IF(AND(M36=0,N36=0),L36/1,IF(L36=0,FLOOR((M36+N36)/2,0.1),IF(M36=0,(L36+N36)/2,IF(N36=0,(M36+L36)/2,FLOOR(((L36+M36+N36)/3),0.1))))))))</f>
        <v/>
      </c>
      <c r="P36" s="21" t="n">
        <v>16</v>
      </c>
      <c r="Q36" s="21" t="n">
        <v>30</v>
      </c>
      <c r="R36" s="27">
        <f>SUM(P36:Q36)</f>
        <v/>
      </c>
      <c r="S36" s="28" t="n">
        <v>52</v>
      </c>
      <c r="T36" s="28" t="n">
        <v>49</v>
      </c>
      <c r="U36" s="29">
        <f>IF(AND(R36=0,S36=0,T36=0),0,IF(AND(R36=0,S36=0),T36/1,IF(AND(R36=0,T36=0),S36/1,IF(AND(S36=0,T36=0),R36/1,IF(R36=0,FLOOR((S36+T36)/2,0.1),IF(S36=0,(R36+T36)/2,IF(T36=0,(S36+R36)/2,FLOOR(((R36+S36+T36)/3),0.1))))))))</f>
        <v/>
      </c>
      <c r="V36" s="21" t="n">
        <v>14</v>
      </c>
      <c r="W36" s="21" t="n">
        <v>40</v>
      </c>
      <c r="X36" s="27">
        <f>SUM(V36:W36)</f>
        <v/>
      </c>
      <c r="Y36" s="28" t="n">
        <v>40</v>
      </c>
      <c r="Z36" s="28" t="n">
        <v>54</v>
      </c>
      <c r="AA36" s="29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1" t="n">
        <v>25</v>
      </c>
      <c r="AC36" s="21" t="n">
        <v>25</v>
      </c>
      <c r="AD36" s="27">
        <f>SUM(AB36:AC36)</f>
        <v/>
      </c>
      <c r="AE36" s="28" t="n">
        <v>38</v>
      </c>
      <c r="AF36" s="28" t="n">
        <v>44</v>
      </c>
      <c r="AG36" s="29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1" t="n">
        <v>25</v>
      </c>
      <c r="AI36" s="21" t="n">
        <v>27</v>
      </c>
      <c r="AJ36" s="27">
        <f>SUM(AH36:AI36)</f>
        <v/>
      </c>
      <c r="AK36" s="28" t="n">
        <v>84</v>
      </c>
      <c r="AL36" s="28" t="n">
        <v>54</v>
      </c>
      <c r="AM36" s="29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1" t="n"/>
      <c r="AO36" s="21" t="n"/>
      <c r="AP36" s="27">
        <f>SUM(AN36:AO36)</f>
        <v/>
      </c>
      <c r="AQ36" s="28" t="n"/>
      <c r="AR36" s="30" t="n"/>
      <c r="AS36" s="29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1" t="n">
        <v>18</v>
      </c>
      <c r="AU36" s="21" t="n">
        <v>35</v>
      </c>
      <c r="AV36" s="27">
        <f>SUM(AT36:AU36)</f>
        <v/>
      </c>
      <c r="AW36" s="28" t="n">
        <v>31</v>
      </c>
      <c r="AX36" s="30" t="n">
        <v>43</v>
      </c>
      <c r="AY36" s="29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1" t="n">
        <v>22</v>
      </c>
      <c r="BA36" s="21" t="n">
        <v>29</v>
      </c>
      <c r="BB36" s="27">
        <f>SUM(AZ36:BA36)</f>
        <v/>
      </c>
      <c r="BC36" s="28" t="n">
        <v>42</v>
      </c>
      <c r="BD36" s="28" t="n">
        <v>46</v>
      </c>
      <c r="BE36" s="29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1" t="n">
        <v>14</v>
      </c>
      <c r="BG36" s="21" t="n">
        <v>35</v>
      </c>
      <c r="BH36" s="27">
        <f>SUM(BF36:BG36)</f>
        <v/>
      </c>
      <c r="BI36" s="28" t="n">
        <v>48</v>
      </c>
      <c r="BJ36" s="28" t="n">
        <v>52</v>
      </c>
      <c r="BK36" s="29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1" t="n">
        <v>15</v>
      </c>
      <c r="BM36" s="21" t="n">
        <v>35</v>
      </c>
      <c r="BN36" s="27">
        <f>SUM(BL36:BM36)</f>
        <v/>
      </c>
      <c r="BO36" s="28" t="n">
        <v>32</v>
      </c>
      <c r="BP36" s="31" t="n">
        <v>22</v>
      </c>
      <c r="BQ36" s="29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1" t="n"/>
      <c r="BS36" s="21" t="n"/>
      <c r="BT36" s="27">
        <f>SUM(BR36:BS36)</f>
        <v/>
      </c>
      <c r="BU36" s="28" t="n"/>
      <c r="BV36" s="31" t="n"/>
      <c r="BW36" s="29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1" t="n">
        <v>6</v>
      </c>
      <c r="BY36" s="21" t="n">
        <v>24</v>
      </c>
      <c r="BZ36" s="27">
        <f>SUM(BX36:BY36)</f>
        <v/>
      </c>
      <c r="CA36" s="28" t="n">
        <v>43</v>
      </c>
      <c r="CB36" s="31" t="n">
        <v>67</v>
      </c>
      <c r="CC36" s="29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1" t="n">
        <v>12</v>
      </c>
      <c r="CE36" s="21" t="n">
        <v>40</v>
      </c>
      <c r="CF36" s="27">
        <f>SUM(CD36:CE36)</f>
        <v/>
      </c>
      <c r="CG36" s="28" t="n">
        <v>26</v>
      </c>
      <c r="CH36" s="31" t="n">
        <v>35</v>
      </c>
      <c r="CI36" s="29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1" t="n"/>
      <c r="CK36" s="21" t="n"/>
      <c r="CL36" s="27">
        <f>SUM(CJ36:CK36)</f>
        <v/>
      </c>
      <c r="CM36" s="28" t="n"/>
      <c r="CN36" s="31" t="n"/>
      <c r="CO36" s="29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1" t="n">
        <v>13</v>
      </c>
      <c r="CQ36" s="21" t="n">
        <v>40</v>
      </c>
      <c r="CR36" s="27">
        <f>SUM(CP36:CQ36)</f>
        <v/>
      </c>
      <c r="CS36" s="28" t="n">
        <v>53</v>
      </c>
      <c r="CT36" s="31" t="n">
        <v>48</v>
      </c>
      <c r="CU36" s="29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1" t="n"/>
      <c r="CW36" s="21" t="n"/>
      <c r="CX36" s="27">
        <f>SUM(CV36:CW36)</f>
        <v/>
      </c>
      <c r="CY36" s="28" t="n"/>
      <c r="CZ36" s="31" t="n"/>
      <c r="DA36" s="29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1" t="n"/>
      <c r="DC36" s="21" t="n"/>
      <c r="DD36" s="27">
        <f>SUM(DB36:DC36)</f>
        <v/>
      </c>
      <c r="DE36" s="28" t="n"/>
      <c r="DF36" s="31" t="n"/>
      <c r="DG36" s="29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34">
        <f>SUM(O36,U36,AA36,AG36,AM36,AS36,AY36,BE36,BK36,BQ36,BW36,CC36,CI36,CO36,CU36,DA36,DG36)</f>
        <v/>
      </c>
      <c r="DI36" s="39">
        <f>RANK(DH36,DH$4:DH$503)</f>
        <v/>
      </c>
      <c r="DJ36" s="40" t="inlineStr">
        <is>
          <t>AVERAGE(3)</t>
        </is>
      </c>
      <c r="DK36" s="40" t="inlineStr">
        <is>
          <t>GOOD(4)</t>
        </is>
      </c>
      <c r="DL36" s="40" t="inlineStr">
        <is>
          <t>GOOD(4)</t>
        </is>
      </c>
      <c r="DM36" s="40" t="inlineStr">
        <is>
          <t>AVERAGE(3)</t>
        </is>
      </c>
      <c r="DN36" s="40" t="inlineStr">
        <is>
          <t>GOOD(4)</t>
        </is>
      </c>
      <c r="DO36" s="40" t="inlineStr">
        <is>
          <t>AVERAGE(3)</t>
        </is>
      </c>
      <c r="DP36" s="40" t="inlineStr">
        <is>
          <t>AVERAGE(3)</t>
        </is>
      </c>
      <c r="DQ36" s="40" t="inlineStr">
        <is>
          <t>CHOOSE RATING</t>
        </is>
      </c>
      <c r="DR36" s="43" t="inlineStr">
        <is>
          <t>2024/2025</t>
        </is>
      </c>
      <c r="DS36" s="45" t="inlineStr">
        <is>
          <t>THIRD</t>
        </is>
      </c>
      <c r="DT36" s="40" t="inlineStr">
        <is>
          <t>AVERAGE(3)</t>
        </is>
      </c>
      <c r="DU36" s="40" t="inlineStr">
        <is>
          <t>AVERAGE(3)</t>
        </is>
      </c>
      <c r="DV36" s="40" t="inlineStr">
        <is>
          <t>AVERAGE(3)</t>
        </is>
      </c>
      <c r="DW36" s="40" t="inlineStr">
        <is>
          <t>EXCELLENT(5)</t>
        </is>
      </c>
      <c r="DX36" s="40" t="inlineStr">
        <is>
          <t>EXCELLENT(5)</t>
        </is>
      </c>
      <c r="DY36" s="40" t="inlineStr">
        <is>
          <t>AVERAGE(3)</t>
        </is>
      </c>
      <c r="DZ36" s="53" t="inlineStr">
        <is>
          <t>GOOD(4)</t>
        </is>
      </c>
      <c r="EA36" s="54" t="inlineStr">
        <is>
          <t>Needs reminders to stay on task and avoid distractions.</t>
        </is>
      </c>
      <c r="EB36" s="55" t="inlineStr">
        <is>
          <t>Promoted to JSS2</t>
        </is>
      </c>
      <c r="EC36" s="56" t="inlineStr">
        <is>
          <t>MR. RAHEEM A.A</t>
        </is>
      </c>
      <c r="ED36" s="57" t="inlineStr">
        <is>
          <t>Next Term Begins on Monday, 15th September, 2025</t>
        </is>
      </c>
    </row>
    <row r="37" ht="30.6" customHeight="1" s="6">
      <c r="A37" s="18" t="n">
        <v>34</v>
      </c>
      <c r="B37" s="19" t="inlineStr">
        <is>
          <t xml:space="preserve">SALIU MUIZAT </t>
        </is>
      </c>
      <c r="C37" s="20" t="inlineStr">
        <is>
          <t>2061</t>
        </is>
      </c>
      <c r="D37" s="128" t="inlineStr">
        <is>
          <t>Female</t>
        </is>
      </c>
      <c r="E37" s="21" t="inlineStr">
        <is>
          <t>JSS 1B</t>
        </is>
      </c>
      <c r="F37" s="21" t="n">
        <v>39</v>
      </c>
      <c r="G37" s="21" t="n">
        <v>122</v>
      </c>
      <c r="H37" s="22" t="n">
        <v>50</v>
      </c>
      <c r="I37" s="26">
        <f>G37-H37</f>
        <v/>
      </c>
      <c r="J37" s="21" t="n">
        <v>15</v>
      </c>
      <c r="K37" s="21" t="n">
        <v>10</v>
      </c>
      <c r="L37" s="27">
        <f>SUM(J37:K37)</f>
        <v/>
      </c>
      <c r="M37" s="28" t="n">
        <v>21</v>
      </c>
      <c r="N37" s="28" t="n">
        <v>20</v>
      </c>
      <c r="O37" s="29">
        <f>IF(AND(L37=0,M37=0,N37=0),0,IF(AND(L37=0,M37=0),N37/1,IF(AND(L37=0,N37=0),M37/1,IF(AND(M37=0,N37=0),L37/1,IF(L37=0,FLOOR((M37+N37)/2,0.1),IF(M37=0,(L37+N37)/2,IF(N37=0,(M37+L37)/2,FLOOR(((L37+M37+N37)/3),0.1))))))))</f>
        <v/>
      </c>
      <c r="P37" s="21" t="n">
        <v>17</v>
      </c>
      <c r="Q37" s="21" t="n">
        <v>50</v>
      </c>
      <c r="R37" s="27">
        <f>SUM(P37:Q37)</f>
        <v/>
      </c>
      <c r="S37" s="28" t="n">
        <v>50</v>
      </c>
      <c r="T37" s="28" t="n">
        <v>37</v>
      </c>
      <c r="U37" s="29">
        <f>IF(AND(R37=0,S37=0,T37=0),0,IF(AND(R37=0,S37=0),T37/1,IF(AND(R37=0,T37=0),S37/1,IF(AND(S37=0,T37=0),R37/1,IF(R37=0,FLOOR((S37+T37)/2,0.1),IF(S37=0,(R37+T37)/2,IF(T37=0,(S37+R37)/2,FLOOR(((R37+S37+T37)/3),0.1))))))))</f>
        <v/>
      </c>
      <c r="V37" s="21" t="n">
        <v>12</v>
      </c>
      <c r="W37" s="21" t="n">
        <v>34</v>
      </c>
      <c r="X37" s="27">
        <f>SUM(V37:W37)</f>
        <v/>
      </c>
      <c r="Y37" s="28" t="n">
        <v>21</v>
      </c>
      <c r="Z37" s="28" t="n">
        <v>12</v>
      </c>
      <c r="AA37" s="29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1" t="n">
        <v>11</v>
      </c>
      <c r="AC37" s="21" t="n">
        <v>31</v>
      </c>
      <c r="AD37" s="27">
        <f>SUM(AB37:AC37)</f>
        <v/>
      </c>
      <c r="AE37" s="28" t="n">
        <v>42</v>
      </c>
      <c r="AF37" s="28" t="n">
        <v>42</v>
      </c>
      <c r="AG37" s="29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1" t="n">
        <v>10</v>
      </c>
      <c r="AI37" s="21" t="n">
        <v>15</v>
      </c>
      <c r="AJ37" s="27">
        <f>SUM(AH37:AI37)</f>
        <v/>
      </c>
      <c r="AK37" s="28" t="n">
        <v>25</v>
      </c>
      <c r="AL37" s="28" t="n">
        <v>25</v>
      </c>
      <c r="AM37" s="29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1" t="n"/>
      <c r="AO37" s="21" t="n"/>
      <c r="AP37" s="27">
        <f>SUM(AN37:AO37)</f>
        <v/>
      </c>
      <c r="AQ37" s="28" t="n"/>
      <c r="AR37" s="30" t="n"/>
      <c r="AS37" s="29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1" t="n">
        <v>18</v>
      </c>
      <c r="AU37" s="21" t="n">
        <v>21</v>
      </c>
      <c r="AV37" s="27">
        <f>SUM(AT37:AU37)</f>
        <v/>
      </c>
      <c r="AW37" s="28" t="n">
        <v>39</v>
      </c>
      <c r="AX37" s="30" t="n">
        <v>39</v>
      </c>
      <c r="AY37" s="29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1" t="n">
        <v>11</v>
      </c>
      <c r="BA37" s="21" t="n">
        <v>28</v>
      </c>
      <c r="BB37" s="27">
        <f>SUM(AZ37:BA37)</f>
        <v/>
      </c>
      <c r="BC37" s="28" t="n">
        <v>39</v>
      </c>
      <c r="BD37" s="28" t="n">
        <v>39</v>
      </c>
      <c r="BE37" s="29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1" t="n">
        <v>5</v>
      </c>
      <c r="BG37" s="21" t="n">
        <v>10</v>
      </c>
      <c r="BH37" s="27">
        <f>SUM(BF37:BG37)</f>
        <v/>
      </c>
      <c r="BI37" s="28" t="n">
        <v>15</v>
      </c>
      <c r="BJ37" s="28" t="n">
        <v>15</v>
      </c>
      <c r="BK37" s="29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1" t="n">
        <v>12</v>
      </c>
      <c r="BM37" s="21" t="n">
        <v>22</v>
      </c>
      <c r="BN37" s="27">
        <f>SUM(BL37:BM37)</f>
        <v/>
      </c>
      <c r="BO37" s="28" t="n">
        <v>32</v>
      </c>
      <c r="BP37" s="31" t="n">
        <v>30</v>
      </c>
      <c r="BQ37" s="29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1" t="n"/>
      <c r="BS37" s="21" t="n"/>
      <c r="BT37" s="27">
        <f>SUM(BR37:BS37)</f>
        <v/>
      </c>
      <c r="BU37" s="28" t="n"/>
      <c r="BV37" s="31" t="n"/>
      <c r="BW37" s="29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1" t="n">
        <v>6</v>
      </c>
      <c r="BY37" s="21" t="n">
        <v>24</v>
      </c>
      <c r="BZ37" s="27">
        <f>SUM(BX37:BY37)</f>
        <v/>
      </c>
      <c r="CA37" s="28" t="n">
        <v>43</v>
      </c>
      <c r="CB37" s="31" t="n">
        <v>67</v>
      </c>
      <c r="CC37" s="29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1" t="n">
        <v>12</v>
      </c>
      <c r="CE37" s="21" t="n">
        <v>13</v>
      </c>
      <c r="CF37" s="27">
        <f>SUM(CD37:CE37)</f>
        <v/>
      </c>
      <c r="CG37" s="28" t="n">
        <v>14</v>
      </c>
      <c r="CH37" s="31" t="n">
        <v>16</v>
      </c>
      <c r="CI37" s="29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1" t="n"/>
      <c r="CK37" s="21" t="n"/>
      <c r="CL37" s="27">
        <f>SUM(CJ37:CK37)</f>
        <v/>
      </c>
      <c r="CM37" s="28" t="n"/>
      <c r="CN37" s="31" t="n"/>
      <c r="CO37" s="29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1" t="n">
        <v>13</v>
      </c>
      <c r="CQ37" s="21" t="n">
        <v>12</v>
      </c>
      <c r="CR37" s="27">
        <f>SUM(CP37:CQ37)</f>
        <v/>
      </c>
      <c r="CS37" s="28" t="n">
        <v>10</v>
      </c>
      <c r="CT37" s="31" t="n">
        <v>11</v>
      </c>
      <c r="CU37" s="29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1" t="n"/>
      <c r="CW37" s="21" t="n"/>
      <c r="CX37" s="27">
        <f>SUM(CV37:CW37)</f>
        <v/>
      </c>
      <c r="CY37" s="28" t="n"/>
      <c r="CZ37" s="31" t="n"/>
      <c r="DA37" s="29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1" t="n"/>
      <c r="DC37" s="21" t="n"/>
      <c r="DD37" s="27">
        <f>SUM(DB37:DC37)</f>
        <v/>
      </c>
      <c r="DE37" s="28" t="n"/>
      <c r="DF37" s="31" t="n"/>
      <c r="DG37" s="29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34">
        <f>SUM(O37,U37,AA37,AG37,AM37,AS37,AY37,BE37,BK37,BQ37,BW37,CC37,CI37,CO37,CU37,DA37,DG37)</f>
        <v/>
      </c>
      <c r="DI37" s="39">
        <f>RANK(DH37,DH$4:DH$503)</f>
        <v/>
      </c>
      <c r="DJ37" s="40" t="inlineStr">
        <is>
          <t>GOOD(4)</t>
        </is>
      </c>
      <c r="DK37" s="40" t="inlineStr">
        <is>
          <t>GOOD(4)</t>
        </is>
      </c>
      <c r="DL37" s="40" t="inlineStr">
        <is>
          <t>AVERAGE(3)</t>
        </is>
      </c>
      <c r="DM37" s="40" t="inlineStr">
        <is>
          <t>GOOD(4)</t>
        </is>
      </c>
      <c r="DN37" s="40" t="inlineStr">
        <is>
          <t>GOOD(4)</t>
        </is>
      </c>
      <c r="DO37" s="40" t="inlineStr">
        <is>
          <t>AVERAGE(3)</t>
        </is>
      </c>
      <c r="DP37" s="40" t="inlineStr">
        <is>
          <t>GOOD(4)</t>
        </is>
      </c>
      <c r="DQ37" s="40" t="inlineStr">
        <is>
          <t>BELOW AVERAGE(2)</t>
        </is>
      </c>
      <c r="DR37" s="43" t="inlineStr">
        <is>
          <t>2024/2025</t>
        </is>
      </c>
      <c r="DS37" s="45" t="inlineStr">
        <is>
          <t>THIRD</t>
        </is>
      </c>
      <c r="DT37" s="40" t="inlineStr">
        <is>
          <t>GOOD(4)</t>
        </is>
      </c>
      <c r="DU37" s="40" t="inlineStr">
        <is>
          <t>AVERAGE(3)</t>
        </is>
      </c>
      <c r="DV37" s="40" t="inlineStr">
        <is>
          <t>AVERAGE(3)</t>
        </is>
      </c>
      <c r="DW37" s="40" t="inlineStr">
        <is>
          <t>EXCELLENT(5)</t>
        </is>
      </c>
      <c r="DX37" s="40" t="inlineStr">
        <is>
          <t>EXCELLENT(5)</t>
        </is>
      </c>
      <c r="DY37" s="40" t="inlineStr">
        <is>
          <t>EXCELLENT(5)</t>
        </is>
      </c>
      <c r="DZ37" s="53" t="inlineStr">
        <is>
          <t>AVERAGE(3)</t>
        </is>
      </c>
      <c r="EA37" s="54" t="inlineStr">
        <is>
          <t>Should work on controlling impulsive behavior in class.</t>
        </is>
      </c>
      <c r="EB37" s="55" t="inlineStr">
        <is>
          <t>To repeat JSS1</t>
        </is>
      </c>
      <c r="EC37" s="56" t="inlineStr">
        <is>
          <t>MR. RAHEEM A.A</t>
        </is>
      </c>
      <c r="ED37" s="57" t="inlineStr">
        <is>
          <t>Next Term Begins on Monday, 15th September, 2025</t>
        </is>
      </c>
    </row>
    <row r="38" ht="30.6" customHeight="1" s="6">
      <c r="A38" s="18" t="n">
        <v>35</v>
      </c>
      <c r="B38" s="19" t="inlineStr">
        <is>
          <t xml:space="preserve">SAMUEL JONAH </t>
        </is>
      </c>
      <c r="C38" s="20" t="inlineStr">
        <is>
          <t>2062</t>
        </is>
      </c>
      <c r="D38" s="128" t="inlineStr">
        <is>
          <t>Male</t>
        </is>
      </c>
      <c r="E38" s="21" t="inlineStr">
        <is>
          <t>JSS 1B</t>
        </is>
      </c>
      <c r="F38" s="21" t="n">
        <v>39</v>
      </c>
      <c r="G38" s="21" t="n">
        <v>122</v>
      </c>
      <c r="H38" s="22" t="n">
        <v>50</v>
      </c>
      <c r="I38" s="26">
        <f>G38-H38</f>
        <v/>
      </c>
      <c r="J38" s="21" t="n">
        <v>12</v>
      </c>
      <c r="K38" s="21" t="n">
        <v>15</v>
      </c>
      <c r="L38" s="27">
        <f>SUM(J38:K38)</f>
        <v/>
      </c>
      <c r="M38" s="28" t="n">
        <v>20</v>
      </c>
      <c r="N38" s="28" t="n">
        <v>20</v>
      </c>
      <c r="O38" s="29">
        <f>IF(AND(L38=0,M38=0,N38=0),0,IF(AND(L38=0,M38=0),N38/1,IF(AND(L38=0,N38=0),M38/1,IF(AND(M38=0,N38=0),L38/1,IF(L38=0,FLOOR((M38+N38)/2,0.1),IF(M38=0,(L38+N38)/2,IF(N38=0,(M38+L38)/2,FLOOR(((L38+M38+N38)/3),0.1))))))))</f>
        <v/>
      </c>
      <c r="P38" s="21" t="n">
        <v>5</v>
      </c>
      <c r="Q38" s="21" t="n">
        <v>12</v>
      </c>
      <c r="R38" s="27">
        <f>SUM(P38:Q38)</f>
        <v/>
      </c>
      <c r="S38" s="28" t="n">
        <v>17</v>
      </c>
      <c r="T38" s="28" t="n">
        <v>17</v>
      </c>
      <c r="U38" s="29">
        <f>IF(AND(R38=0,S38=0,T38=0),0,IF(AND(R38=0,S38=0),T38/1,IF(AND(R38=0,T38=0),S38/1,IF(AND(S38=0,T38=0),R38/1,IF(R38=0,FLOOR((S38+T38)/2,0.1),IF(S38=0,(R38+T38)/2,IF(T38=0,(S38+R38)/2,FLOOR(((R38+S38+T38)/3),0.1))))))))</f>
        <v/>
      </c>
      <c r="V38" s="21" t="n">
        <v>12</v>
      </c>
      <c r="W38" s="21" t="n">
        <v>33</v>
      </c>
      <c r="X38" s="27">
        <f>SUM(V38:W38)</f>
        <v/>
      </c>
      <c r="Y38" s="28" t="n">
        <v>21</v>
      </c>
      <c r="Z38" s="28" t="n">
        <v>12</v>
      </c>
      <c r="AA38" s="29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1" t="n">
        <v>12</v>
      </c>
      <c r="AC38" s="21" t="n">
        <v>32</v>
      </c>
      <c r="AD38" s="27">
        <f>SUM(AB38:AC38)</f>
        <v/>
      </c>
      <c r="AE38" s="28" t="n">
        <v>44</v>
      </c>
      <c r="AF38" s="28" t="n">
        <v>44</v>
      </c>
      <c r="AG38" s="29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1" t="n">
        <v>10</v>
      </c>
      <c r="AI38" s="21" t="n">
        <v>15</v>
      </c>
      <c r="AJ38" s="27">
        <f>SUM(AH38:AI38)</f>
        <v/>
      </c>
      <c r="AK38" s="28" t="n">
        <v>25</v>
      </c>
      <c r="AL38" s="28" t="n">
        <v>25</v>
      </c>
      <c r="AM38" s="29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1" t="n"/>
      <c r="AO38" s="21" t="n"/>
      <c r="AP38" s="27">
        <f>SUM(AN38:AO38)</f>
        <v/>
      </c>
      <c r="AQ38" s="28" t="n"/>
      <c r="AR38" s="30" t="n"/>
      <c r="AS38" s="29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1" t="n">
        <v>16</v>
      </c>
      <c r="AU38" s="21" t="n">
        <v>23</v>
      </c>
      <c r="AV38" s="27">
        <f>SUM(AT38:AU38)</f>
        <v/>
      </c>
      <c r="AW38" s="28" t="n">
        <v>39</v>
      </c>
      <c r="AX38" s="30" t="n">
        <v>39</v>
      </c>
      <c r="AY38" s="29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1" t="n">
        <v>10</v>
      </c>
      <c r="BA38" s="21" t="n">
        <v>29</v>
      </c>
      <c r="BB38" s="27">
        <f>SUM(AZ38:BA38)</f>
        <v/>
      </c>
      <c r="BC38" s="28" t="n">
        <v>39</v>
      </c>
      <c r="BD38" s="28" t="n">
        <v>39</v>
      </c>
      <c r="BE38" s="29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1" t="n">
        <v>10</v>
      </c>
      <c r="BG38" s="21" t="n">
        <v>29</v>
      </c>
      <c r="BH38" s="27">
        <f>SUM(BF38:BG38)</f>
        <v/>
      </c>
      <c r="BI38" s="28" t="n">
        <v>39</v>
      </c>
      <c r="BJ38" s="28" t="n">
        <v>39</v>
      </c>
      <c r="BK38" s="29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1" t="n">
        <v>15</v>
      </c>
      <c r="BM38" s="21" t="n">
        <v>22</v>
      </c>
      <c r="BN38" s="27">
        <f>SUM(BL38:BM38)</f>
        <v/>
      </c>
      <c r="BO38" s="28" t="n">
        <v>29</v>
      </c>
      <c r="BP38" s="31" t="n">
        <v>35</v>
      </c>
      <c r="BQ38" s="29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1" t="n"/>
      <c r="BS38" s="21" t="n"/>
      <c r="BT38" s="27">
        <f>SUM(BR38:BS38)</f>
        <v/>
      </c>
      <c r="BU38" s="28" t="n"/>
      <c r="BV38" s="31" t="n"/>
      <c r="BW38" s="29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1" t="n">
        <v>6</v>
      </c>
      <c r="BY38" s="21" t="n">
        <v>24</v>
      </c>
      <c r="BZ38" s="27">
        <f>SUM(BX38:BY38)</f>
        <v/>
      </c>
      <c r="CA38" s="28" t="n">
        <v>43</v>
      </c>
      <c r="CB38" s="31" t="n">
        <v>67</v>
      </c>
      <c r="CC38" s="29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1" t="n">
        <v>10</v>
      </c>
      <c r="CE38" s="21" t="n">
        <v>11</v>
      </c>
      <c r="CF38" s="27">
        <f>SUM(CD38:CE38)</f>
        <v/>
      </c>
      <c r="CG38" s="28" t="n">
        <v>12</v>
      </c>
      <c r="CH38" s="31" t="n">
        <v>12</v>
      </c>
      <c r="CI38" s="29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1" t="n"/>
      <c r="CK38" s="21" t="n"/>
      <c r="CL38" s="27">
        <f>SUM(CJ38:CK38)</f>
        <v/>
      </c>
      <c r="CM38" s="28" t="n"/>
      <c r="CN38" s="31" t="n"/>
      <c r="CO38" s="29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1" t="n"/>
      <c r="CQ38" s="21" t="n"/>
      <c r="CR38" s="27">
        <f>SUM(CP38:CQ38)</f>
        <v/>
      </c>
      <c r="CS38" s="28" t="n"/>
      <c r="CT38" s="31" t="n"/>
      <c r="CU38" s="29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1" t="n">
        <v>10</v>
      </c>
      <c r="CW38" s="21" t="n">
        <v>13</v>
      </c>
      <c r="CX38" s="27">
        <f>SUM(CV38:CW38)</f>
        <v/>
      </c>
      <c r="CY38" s="28" t="n">
        <v>19</v>
      </c>
      <c r="CZ38" s="31" t="n">
        <v>21</v>
      </c>
      <c r="DA38" s="29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1" t="n"/>
      <c r="DC38" s="21" t="n"/>
      <c r="DD38" s="27">
        <f>SUM(DB38:DC38)</f>
        <v/>
      </c>
      <c r="DE38" s="28" t="n"/>
      <c r="DF38" s="31" t="n"/>
      <c r="DG38" s="29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34">
        <f>SUM(O38,U38,AA38,AG38,AM38,AS38,AY38,BE38,BK38,BQ38,BW38,CC38,CI38,CO38,CU38,DA38,DG38)</f>
        <v/>
      </c>
      <c r="DI38" s="39">
        <f>RANK(DH38,DH$4:DH$503)</f>
        <v/>
      </c>
      <c r="DJ38" s="40" t="inlineStr">
        <is>
          <t>GOOD(4)</t>
        </is>
      </c>
      <c r="DK38" s="40" t="inlineStr">
        <is>
          <t>GOOD(4)</t>
        </is>
      </c>
      <c r="DL38" s="40" t="inlineStr">
        <is>
          <t>GOOD(4)</t>
        </is>
      </c>
      <c r="DM38" s="40" t="inlineStr">
        <is>
          <t>GOOD(4)</t>
        </is>
      </c>
      <c r="DN38" s="40" t="inlineStr">
        <is>
          <t>GOOD(4)</t>
        </is>
      </c>
      <c r="DO38" s="40" t="inlineStr">
        <is>
          <t>GOOD(4)</t>
        </is>
      </c>
      <c r="DP38" s="40" t="inlineStr">
        <is>
          <t>GOOD(4)</t>
        </is>
      </c>
      <c r="DQ38" s="40" t="inlineStr">
        <is>
          <t>AVERAGE(3)</t>
        </is>
      </c>
      <c r="DR38" s="43" t="inlineStr">
        <is>
          <t>2024/2025</t>
        </is>
      </c>
      <c r="DS38" s="45" t="inlineStr">
        <is>
          <t>THIRD</t>
        </is>
      </c>
      <c r="DT38" s="40" t="inlineStr">
        <is>
          <t>GOOD(4)</t>
        </is>
      </c>
      <c r="DU38" s="40" t="inlineStr">
        <is>
          <t>AVERAGE(3)</t>
        </is>
      </c>
      <c r="DV38" s="40" t="inlineStr">
        <is>
          <t>AVERAGE(3)</t>
        </is>
      </c>
      <c r="DW38" s="40" t="inlineStr">
        <is>
          <t>GOOD(4)</t>
        </is>
      </c>
      <c r="DX38" s="40" t="inlineStr">
        <is>
          <t>GOOD(4)</t>
        </is>
      </c>
      <c r="DY38" s="40" t="inlineStr">
        <is>
          <t>GOOD(4)</t>
        </is>
      </c>
      <c r="DZ38" s="53" t="inlineStr">
        <is>
          <t>GOOD(4)</t>
        </is>
      </c>
      <c r="EA38" s="54" t="inlineStr">
        <is>
          <t>Excels in most subjects and demonstrates a strong grasp of concepts.</t>
        </is>
      </c>
      <c r="EB38" s="55" t="inlineStr">
        <is>
          <t>Promoted to JSS2</t>
        </is>
      </c>
      <c r="EC38" s="56" t="inlineStr">
        <is>
          <t>MR. RAHEEM A.A</t>
        </is>
      </c>
      <c r="ED38" s="57" t="inlineStr">
        <is>
          <t>Next Term Begins on Monday, 15th September, 2025</t>
        </is>
      </c>
    </row>
    <row r="39" ht="30.6" customHeight="1" s="6">
      <c r="A39" s="18" t="n">
        <v>36</v>
      </c>
      <c r="B39" s="19" t="inlineStr">
        <is>
          <t xml:space="preserve">SOLIU MUHAMMED </t>
        </is>
      </c>
      <c r="C39" s="20" t="inlineStr">
        <is>
          <t>2058</t>
        </is>
      </c>
      <c r="D39" s="128" t="inlineStr">
        <is>
          <t>Male</t>
        </is>
      </c>
      <c r="E39" s="21" t="inlineStr">
        <is>
          <t>JSS 1B</t>
        </is>
      </c>
      <c r="F39" s="21" t="n">
        <v>39</v>
      </c>
      <c r="G39" s="21" t="n">
        <v>122</v>
      </c>
      <c r="H39" s="22" t="n">
        <v>45</v>
      </c>
      <c r="I39" s="26">
        <f>G39-H39</f>
        <v/>
      </c>
      <c r="J39" s="21" t="n">
        <v>20</v>
      </c>
      <c r="K39" s="21" t="n">
        <v>20</v>
      </c>
      <c r="L39" s="27">
        <f>SUM(J39:K39)</f>
        <v/>
      </c>
      <c r="M39" s="28" t="n">
        <v>24</v>
      </c>
      <c r="N39" s="28" t="n">
        <v>22</v>
      </c>
      <c r="O39" s="29">
        <f>IF(AND(L39=0,M39=0,N39=0),0,IF(AND(L39=0,M39=0),N39/1,IF(AND(L39=0,N39=0),M39/1,IF(AND(M39=0,N39=0),L39/1,IF(L39=0,FLOOR((M39+N39)/2,0.1),IF(M39=0,(L39+N39)/2,IF(N39=0,(M39+L39)/2,FLOOR(((L39+M39+N39)/3),0.1))))))))</f>
        <v/>
      </c>
      <c r="P39" s="21" t="n">
        <v>14</v>
      </c>
      <c r="Q39" s="21" t="n">
        <v>24</v>
      </c>
      <c r="R39" s="27">
        <f>SUM(P39:Q39)</f>
        <v/>
      </c>
      <c r="S39" s="28" t="n">
        <v>38</v>
      </c>
      <c r="T39" s="28" t="n">
        <v>36</v>
      </c>
      <c r="U39" s="29">
        <f>IF(AND(R39=0,S39=0,T39=0),0,IF(AND(R39=0,S39=0),T39/1,IF(AND(R39=0,T39=0),S39/1,IF(AND(S39=0,T39=0),R39/1,IF(R39=0,FLOOR((S39+T39)/2,0.1),IF(S39=0,(R39+T39)/2,IF(T39=0,(S39+R39)/2,FLOOR(((R39+S39+T39)/3),0.1))))))))</f>
        <v/>
      </c>
      <c r="V39" s="21" t="n">
        <v>11</v>
      </c>
      <c r="W39" s="21" t="n">
        <v>33</v>
      </c>
      <c r="X39" s="27">
        <f>SUM(V39:W39)</f>
        <v/>
      </c>
      <c r="Y39" s="28" t="n">
        <v>31</v>
      </c>
      <c r="Z39" s="28" t="n">
        <v>13</v>
      </c>
      <c r="AA39" s="29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1" t="n">
        <v>12</v>
      </c>
      <c r="AC39" s="21" t="n">
        <v>32</v>
      </c>
      <c r="AD39" s="27">
        <f>SUM(AB39:AC39)</f>
        <v/>
      </c>
      <c r="AE39" s="28" t="n">
        <v>44</v>
      </c>
      <c r="AF39" s="28" t="n">
        <v>44</v>
      </c>
      <c r="AG39" s="29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1" t="n">
        <v>11</v>
      </c>
      <c r="AI39" s="21" t="n">
        <v>16</v>
      </c>
      <c r="AJ39" s="27">
        <f>SUM(AH39:AI39)</f>
        <v/>
      </c>
      <c r="AK39" s="28" t="n">
        <v>27</v>
      </c>
      <c r="AL39" s="28" t="n">
        <v>27</v>
      </c>
      <c r="AM39" s="29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1" t="n"/>
      <c r="AO39" s="21" t="n"/>
      <c r="AP39" s="27">
        <f>SUM(AN39:AO39)</f>
        <v/>
      </c>
      <c r="AQ39" s="28" t="n"/>
      <c r="AR39" s="30" t="n"/>
      <c r="AS39" s="29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1" t="n">
        <v>16</v>
      </c>
      <c r="AU39" s="21" t="n">
        <v>23</v>
      </c>
      <c r="AV39" s="27">
        <f>SUM(AT39:AU39)</f>
        <v/>
      </c>
      <c r="AW39" s="28" t="n">
        <v>39</v>
      </c>
      <c r="AX39" s="30" t="n">
        <v>39</v>
      </c>
      <c r="AY39" s="29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1" t="n">
        <v>10</v>
      </c>
      <c r="BA39" s="21" t="n">
        <v>29</v>
      </c>
      <c r="BB39" s="27">
        <f>SUM(AZ39:BA39)</f>
        <v/>
      </c>
      <c r="BC39" s="28" t="n">
        <v>39</v>
      </c>
      <c r="BD39" s="28" t="n">
        <v>39</v>
      </c>
      <c r="BE39" s="29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1" t="n">
        <v>5</v>
      </c>
      <c r="BG39" s="21" t="n">
        <v>12</v>
      </c>
      <c r="BH39" s="27">
        <f>SUM(BF39:BG39)</f>
        <v/>
      </c>
      <c r="BI39" s="28" t="n">
        <v>17</v>
      </c>
      <c r="BJ39" s="28" t="n">
        <v>17</v>
      </c>
      <c r="BK39" s="29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1" t="n">
        <v>18</v>
      </c>
      <c r="BM39" s="21" t="n">
        <v>22</v>
      </c>
      <c r="BN39" s="27">
        <f>SUM(BL39:BM39)</f>
        <v/>
      </c>
      <c r="BO39" s="28" t="n">
        <v>35</v>
      </c>
      <c r="BP39" s="31" t="n">
        <v>32</v>
      </c>
      <c r="BQ39" s="29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1" t="n"/>
      <c r="BS39" s="21" t="n"/>
      <c r="BT39" s="27">
        <f>SUM(BR39:BS39)</f>
        <v/>
      </c>
      <c r="BU39" s="28" t="n"/>
      <c r="BV39" s="31" t="n"/>
      <c r="BW39" s="29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1" t="n">
        <v>6</v>
      </c>
      <c r="BY39" s="21" t="n">
        <v>24</v>
      </c>
      <c r="BZ39" s="27">
        <f>SUM(BX39:BY39)</f>
        <v/>
      </c>
      <c r="CA39" s="28" t="n">
        <v>43</v>
      </c>
      <c r="CB39" s="31" t="n">
        <v>67</v>
      </c>
      <c r="CC39" s="29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1" t="n">
        <v>12</v>
      </c>
      <c r="CE39" s="21" t="n">
        <v>13</v>
      </c>
      <c r="CF39" s="27">
        <f>SUM(CD39:CE39)</f>
        <v/>
      </c>
      <c r="CG39" s="28" t="n">
        <v>14</v>
      </c>
      <c r="CH39" s="31" t="n">
        <v>16</v>
      </c>
      <c r="CI39" s="29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1" t="n"/>
      <c r="CK39" s="21" t="n"/>
      <c r="CL39" s="27">
        <f>SUM(CJ39:CK39)</f>
        <v/>
      </c>
      <c r="CM39" s="28" t="n"/>
      <c r="CN39" s="31" t="n"/>
      <c r="CO39" s="29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1" t="n">
        <v>13</v>
      </c>
      <c r="CQ39" s="21" t="n">
        <v>12</v>
      </c>
      <c r="CR39" s="27">
        <f>SUM(CP39:CQ39)</f>
        <v/>
      </c>
      <c r="CS39" s="28" t="n">
        <v>10</v>
      </c>
      <c r="CT39" s="31" t="n">
        <v>11</v>
      </c>
      <c r="CU39" s="29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1" t="n"/>
      <c r="CW39" s="21" t="n"/>
      <c r="CX39" s="27">
        <f>SUM(CV39:CW39)</f>
        <v/>
      </c>
      <c r="CY39" s="28" t="n"/>
      <c r="CZ39" s="31" t="n"/>
      <c r="DA39" s="29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1" t="n"/>
      <c r="DC39" s="21" t="n"/>
      <c r="DD39" s="27">
        <f>SUM(DB39:DC39)</f>
        <v/>
      </c>
      <c r="DE39" s="28" t="n"/>
      <c r="DF39" s="31" t="n"/>
      <c r="DG39" s="29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34">
        <f>SUM(O39,U39,AA39,AG39,AM39,AS39,AY39,BE39,BK39,BQ39,BW39,CC39,CI39,CO39,CU39,DA39,DG39)</f>
        <v/>
      </c>
      <c r="DI39" s="39">
        <f>RANK(DH39,DH$4:DH$503)</f>
        <v/>
      </c>
      <c r="DJ39" s="40" t="inlineStr">
        <is>
          <t>AVERAGE(3)</t>
        </is>
      </c>
      <c r="DK39" s="40" t="inlineStr">
        <is>
          <t>GOOD(4)</t>
        </is>
      </c>
      <c r="DL39" s="40" t="inlineStr">
        <is>
          <t>GOOD(4)</t>
        </is>
      </c>
      <c r="DM39" s="40" t="inlineStr">
        <is>
          <t>GOOD(4)</t>
        </is>
      </c>
      <c r="DN39" s="40" t="inlineStr">
        <is>
          <t>GOOD(4)</t>
        </is>
      </c>
      <c r="DO39" s="40" t="inlineStr">
        <is>
          <t>AVERAGE(3)</t>
        </is>
      </c>
      <c r="DP39" s="40" t="inlineStr">
        <is>
          <t>GOOD(4)</t>
        </is>
      </c>
      <c r="DQ39" s="40" t="inlineStr">
        <is>
          <t>BELOW AVERAGE(2)</t>
        </is>
      </c>
      <c r="DR39" s="43" t="inlineStr">
        <is>
          <t>2024/2025</t>
        </is>
      </c>
      <c r="DS39" s="45" t="inlineStr">
        <is>
          <t>THIRD</t>
        </is>
      </c>
      <c r="DT39" s="40" t="inlineStr">
        <is>
          <t>GOOD(4)</t>
        </is>
      </c>
      <c r="DU39" s="40" t="inlineStr">
        <is>
          <t>AVERAGE(3)</t>
        </is>
      </c>
      <c r="DV39" s="40" t="inlineStr">
        <is>
          <t>GOOD(4)</t>
        </is>
      </c>
      <c r="DW39" s="40" t="inlineStr">
        <is>
          <t>GOOD(4)</t>
        </is>
      </c>
      <c r="DX39" s="40" t="inlineStr">
        <is>
          <t>OPTIONAL</t>
        </is>
      </c>
      <c r="DY39" s="40" t="inlineStr">
        <is>
          <t>GOOD(4)</t>
        </is>
      </c>
      <c r="DZ39" s="53" t="inlineStr">
        <is>
          <t>EXCELLENT(5)</t>
        </is>
      </c>
      <c r="EA39" s="54" t="inlineStr">
        <is>
          <t>Completes assignments on time and with care.</t>
        </is>
      </c>
      <c r="EB39" s="55" t="inlineStr">
        <is>
          <t>To repeat JSS1</t>
        </is>
      </c>
      <c r="EC39" s="56" t="inlineStr">
        <is>
          <t>MR. RAHEEM A.A</t>
        </is>
      </c>
      <c r="ED39" s="57" t="inlineStr">
        <is>
          <t>Next Term Begins on Monday, 15th September, 2025</t>
        </is>
      </c>
    </row>
    <row r="40" ht="30.6" customHeight="1" s="6">
      <c r="A40" s="18" t="n">
        <v>37</v>
      </c>
      <c r="B40" s="19" t="inlineStr">
        <is>
          <t>SULAIMAN YUSIRAT O.</t>
        </is>
      </c>
      <c r="C40" s="20" t="inlineStr">
        <is>
          <t>1979</t>
        </is>
      </c>
      <c r="D40" s="128" t="inlineStr">
        <is>
          <t>Female</t>
        </is>
      </c>
      <c r="E40" s="21" t="inlineStr">
        <is>
          <t>JSS 1B</t>
        </is>
      </c>
      <c r="F40" s="21" t="n">
        <v>39</v>
      </c>
      <c r="G40" s="21" t="n">
        <v>122</v>
      </c>
      <c r="H40" s="22" t="n">
        <v>39</v>
      </c>
      <c r="I40" s="26">
        <f>G40-H40</f>
        <v/>
      </c>
      <c r="J40" s="21" t="n">
        <v>22</v>
      </c>
      <c r="K40" s="21" t="n">
        <v>42</v>
      </c>
      <c r="L40" s="27">
        <f>SUM(J40:K40)</f>
        <v/>
      </c>
      <c r="M40" s="28" t="n">
        <v>82</v>
      </c>
      <c r="N40" s="28" t="n">
        <v>73</v>
      </c>
      <c r="O40" s="29">
        <f>IF(AND(L40=0,M40=0,N40=0),0,IF(AND(L40=0,M40=0),N40/1,IF(AND(L40=0,N40=0),M40/1,IF(AND(M40=0,N40=0),L40/1,IF(L40=0,FLOOR((M40+N40)/2,0.1),IF(M40=0,(L40+N40)/2,IF(N40=0,(M40+L40)/2,FLOOR(((L40+M40+N40)/3),0.1))))))))</f>
        <v/>
      </c>
      <c r="P40" s="21" t="n">
        <v>21</v>
      </c>
      <c r="Q40" s="21" t="n">
        <v>32</v>
      </c>
      <c r="R40" s="27">
        <f>SUM(P40:Q40)</f>
        <v/>
      </c>
      <c r="S40" s="28" t="n">
        <v>52</v>
      </c>
      <c r="T40" s="28" t="n">
        <v>38</v>
      </c>
      <c r="U40" s="29">
        <f>IF(AND(R40=0,S40=0,T40=0),0,IF(AND(R40=0,S40=0),T40/1,IF(AND(R40=0,T40=0),S40/1,IF(AND(S40=0,T40=0),R40/1,IF(R40=0,FLOOR((S40+T40)/2,0.1),IF(S40=0,(R40+T40)/2,IF(T40=0,(S40+R40)/2,FLOOR(((R40+S40+T40)/3),0.1))))))))</f>
        <v/>
      </c>
      <c r="V40" s="21" t="n">
        <v>16</v>
      </c>
      <c r="W40" s="21" t="n">
        <v>40</v>
      </c>
      <c r="X40" s="27">
        <f>SUM(V40:W40)</f>
        <v/>
      </c>
      <c r="Y40" s="28" t="n">
        <v>84</v>
      </c>
      <c r="Z40" s="28" t="n">
        <v>56</v>
      </c>
      <c r="AA40" s="29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1" t="n">
        <v>22</v>
      </c>
      <c r="AC40" s="21" t="n">
        <v>42</v>
      </c>
      <c r="AD40" s="27">
        <f>SUM(AB40:AC40)</f>
        <v/>
      </c>
      <c r="AE40" s="28" t="n">
        <v>82</v>
      </c>
      <c r="AF40" s="28" t="n">
        <v>73</v>
      </c>
      <c r="AG40" s="29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1" t="n">
        <v>27</v>
      </c>
      <c r="AI40" s="21" t="n">
        <v>35</v>
      </c>
      <c r="AJ40" s="27">
        <f>SUM(AH40:AI40)</f>
        <v/>
      </c>
      <c r="AK40" s="28" t="n">
        <v>73</v>
      </c>
      <c r="AL40" s="28" t="n">
        <v>45</v>
      </c>
      <c r="AM40" s="29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1" t="n"/>
      <c r="AO40" s="21" t="n"/>
      <c r="AP40" s="27">
        <f>SUM(AN40:AO40)</f>
        <v/>
      </c>
      <c r="AQ40" s="28" t="n"/>
      <c r="AR40" s="30" t="n"/>
      <c r="AS40" s="29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1" t="n">
        <v>19</v>
      </c>
      <c r="AU40" s="21" t="n">
        <v>39</v>
      </c>
      <c r="AV40" s="27">
        <f>SUM(AT40:AU40)</f>
        <v/>
      </c>
      <c r="AW40" s="28" t="n">
        <v>52</v>
      </c>
      <c r="AX40" s="30" t="n">
        <v>73</v>
      </c>
      <c r="AY40" s="29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1" t="n">
        <v>24</v>
      </c>
      <c r="BA40" s="21" t="n">
        <v>37</v>
      </c>
      <c r="BB40" s="27">
        <f>SUM(AZ40:BA40)</f>
        <v/>
      </c>
      <c r="BC40" s="28" t="n">
        <v>56</v>
      </c>
      <c r="BD40" s="28" t="n">
        <v>58</v>
      </c>
      <c r="BE40" s="29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1" t="n">
        <v>15</v>
      </c>
      <c r="BG40" s="21" t="n">
        <v>32</v>
      </c>
      <c r="BH40" s="27">
        <f>SUM(BF40:BG40)</f>
        <v/>
      </c>
      <c r="BI40" s="28" t="n">
        <v>55</v>
      </c>
      <c r="BJ40" s="28" t="n">
        <v>46</v>
      </c>
      <c r="BK40" s="29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1" t="n">
        <v>19</v>
      </c>
      <c r="BM40" s="21" t="n">
        <v>38</v>
      </c>
      <c r="BN40" s="27">
        <f>SUM(BL40:BM40)</f>
        <v/>
      </c>
      <c r="BO40" s="28" t="n">
        <v>48</v>
      </c>
      <c r="BP40" s="31" t="n">
        <v>42</v>
      </c>
      <c r="BQ40" s="29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1" t="n"/>
      <c r="BS40" s="21" t="n"/>
      <c r="BT40" s="27">
        <f>SUM(BR40:BS40)</f>
        <v/>
      </c>
      <c r="BU40" s="28" t="n"/>
      <c r="BV40" s="31" t="n"/>
      <c r="BW40" s="29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1" t="n">
        <v>10</v>
      </c>
      <c r="BY40" s="21" t="n">
        <v>40</v>
      </c>
      <c r="BZ40" s="27">
        <f>SUM(BX40:BY40)</f>
        <v/>
      </c>
      <c r="CA40" s="28" t="n">
        <v>60</v>
      </c>
      <c r="CB40" s="31" t="n">
        <v>80</v>
      </c>
      <c r="CC40" s="29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1" t="n">
        <v>13</v>
      </c>
      <c r="CE40" s="21" t="n">
        <v>49</v>
      </c>
      <c r="CF40" s="27">
        <f>SUM(CD40:CE40)</f>
        <v/>
      </c>
      <c r="CG40" s="28" t="n">
        <v>39</v>
      </c>
      <c r="CH40" s="31" t="n">
        <v>16</v>
      </c>
      <c r="CI40" s="29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1" t="n"/>
      <c r="CK40" s="21" t="n"/>
      <c r="CL40" s="27">
        <f>SUM(CJ40:CK40)</f>
        <v/>
      </c>
      <c r="CM40" s="28" t="n"/>
      <c r="CN40" s="31" t="n"/>
      <c r="CO40" s="29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1" t="n">
        <v>23</v>
      </c>
      <c r="CQ40" s="21" t="n">
        <v>40</v>
      </c>
      <c r="CR40" s="27">
        <f>SUM(CP40:CQ40)</f>
        <v/>
      </c>
      <c r="CS40" s="28" t="n">
        <v>73</v>
      </c>
      <c r="CT40" s="31" t="n">
        <v>49</v>
      </c>
      <c r="CU40" s="29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1" t="n"/>
      <c r="CW40" s="21" t="n"/>
      <c r="CX40" s="27">
        <f>SUM(CV40:CW40)</f>
        <v/>
      </c>
      <c r="CY40" s="28" t="n"/>
      <c r="CZ40" s="31" t="n"/>
      <c r="DA40" s="29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1" t="n"/>
      <c r="DC40" s="21" t="n"/>
      <c r="DD40" s="27">
        <f>SUM(DB40:DC40)</f>
        <v/>
      </c>
      <c r="DE40" s="28" t="n"/>
      <c r="DF40" s="31" t="n"/>
      <c r="DG40" s="29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34">
        <f>SUM(O40,U40,AA40,AG40,AM40,AS40,AY40,BE40,BK40,BQ40,BW40,CC40,CI40,CO40,CU40,DA40,DG40)</f>
        <v/>
      </c>
      <c r="DI40" s="39">
        <f>RANK(DH40,DH$4:DH$503)</f>
        <v/>
      </c>
      <c r="DJ40" s="40" t="inlineStr">
        <is>
          <t>GOOD(4)</t>
        </is>
      </c>
      <c r="DK40" s="40" t="inlineStr">
        <is>
          <t>GOOD(4)</t>
        </is>
      </c>
      <c r="DL40" s="40" t="inlineStr">
        <is>
          <t>GOOD(4)</t>
        </is>
      </c>
      <c r="DM40" s="40" t="inlineStr">
        <is>
          <t>AVERAGE(3)</t>
        </is>
      </c>
      <c r="DN40" s="40" t="inlineStr">
        <is>
          <t>AVERAGE(3)</t>
        </is>
      </c>
      <c r="DO40" s="40" t="inlineStr">
        <is>
          <t>GOOD(4)</t>
        </is>
      </c>
      <c r="DP40" s="40" t="inlineStr">
        <is>
          <t>GOOD(4)</t>
        </is>
      </c>
      <c r="DQ40" s="40" t="inlineStr">
        <is>
          <t>AVERAGE(3)</t>
        </is>
      </c>
      <c r="DR40" s="43" t="inlineStr">
        <is>
          <t>2024/2025</t>
        </is>
      </c>
      <c r="DS40" s="45" t="inlineStr">
        <is>
          <t>THIRD</t>
        </is>
      </c>
      <c r="DT40" s="40" t="inlineStr">
        <is>
          <t>GOOD(4)</t>
        </is>
      </c>
      <c r="DU40" s="40" t="inlineStr">
        <is>
          <t>GOOD(4)</t>
        </is>
      </c>
      <c r="DV40" s="40" t="inlineStr">
        <is>
          <t>GOOD(4)</t>
        </is>
      </c>
      <c r="DW40" s="40" t="inlineStr">
        <is>
          <t>EXCELLENT(5)</t>
        </is>
      </c>
      <c r="DX40" s="40" t="inlineStr">
        <is>
          <t>AVERAGE(3)</t>
        </is>
      </c>
      <c r="DY40" s="40" t="inlineStr">
        <is>
          <t>EXCELLENT(5)</t>
        </is>
      </c>
      <c r="DZ40" s="53" t="inlineStr">
        <is>
          <t>GOOD(4)</t>
        </is>
      </c>
      <c r="EA40" s="54" t="inlineStr">
        <is>
          <t>Requires additional support in understanding key concepts.</t>
        </is>
      </c>
      <c r="EB40" s="55" t="inlineStr">
        <is>
          <t>Promoted to JSS2</t>
        </is>
      </c>
      <c r="EC40" s="56" t="inlineStr">
        <is>
          <t>MR. RAHEEM A.A</t>
        </is>
      </c>
      <c r="ED40" s="57" t="inlineStr">
        <is>
          <t>Next Term Begins on Monday, 15th September, 2025</t>
        </is>
      </c>
    </row>
    <row r="41" ht="30.6" customHeight="1" s="6">
      <c r="A41" s="18" t="n">
        <v>38</v>
      </c>
      <c r="B41" s="19" t="inlineStr">
        <is>
          <t xml:space="preserve">TIAMIYU ROKIBAT </t>
        </is>
      </c>
      <c r="C41" s="20" t="inlineStr">
        <is>
          <t>1983</t>
        </is>
      </c>
      <c r="D41" s="128" t="inlineStr">
        <is>
          <t>Female</t>
        </is>
      </c>
      <c r="E41" s="21" t="inlineStr">
        <is>
          <t>JSS 1B</t>
        </is>
      </c>
      <c r="F41" s="21" t="n">
        <v>39</v>
      </c>
      <c r="G41" s="21" t="n">
        <v>122</v>
      </c>
      <c r="H41" s="22" t="n">
        <v>46</v>
      </c>
      <c r="I41" s="26">
        <f>G41-H41</f>
        <v/>
      </c>
      <c r="J41" s="21" t="n">
        <v>28</v>
      </c>
      <c r="K41" s="21" t="n">
        <v>33</v>
      </c>
      <c r="L41" s="27">
        <f>SUM(J41:K41)</f>
        <v/>
      </c>
      <c r="M41" s="28" t="n">
        <v>48</v>
      </c>
      <c r="N41" s="28" t="n">
        <v>28</v>
      </c>
      <c r="O41" s="29">
        <f>IF(AND(L41=0,M41=0,N41=0),0,IF(AND(L41=0,M41=0),N41/1,IF(AND(L41=0,N41=0),M41/1,IF(AND(M41=0,N41=0),L41/1,IF(L41=0,FLOOR((M41+N41)/2,0.1),IF(M41=0,(L41+N41)/2,IF(N41=0,(M41+L41)/2,FLOOR(((L41+M41+N41)/3),0.1))))))))</f>
        <v/>
      </c>
      <c r="P41" s="21" t="n">
        <v>14</v>
      </c>
      <c r="Q41" s="21" t="n">
        <v>22</v>
      </c>
      <c r="R41" s="27">
        <f>SUM(P41:Q41)</f>
        <v/>
      </c>
      <c r="S41" s="28" t="n">
        <v>58</v>
      </c>
      <c r="T41" s="28" t="n">
        <v>47</v>
      </c>
      <c r="U41" s="29">
        <f>IF(AND(R41=0,S41=0,T41=0),0,IF(AND(R41=0,S41=0),T41/1,IF(AND(R41=0,T41=0),S41/1,IF(AND(S41=0,T41=0),R41/1,IF(R41=0,FLOOR((S41+T41)/2,0.1),IF(S41=0,(R41+T41)/2,IF(T41=0,(S41+R41)/2,FLOOR(((R41+S41+T41)/3),0.1))))))))</f>
        <v/>
      </c>
      <c r="V41" s="21" t="n">
        <v>14</v>
      </c>
      <c r="W41" s="21" t="n">
        <v>40</v>
      </c>
      <c r="X41" s="27">
        <f>SUM(V41:W41)</f>
        <v/>
      </c>
      <c r="Y41" s="28" t="n">
        <v>62</v>
      </c>
      <c r="Z41" s="28" t="n">
        <v>56</v>
      </c>
      <c r="AA41" s="29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1" t="n">
        <v>25</v>
      </c>
      <c r="AC41" s="21" t="n">
        <v>29</v>
      </c>
      <c r="AD41" s="27">
        <f>SUM(AB41:AC41)</f>
        <v/>
      </c>
      <c r="AE41" s="28" t="n">
        <v>70</v>
      </c>
      <c r="AF41" s="28" t="n">
        <v>62</v>
      </c>
      <c r="AG41" s="29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1" t="n">
        <v>28</v>
      </c>
      <c r="AI41" s="21" t="n">
        <v>27</v>
      </c>
      <c r="AJ41" s="27">
        <f>SUM(AH41:AI41)</f>
        <v/>
      </c>
      <c r="AK41" s="28" t="n">
        <v>57</v>
      </c>
      <c r="AL41" s="28" t="n">
        <v>48</v>
      </c>
      <c r="AM41" s="29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1" t="n"/>
      <c r="AO41" s="21" t="n"/>
      <c r="AP41" s="27">
        <f>SUM(AN41:AO41)</f>
        <v/>
      </c>
      <c r="AQ41" s="28" t="n"/>
      <c r="AR41" s="30" t="n"/>
      <c r="AS41" s="29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1" t="n">
        <v>19</v>
      </c>
      <c r="AU41" s="21" t="n">
        <v>42</v>
      </c>
      <c r="AV41" s="27">
        <f>SUM(AT41:AU41)</f>
        <v/>
      </c>
      <c r="AW41" s="28" t="n">
        <v>35</v>
      </c>
      <c r="AX41" s="30" t="n">
        <v>48</v>
      </c>
      <c r="AY41" s="29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1" t="n">
        <v>25</v>
      </c>
      <c r="BA41" s="21" t="n">
        <v>26</v>
      </c>
      <c r="BB41" s="27">
        <f>SUM(AZ41:BA41)</f>
        <v/>
      </c>
      <c r="BC41" s="28" t="n">
        <v>43</v>
      </c>
      <c r="BD41" s="28" t="n">
        <v>47</v>
      </c>
      <c r="BE41" s="29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1" t="n">
        <v>15</v>
      </c>
      <c r="BG41" s="21" t="n">
        <v>32</v>
      </c>
      <c r="BH41" s="27">
        <f>SUM(BF41:BG41)</f>
        <v/>
      </c>
      <c r="BI41" s="28" t="n">
        <v>56</v>
      </c>
      <c r="BJ41" s="28" t="n">
        <v>54</v>
      </c>
      <c r="BK41" s="29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1" t="n">
        <v>15</v>
      </c>
      <c r="BM41" s="21" t="n">
        <v>38</v>
      </c>
      <c r="BN41" s="27">
        <f>SUM(BL41:BM41)</f>
        <v/>
      </c>
      <c r="BO41" s="28" t="n">
        <v>57</v>
      </c>
      <c r="BP41" s="31" t="n">
        <v>85</v>
      </c>
      <c r="BQ41" s="29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1" t="n"/>
      <c r="BS41" s="21" t="n"/>
      <c r="BT41" s="27">
        <f>SUM(BR41:BS41)</f>
        <v/>
      </c>
      <c r="BU41" s="28" t="n"/>
      <c r="BV41" s="31" t="n"/>
      <c r="BW41" s="29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1" t="n">
        <v>10</v>
      </c>
      <c r="BY41" s="21" t="n">
        <v>40</v>
      </c>
      <c r="BZ41" s="27">
        <f>SUM(BX41:BY41)</f>
        <v/>
      </c>
      <c r="CA41" s="28" t="n">
        <v>60</v>
      </c>
      <c r="CB41" s="31" t="n">
        <v>80</v>
      </c>
      <c r="CC41" s="29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1" t="n">
        <v>9</v>
      </c>
      <c r="CE41" s="21" t="n">
        <v>44</v>
      </c>
      <c r="CF41" s="27">
        <f>SUM(CD41:CE41)</f>
        <v/>
      </c>
      <c r="CG41" s="28" t="n">
        <v>44</v>
      </c>
      <c r="CH41" s="31" t="n">
        <v>19</v>
      </c>
      <c r="CI41" s="29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1" t="n"/>
      <c r="CK41" s="21" t="n"/>
      <c r="CL41" s="27">
        <f>SUM(CJ41:CK41)</f>
        <v/>
      </c>
      <c r="CM41" s="28" t="n"/>
      <c r="CN41" s="31" t="n"/>
      <c r="CO41" s="29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1" t="n">
        <v>26</v>
      </c>
      <c r="CQ41" s="21" t="n">
        <v>28</v>
      </c>
      <c r="CR41" s="27">
        <f>SUM(CP41:CQ41)</f>
        <v/>
      </c>
      <c r="CS41" s="28" t="n">
        <v>36</v>
      </c>
      <c r="CT41" s="31" t="n">
        <v>36</v>
      </c>
      <c r="CU41" s="29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1" t="n"/>
      <c r="CW41" s="21" t="n"/>
      <c r="CX41" s="27">
        <f>SUM(CV41:CW41)</f>
        <v/>
      </c>
      <c r="CY41" s="28" t="n"/>
      <c r="CZ41" s="31" t="n"/>
      <c r="DA41" s="29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1" t="n"/>
      <c r="DC41" s="21" t="n"/>
      <c r="DD41" s="27">
        <f>SUM(DB41:DC41)</f>
        <v/>
      </c>
      <c r="DE41" s="28" t="n"/>
      <c r="DF41" s="31" t="n"/>
      <c r="DG41" s="29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34">
        <f>SUM(O41,U41,AA41,AG41,AM41,AS41,AY41,BE41,BK41,BQ41,BW41,CC41,CI41,CO41,CU41,DA41,DG41)</f>
        <v/>
      </c>
      <c r="DI41" s="39">
        <f>RANK(DH41,DH$4:DH$503)</f>
        <v/>
      </c>
      <c r="DJ41" s="40" t="inlineStr">
        <is>
          <t>AVERAGE(3)</t>
        </is>
      </c>
      <c r="DK41" s="40" t="inlineStr">
        <is>
          <t>AVERAGE(3)</t>
        </is>
      </c>
      <c r="DL41" s="40" t="inlineStr">
        <is>
          <t>CHOOSE RATING</t>
        </is>
      </c>
      <c r="DM41" s="40" t="inlineStr">
        <is>
          <t>AVERAGE(3)</t>
        </is>
      </c>
      <c r="DN41" s="40" t="inlineStr">
        <is>
          <t>AVERAGE(3)</t>
        </is>
      </c>
      <c r="DO41" s="40" t="inlineStr">
        <is>
          <t>GOOD(4)</t>
        </is>
      </c>
      <c r="DP41" s="40" t="inlineStr">
        <is>
          <t>GOOD(4)</t>
        </is>
      </c>
      <c r="DQ41" s="40" t="inlineStr">
        <is>
          <t>GOOD(4)</t>
        </is>
      </c>
      <c r="DR41" s="43" t="inlineStr">
        <is>
          <t>2024/2025</t>
        </is>
      </c>
      <c r="DS41" s="45" t="inlineStr">
        <is>
          <t>THIRD</t>
        </is>
      </c>
      <c r="DT41" s="40" t="inlineStr">
        <is>
          <t>GOOD(4)</t>
        </is>
      </c>
      <c r="DU41" s="40" t="inlineStr">
        <is>
          <t>GOOD(4)</t>
        </is>
      </c>
      <c r="DV41" s="40" t="inlineStr">
        <is>
          <t>GOOD(4)</t>
        </is>
      </c>
      <c r="DW41" s="40" t="inlineStr">
        <is>
          <t>OPTIONAL</t>
        </is>
      </c>
      <c r="DX41" s="40" t="inlineStr">
        <is>
          <t>GOOD(4)</t>
        </is>
      </c>
      <c r="DY41" s="40" t="inlineStr">
        <is>
          <t>OPTIONAL</t>
        </is>
      </c>
      <c r="DZ41" s="53" t="inlineStr">
        <is>
          <t>GOOD(4)</t>
        </is>
      </c>
      <c r="EA41" s="54" t="inlineStr">
        <is>
          <t>Requires additional support in understanding key concepts.</t>
        </is>
      </c>
      <c r="EB41" s="55" t="inlineStr">
        <is>
          <t>Promoted to JSS2</t>
        </is>
      </c>
      <c r="EC41" s="56" t="inlineStr">
        <is>
          <t>MR. RAHEEM A.A</t>
        </is>
      </c>
      <c r="ED41" s="57" t="inlineStr">
        <is>
          <t>Next Term Begins on Monday, 15th September, 2025</t>
        </is>
      </c>
    </row>
    <row r="42" ht="30.6" customHeight="1" s="6">
      <c r="A42" s="18" t="n">
        <v>39</v>
      </c>
      <c r="B42" s="19" t="inlineStr">
        <is>
          <t>WAHAB RIDIWAN A.</t>
        </is>
      </c>
      <c r="C42" s="20" t="inlineStr">
        <is>
          <t>1985</t>
        </is>
      </c>
      <c r="D42" s="128" t="inlineStr">
        <is>
          <t>Male</t>
        </is>
      </c>
      <c r="E42" s="21" t="inlineStr">
        <is>
          <t>JSS 1B</t>
        </is>
      </c>
      <c r="F42" s="21" t="n">
        <v>39</v>
      </c>
      <c r="G42" s="21" t="n">
        <v>122</v>
      </c>
      <c r="H42" s="22" t="n">
        <v>47</v>
      </c>
      <c r="I42" s="26">
        <f>G42-H42</f>
        <v/>
      </c>
      <c r="J42" s="21" t="n">
        <v>20</v>
      </c>
      <c r="K42" s="21" t="n">
        <v>30</v>
      </c>
      <c r="L42" s="27">
        <f>SUM(J42:K42)</f>
        <v/>
      </c>
      <c r="M42" s="28" t="n">
        <v>58</v>
      </c>
      <c r="N42" s="28" t="n">
        <v>54</v>
      </c>
      <c r="O42" s="29">
        <f>IF(AND(L42=0,M42=0,N42=0),0,IF(AND(L42=0,M42=0),N42/1,IF(AND(L42=0,N42=0),M42/1,IF(AND(M42=0,N42=0),L42/1,IF(L42=0,FLOOR((M42+N42)/2,0.1),IF(M42=0,(L42+N42)/2,IF(N42=0,(M42+L42)/2,FLOOR(((L42+M42+N42)/3),0.1))))))))</f>
        <v/>
      </c>
      <c r="P42" s="21" t="n">
        <v>20</v>
      </c>
      <c r="Q42" s="21" t="n">
        <v>42</v>
      </c>
      <c r="R42" s="27">
        <f>SUM(P42:Q42)</f>
        <v/>
      </c>
      <c r="S42" s="28" t="n">
        <v>65</v>
      </c>
      <c r="T42" s="28" t="n">
        <v>52</v>
      </c>
      <c r="U42" s="29">
        <f>IF(AND(R42=0,S42=0,T42=0),0,IF(AND(R42=0,S42=0),T42/1,IF(AND(R42=0,T42=0),S42/1,IF(AND(S42=0,T42=0),R42/1,IF(R42=0,FLOOR((S42+T42)/2,0.1),IF(S42=0,(R42+T42)/2,IF(T42=0,(S42+R42)/2,FLOOR(((R42+S42+T42)/3),0.1))))))))</f>
        <v/>
      </c>
      <c r="V42" s="21" t="n">
        <v>14</v>
      </c>
      <c r="W42" s="21" t="n">
        <v>40</v>
      </c>
      <c r="X42" s="27">
        <f>SUM(V42:W42)</f>
        <v/>
      </c>
      <c r="Y42" s="28" t="n">
        <v>56</v>
      </c>
      <c r="Z42" s="28" t="n">
        <v>48</v>
      </c>
      <c r="AA42" s="29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1" t="n">
        <v>20</v>
      </c>
      <c r="AC42" s="21" t="n">
        <v>30</v>
      </c>
      <c r="AD42" s="27">
        <f>SUM(AB42:AC42)</f>
        <v/>
      </c>
      <c r="AE42" s="28" t="n">
        <v>58</v>
      </c>
      <c r="AF42" s="28" t="n">
        <v>54</v>
      </c>
      <c r="AG42" s="29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1" t="n">
        <v>25</v>
      </c>
      <c r="AI42" s="21" t="n">
        <v>30</v>
      </c>
      <c r="AJ42" s="27">
        <f>SUM(AH42:AI42)</f>
        <v/>
      </c>
      <c r="AK42" s="28" t="n">
        <v>27</v>
      </c>
      <c r="AL42" s="28" t="n">
        <v>27</v>
      </c>
      <c r="AM42" s="29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1" t="n"/>
      <c r="AO42" s="21" t="n"/>
      <c r="AP42" s="27">
        <f>SUM(AN42:AO42)</f>
        <v/>
      </c>
      <c r="AQ42" s="28" t="n"/>
      <c r="AR42" s="30" t="n"/>
      <c r="AS42" s="29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1" t="n">
        <v>20</v>
      </c>
      <c r="AU42" s="21" t="n">
        <v>30</v>
      </c>
      <c r="AV42" s="27">
        <f>SUM(AT42:AU42)</f>
        <v/>
      </c>
      <c r="AW42" s="28" t="n">
        <v>31</v>
      </c>
      <c r="AX42" s="30" t="n">
        <v>27</v>
      </c>
      <c r="AY42" s="29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1" t="n">
        <v>23</v>
      </c>
      <c r="BA42" s="21" t="n">
        <v>28</v>
      </c>
      <c r="BB42" s="27">
        <f>SUM(AZ42:BA42)</f>
        <v/>
      </c>
      <c r="BC42" s="28" t="n">
        <v>43</v>
      </c>
      <c r="BD42" s="28" t="n">
        <v>47</v>
      </c>
      <c r="BE42" s="29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1" t="n">
        <v>14</v>
      </c>
      <c r="BG42" s="21" t="n">
        <v>38</v>
      </c>
      <c r="BH42" s="27">
        <f>SUM(BF42:BG42)</f>
        <v/>
      </c>
      <c r="BI42" s="28" t="n">
        <v>50</v>
      </c>
      <c r="BJ42" s="28" t="n">
        <v>44</v>
      </c>
      <c r="BK42" s="29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1" t="n">
        <v>15</v>
      </c>
      <c r="BM42" s="21" t="n">
        <v>35</v>
      </c>
      <c r="BN42" s="27">
        <f>SUM(BL42:BM42)</f>
        <v/>
      </c>
      <c r="BO42" s="28" t="n">
        <v>47</v>
      </c>
      <c r="BP42" s="31" t="n">
        <v>72</v>
      </c>
      <c r="BQ42" s="29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1" t="n"/>
      <c r="BS42" s="21" t="n"/>
      <c r="BT42" s="27">
        <f>SUM(BR42:BS42)</f>
        <v/>
      </c>
      <c r="BU42" s="28" t="n"/>
      <c r="BV42" s="31" t="n"/>
      <c r="BW42" s="29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1" t="n">
        <v>10</v>
      </c>
      <c r="BY42" s="21" t="n">
        <v>40</v>
      </c>
      <c r="BZ42" s="27">
        <f>SUM(BX42:BY42)</f>
        <v/>
      </c>
      <c r="CA42" s="28" t="n">
        <v>60</v>
      </c>
      <c r="CB42" s="31" t="n">
        <v>80</v>
      </c>
      <c r="CC42" s="29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1" t="n">
        <v>20</v>
      </c>
      <c r="CE42" s="21" t="n">
        <v>30</v>
      </c>
      <c r="CF42" s="27">
        <f>SUM(CD42:CE42)</f>
        <v/>
      </c>
      <c r="CG42" s="28" t="n">
        <v>52</v>
      </c>
      <c r="CH42" s="31" t="n">
        <v>25</v>
      </c>
      <c r="CI42" s="29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1" t="n"/>
      <c r="CK42" s="21" t="n"/>
      <c r="CL42" s="27">
        <f>SUM(CJ42:CK42)</f>
        <v/>
      </c>
      <c r="CM42" s="28" t="n"/>
      <c r="CN42" s="31" t="n"/>
      <c r="CO42" s="29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1" t="n">
        <v>21</v>
      </c>
      <c r="CQ42" s="21" t="n">
        <v>32</v>
      </c>
      <c r="CR42" s="27">
        <f>SUM(CP42:CQ42)</f>
        <v/>
      </c>
      <c r="CS42" s="28" t="n">
        <v>73</v>
      </c>
      <c r="CT42" s="31" t="n">
        <v>47</v>
      </c>
      <c r="CU42" s="29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1" t="n"/>
      <c r="CW42" s="21" t="n"/>
      <c r="CX42" s="27">
        <f>SUM(CV42:CW42)</f>
        <v/>
      </c>
      <c r="CY42" s="28" t="n"/>
      <c r="CZ42" s="31" t="n"/>
      <c r="DA42" s="29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1" t="n"/>
      <c r="DC42" s="21" t="n"/>
      <c r="DD42" s="27">
        <f>SUM(DB42:DC42)</f>
        <v/>
      </c>
      <c r="DE42" s="28" t="n"/>
      <c r="DF42" s="31" t="n"/>
      <c r="DG42" s="29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34">
        <f>SUM(O42,U42,AA42,AG42,AM42,AS42,AY42,BE42,BK42,BQ42,BW42,CC42,CI42,CO42,CU42,DA42,DG42)</f>
        <v/>
      </c>
      <c r="DI42" s="39">
        <f>RANK(DH42,DH$4:DH$503)</f>
        <v/>
      </c>
      <c r="DJ42" s="40" t="inlineStr">
        <is>
          <t>GOOD(4)</t>
        </is>
      </c>
      <c r="DK42" s="40" t="inlineStr">
        <is>
          <t>GOOD(4)</t>
        </is>
      </c>
      <c r="DL42" s="40" t="inlineStr">
        <is>
          <t>GOOD(4)</t>
        </is>
      </c>
      <c r="DM42" s="40" t="inlineStr">
        <is>
          <t>GOOD(4)</t>
        </is>
      </c>
      <c r="DN42" s="40" t="inlineStr">
        <is>
          <t>GOOD(4)</t>
        </is>
      </c>
      <c r="DO42" s="40" t="inlineStr">
        <is>
          <t>GOOD(4)</t>
        </is>
      </c>
      <c r="DP42" s="40" t="inlineStr">
        <is>
          <t>GOOD(4)</t>
        </is>
      </c>
      <c r="DQ42" s="40" t="inlineStr">
        <is>
          <t>GOOD(4)</t>
        </is>
      </c>
      <c r="DR42" s="43" t="inlineStr">
        <is>
          <t>2024/2025</t>
        </is>
      </c>
      <c r="DS42" s="45" t="inlineStr">
        <is>
          <t>THIRD</t>
        </is>
      </c>
      <c r="DT42" s="40" t="inlineStr">
        <is>
          <t>GOOD(4)</t>
        </is>
      </c>
      <c r="DU42" s="40" t="inlineStr">
        <is>
          <t>GOOD(4)</t>
        </is>
      </c>
      <c r="DV42" s="40" t="inlineStr">
        <is>
          <t>GOOD(4)</t>
        </is>
      </c>
      <c r="DW42" s="40" t="inlineStr">
        <is>
          <t>CHOOSE RATING</t>
        </is>
      </c>
      <c r="DX42" s="40" t="inlineStr">
        <is>
          <t>GOOD(4)</t>
        </is>
      </c>
      <c r="DY42" s="40" t="inlineStr">
        <is>
          <t>AVERAGE(3)</t>
        </is>
      </c>
      <c r="DZ42" s="53" t="inlineStr">
        <is>
          <t>GOOD(4)</t>
        </is>
      </c>
      <c r="EA42" s="54" t="inlineStr">
        <is>
          <t>Requires additional support in understanding key concepts.</t>
        </is>
      </c>
      <c r="EB42" s="55" t="inlineStr">
        <is>
          <t>Promoted to JSS2</t>
        </is>
      </c>
      <c r="EC42" s="56" t="inlineStr">
        <is>
          <t>MR. RAHEEM A.A</t>
        </is>
      </c>
      <c r="ED42" s="57" t="inlineStr">
        <is>
          <t>Next Term Begins on Monday, 15th September, 2025</t>
        </is>
      </c>
    </row>
    <row r="43" ht="30.6" customHeight="1" s="6">
      <c r="A43" s="18" t="n">
        <v>40</v>
      </c>
      <c r="B43" s="19" t="n"/>
      <c r="C43" s="20" t="n"/>
      <c r="D43" s="128" t="n"/>
      <c r="E43" s="21" t="n"/>
      <c r="F43" s="22" t="n"/>
      <c r="G43" s="22" t="n"/>
      <c r="H43" s="22" t="n"/>
      <c r="I43" s="26">
        <f>G43-H43</f>
        <v/>
      </c>
      <c r="J43" s="21" t="n"/>
      <c r="K43" s="21" t="n"/>
      <c r="L43" s="27">
        <f>SUM(J43:K43)</f>
        <v/>
      </c>
      <c r="M43" s="28" t="n"/>
      <c r="N43" s="28" t="n"/>
      <c r="O43" s="29">
        <f>IF(AND(L43=0,M43=0,N43=0),0,IF(AND(L43=0,M43=0),N43/1,IF(AND(L43=0,N43=0),M43/1,IF(AND(M43=0,N43=0),L43/1,IF(L43=0,FLOOR((M43+N43)/2,0.1),IF(M43=0,(L43+N43)/2,IF(N43=0,(M43+L43)/2,FLOOR(((L43+M43+N43)/3),0.1))))))))</f>
        <v/>
      </c>
      <c r="P43" s="21" t="n"/>
      <c r="Q43" s="21" t="n"/>
      <c r="R43" s="27">
        <f>SUM(P43:Q43)</f>
        <v/>
      </c>
      <c r="S43" s="28" t="n"/>
      <c r="T43" s="28" t="n"/>
      <c r="U43" s="29">
        <f>IF(AND(R43=0,S43=0,T43=0),0,IF(AND(R43=0,S43=0),T43/1,IF(AND(R43=0,T43=0),S43/1,IF(AND(S43=0,T43=0),R43/1,IF(R43=0,FLOOR((S43+T43)/2,0.1),IF(S43=0,(R43+T43)/2,IF(T43=0,(S43+R43)/2,FLOOR(((R43+S43+T43)/3),0.1))))))))</f>
        <v/>
      </c>
      <c r="V43" s="21" t="n"/>
      <c r="W43" s="21" t="n"/>
      <c r="X43" s="27">
        <f>SUM(V43:W43)</f>
        <v/>
      </c>
      <c r="Y43" s="28" t="n"/>
      <c r="Z43" s="28" t="n"/>
      <c r="AA43" s="29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1" t="n"/>
      <c r="AC43" s="21" t="n"/>
      <c r="AD43" s="27">
        <f>SUM(AB43:AC43)</f>
        <v/>
      </c>
      <c r="AE43" s="28" t="n"/>
      <c r="AF43" s="28" t="n"/>
      <c r="AG43" s="29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1" t="n"/>
      <c r="AI43" s="21" t="n"/>
      <c r="AJ43" s="27">
        <f>SUM(AH43:AI43)</f>
        <v/>
      </c>
      <c r="AK43" s="28" t="n"/>
      <c r="AL43" s="28" t="n"/>
      <c r="AM43" s="29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1" t="n"/>
      <c r="AO43" s="21" t="n"/>
      <c r="AP43" s="27">
        <f>SUM(AN43:AO43)</f>
        <v/>
      </c>
      <c r="AQ43" s="28" t="n"/>
      <c r="AR43" s="30" t="n"/>
      <c r="AS43" s="29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1" t="n"/>
      <c r="AU43" s="21" t="n"/>
      <c r="AV43" s="27">
        <f>SUM(AT43:AU43)</f>
        <v/>
      </c>
      <c r="AW43" s="28" t="n"/>
      <c r="AX43" s="30" t="n"/>
      <c r="AY43" s="29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1" t="n"/>
      <c r="BA43" s="21" t="n"/>
      <c r="BB43" s="27">
        <f>SUM(AZ43:BA43)</f>
        <v/>
      </c>
      <c r="BC43" s="28" t="n"/>
      <c r="BD43" s="28" t="n"/>
      <c r="BE43" s="29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1" t="n"/>
      <c r="BG43" s="21" t="n"/>
      <c r="BH43" s="27">
        <f>SUM(BF43:BG43)</f>
        <v/>
      </c>
      <c r="BI43" s="28" t="n"/>
      <c r="BJ43" s="28" t="n"/>
      <c r="BK43" s="29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1" t="n"/>
      <c r="BM43" s="21" t="n"/>
      <c r="BN43" s="27">
        <f>SUM(BL43:BM43)</f>
        <v/>
      </c>
      <c r="BO43" s="28" t="n"/>
      <c r="BP43" s="31" t="n"/>
      <c r="BQ43" s="29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1" t="n"/>
      <c r="BS43" s="21" t="n"/>
      <c r="BT43" s="27">
        <f>SUM(BR43:BS43)</f>
        <v/>
      </c>
      <c r="BU43" s="28" t="n"/>
      <c r="BV43" s="31" t="n"/>
      <c r="BW43" s="29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1" t="n"/>
      <c r="BY43" s="21" t="n"/>
      <c r="BZ43" s="27">
        <f>SUM(BX43:BY43)</f>
        <v/>
      </c>
      <c r="CA43" s="28" t="n"/>
      <c r="CB43" s="31" t="n"/>
      <c r="CC43" s="29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1" t="n"/>
      <c r="CE43" s="21" t="n"/>
      <c r="CF43" s="27">
        <f>SUM(CD43:CE43)</f>
        <v/>
      </c>
      <c r="CG43" s="28" t="n"/>
      <c r="CH43" s="31" t="n"/>
      <c r="CI43" s="29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1" t="n"/>
      <c r="CK43" s="21" t="n"/>
      <c r="CL43" s="27">
        <f>SUM(CJ43:CK43)</f>
        <v/>
      </c>
      <c r="CM43" s="28" t="n"/>
      <c r="CN43" s="31" t="n"/>
      <c r="CO43" s="29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1" t="n"/>
      <c r="CQ43" s="21" t="n"/>
      <c r="CR43" s="27">
        <f>SUM(CP43:CQ43)</f>
        <v/>
      </c>
      <c r="CS43" s="28" t="n"/>
      <c r="CT43" s="31" t="n"/>
      <c r="CU43" s="29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1" t="n"/>
      <c r="CW43" s="21" t="n"/>
      <c r="CX43" s="27">
        <f>SUM(CV43:CW43)</f>
        <v/>
      </c>
      <c r="CY43" s="28" t="n"/>
      <c r="CZ43" s="31" t="n"/>
      <c r="DA43" s="29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1" t="n"/>
      <c r="DC43" s="21" t="n"/>
      <c r="DD43" s="27">
        <f>SUM(DB43:DC43)</f>
        <v/>
      </c>
      <c r="DE43" s="28" t="n"/>
      <c r="DF43" s="31" t="n"/>
      <c r="DG43" s="29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34">
        <f>SUM(O43,U43,AA43,AG43,AM43,AS43,AY43,BE43,BK43,BQ43,BW43,CC43,CI43,CO43,CU43,DA43,DG43)</f>
        <v/>
      </c>
      <c r="DI43" s="39">
        <f>RANK(DH43,DH$4:DH$503)</f>
        <v/>
      </c>
      <c r="DJ43" s="40" t="inlineStr">
        <is>
          <t>CHOOSE RATING</t>
        </is>
      </c>
      <c r="DK43" s="40" t="inlineStr">
        <is>
          <t>CHOOSE RATING</t>
        </is>
      </c>
      <c r="DL43" s="40" t="inlineStr">
        <is>
          <t>CHOOSE RATING</t>
        </is>
      </c>
      <c r="DM43" s="40" t="inlineStr">
        <is>
          <t>CHOOSE RATING</t>
        </is>
      </c>
      <c r="DN43" s="40" t="inlineStr">
        <is>
          <t>CHOOSE RATING</t>
        </is>
      </c>
      <c r="DO43" s="40" t="inlineStr">
        <is>
          <t>CHOOSE RATING</t>
        </is>
      </c>
      <c r="DP43" s="40" t="inlineStr">
        <is>
          <t>CHOOSE RATING</t>
        </is>
      </c>
      <c r="DQ43" s="40" t="inlineStr">
        <is>
          <t>CHOOSE RATING</t>
        </is>
      </c>
      <c r="DR43" s="43" t="inlineStr">
        <is>
          <t>2024/2025</t>
        </is>
      </c>
      <c r="DS43" s="45" t="inlineStr">
        <is>
          <t>THIRD</t>
        </is>
      </c>
      <c r="DT43" s="40" t="inlineStr">
        <is>
          <t>CHOOSE RATING</t>
        </is>
      </c>
      <c r="DU43" s="40" t="inlineStr">
        <is>
          <t>CHOOSE RATING</t>
        </is>
      </c>
      <c r="DV43" s="40" t="inlineStr">
        <is>
          <t>CHOOSE RATING</t>
        </is>
      </c>
      <c r="DW43" s="40" t="inlineStr">
        <is>
          <t>CHOOSE RATING</t>
        </is>
      </c>
      <c r="DX43" s="40" t="inlineStr">
        <is>
          <t>CHOOSE RATING</t>
        </is>
      </c>
      <c r="DY43" s="40" t="inlineStr">
        <is>
          <t>CHOOSE RATING</t>
        </is>
      </c>
      <c r="DZ43" s="53" t="inlineStr">
        <is>
          <t>CHOOSE RATING</t>
        </is>
      </c>
      <c r="EA43" s="54" t="inlineStr">
        <is>
          <t>Add the Tutor's Comment . . .</t>
        </is>
      </c>
      <c r="EB43" s="55" t="inlineStr">
        <is>
          <t>Choose Principals comment</t>
        </is>
      </c>
      <c r="EC43" s="56" t="inlineStr">
        <is>
          <t>MR. RAHEEM A.A</t>
        </is>
      </c>
      <c r="ED43" s="57" t="inlineStr">
        <is>
          <t>Next Term Begins on Monday, 15th September, 2025</t>
        </is>
      </c>
    </row>
    <row r="44" ht="30.6" customHeight="1" s="6">
      <c r="A44" s="18" t="n">
        <v>41</v>
      </c>
      <c r="B44" s="19" t="n"/>
      <c r="C44" s="20" t="n"/>
      <c r="D44" s="128" t="n"/>
      <c r="E44" s="21" t="n"/>
      <c r="F44" s="22" t="n"/>
      <c r="G44" s="22" t="n"/>
      <c r="H44" s="22" t="n"/>
      <c r="I44" s="26">
        <f>G44-H44</f>
        <v/>
      </c>
      <c r="J44" s="21" t="n"/>
      <c r="K44" s="21" t="n"/>
      <c r="L44" s="27">
        <f>SUM(J44:K44)</f>
        <v/>
      </c>
      <c r="M44" s="28" t="n"/>
      <c r="N44" s="28" t="n"/>
      <c r="O44" s="29">
        <f>IF(AND(L44=0,M44=0,N44=0),0,IF(AND(L44=0,M44=0),N44/1,IF(AND(L44=0,N44=0),M44/1,IF(AND(M44=0,N44=0),L44/1,IF(L44=0,FLOOR((M44+N44)/2,0.1),IF(M44=0,(L44+N44)/2,IF(N44=0,(M44+L44)/2,FLOOR(((L44+M44+N44)/3),0.1))))))))</f>
        <v/>
      </c>
      <c r="P44" s="21" t="n"/>
      <c r="Q44" s="21" t="n"/>
      <c r="R44" s="27">
        <f>SUM(P44:Q44)</f>
        <v/>
      </c>
      <c r="S44" s="28" t="n"/>
      <c r="T44" s="28" t="n"/>
      <c r="U44" s="29">
        <f>IF(AND(R44=0,S44=0,T44=0),0,IF(AND(R44=0,S44=0),T44/1,IF(AND(R44=0,T44=0),S44/1,IF(AND(S44=0,T44=0),R44/1,IF(R44=0,FLOOR((S44+T44)/2,0.1),IF(S44=0,(R44+T44)/2,IF(T44=0,(S44+R44)/2,FLOOR(((R44+S44+T44)/3),0.1))))))))</f>
        <v/>
      </c>
      <c r="V44" s="21" t="n"/>
      <c r="W44" s="21" t="n"/>
      <c r="X44" s="27">
        <f>SUM(V44:W44)</f>
        <v/>
      </c>
      <c r="Y44" s="28" t="n"/>
      <c r="Z44" s="28" t="n"/>
      <c r="AA44" s="29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1" t="n"/>
      <c r="AC44" s="21" t="n"/>
      <c r="AD44" s="27">
        <f>SUM(AB44:AC44)</f>
        <v/>
      </c>
      <c r="AE44" s="28" t="n"/>
      <c r="AF44" s="28" t="n"/>
      <c r="AG44" s="29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1" t="n"/>
      <c r="AI44" s="21" t="n"/>
      <c r="AJ44" s="27">
        <f>SUM(AH44:AI44)</f>
        <v/>
      </c>
      <c r="AK44" s="28" t="n"/>
      <c r="AL44" s="28" t="n"/>
      <c r="AM44" s="29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1" t="n"/>
      <c r="AO44" s="21" t="n"/>
      <c r="AP44" s="27">
        <f>SUM(AN44:AO44)</f>
        <v/>
      </c>
      <c r="AQ44" s="28" t="n"/>
      <c r="AR44" s="30" t="n"/>
      <c r="AS44" s="29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1" t="n"/>
      <c r="AU44" s="21" t="n"/>
      <c r="AV44" s="27">
        <f>SUM(AT44:AU44)</f>
        <v/>
      </c>
      <c r="AW44" s="28" t="n"/>
      <c r="AX44" s="30" t="n"/>
      <c r="AY44" s="29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1" t="n"/>
      <c r="BA44" s="21" t="n"/>
      <c r="BB44" s="27">
        <f>SUM(AZ44:BA44)</f>
        <v/>
      </c>
      <c r="BC44" s="28" t="n"/>
      <c r="BD44" s="28" t="n"/>
      <c r="BE44" s="29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1" t="n"/>
      <c r="BG44" s="21" t="n"/>
      <c r="BH44" s="27">
        <f>SUM(BF44:BG44)</f>
        <v/>
      </c>
      <c r="BI44" s="28" t="n"/>
      <c r="BJ44" s="28" t="n"/>
      <c r="BK44" s="29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1" t="n"/>
      <c r="BM44" s="21" t="n"/>
      <c r="BN44" s="27">
        <f>SUM(BL44:BM44)</f>
        <v/>
      </c>
      <c r="BO44" s="28" t="n"/>
      <c r="BP44" s="31" t="n"/>
      <c r="BQ44" s="29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1" t="n"/>
      <c r="BS44" s="21" t="n"/>
      <c r="BT44" s="27">
        <f>SUM(BR44:BS44)</f>
        <v/>
      </c>
      <c r="BU44" s="28" t="n"/>
      <c r="BV44" s="31" t="n"/>
      <c r="BW44" s="29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1" t="n"/>
      <c r="BY44" s="21" t="n"/>
      <c r="BZ44" s="27">
        <f>SUM(BX44:BY44)</f>
        <v/>
      </c>
      <c r="CA44" s="28" t="n"/>
      <c r="CB44" s="31" t="n"/>
      <c r="CC44" s="29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1" t="n"/>
      <c r="CE44" s="21" t="n"/>
      <c r="CF44" s="27">
        <f>SUM(CD44:CE44)</f>
        <v/>
      </c>
      <c r="CG44" s="28" t="n"/>
      <c r="CH44" s="31" t="n"/>
      <c r="CI44" s="29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1" t="n"/>
      <c r="CK44" s="21" t="n"/>
      <c r="CL44" s="27">
        <f>SUM(CJ44:CK44)</f>
        <v/>
      </c>
      <c r="CM44" s="28" t="n"/>
      <c r="CN44" s="31" t="n"/>
      <c r="CO44" s="29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1" t="n"/>
      <c r="CQ44" s="21" t="n"/>
      <c r="CR44" s="27">
        <f>SUM(CP44:CQ44)</f>
        <v/>
      </c>
      <c r="CS44" s="28" t="n"/>
      <c r="CT44" s="31" t="n"/>
      <c r="CU44" s="29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1" t="n"/>
      <c r="CW44" s="21" t="n"/>
      <c r="CX44" s="27">
        <f>SUM(CV44:CW44)</f>
        <v/>
      </c>
      <c r="CY44" s="28" t="n"/>
      <c r="CZ44" s="31" t="n"/>
      <c r="DA44" s="29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1" t="n"/>
      <c r="DC44" s="21" t="n"/>
      <c r="DD44" s="27">
        <f>SUM(DB44:DC44)</f>
        <v/>
      </c>
      <c r="DE44" s="28" t="n"/>
      <c r="DF44" s="31" t="n"/>
      <c r="DG44" s="29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34">
        <f>SUM(O44,U44,AA44,AG44,AM44,AS44,AY44,BE44,BK44,BQ44,BW44,CC44,CI44,CO44,CU44,DA44,DG44)</f>
        <v/>
      </c>
      <c r="DI44" s="39">
        <f>RANK(DH44,DH$4:DH$503)</f>
        <v/>
      </c>
      <c r="DJ44" s="40" t="inlineStr">
        <is>
          <t>CHOOSE RATING</t>
        </is>
      </c>
      <c r="DK44" s="40" t="inlineStr">
        <is>
          <t>CHOOSE RATING</t>
        </is>
      </c>
      <c r="DL44" s="40" t="inlineStr">
        <is>
          <t>CHOOSE RATING</t>
        </is>
      </c>
      <c r="DM44" s="40" t="inlineStr">
        <is>
          <t>CHOOSE RATING</t>
        </is>
      </c>
      <c r="DN44" s="40" t="inlineStr">
        <is>
          <t>CHOOSE RATING</t>
        </is>
      </c>
      <c r="DO44" s="40" t="inlineStr">
        <is>
          <t>CHOOSE RATING</t>
        </is>
      </c>
      <c r="DP44" s="40" t="inlineStr">
        <is>
          <t>CHOOSE RATING</t>
        </is>
      </c>
      <c r="DQ44" s="40" t="inlineStr">
        <is>
          <t>CHOOSE RATING</t>
        </is>
      </c>
      <c r="DR44" s="43" t="inlineStr">
        <is>
          <t>2024/2025</t>
        </is>
      </c>
      <c r="DS44" s="45" t="inlineStr">
        <is>
          <t>THIRD</t>
        </is>
      </c>
      <c r="DT44" s="40" t="inlineStr">
        <is>
          <t>CHOOSE RATING</t>
        </is>
      </c>
      <c r="DU44" s="40" t="inlineStr">
        <is>
          <t>CHOOSE RATING</t>
        </is>
      </c>
      <c r="DV44" s="40" t="inlineStr">
        <is>
          <t>CHOOSE RATING</t>
        </is>
      </c>
      <c r="DW44" s="40" t="inlineStr">
        <is>
          <t>CHOOSE RATING</t>
        </is>
      </c>
      <c r="DX44" s="40" t="inlineStr">
        <is>
          <t>CHOOSE RATING</t>
        </is>
      </c>
      <c r="DY44" s="40" t="inlineStr">
        <is>
          <t>CHOOSE RATING</t>
        </is>
      </c>
      <c r="DZ44" s="53" t="inlineStr">
        <is>
          <t>CHOOSE RATING</t>
        </is>
      </c>
      <c r="EA44" s="54" t="inlineStr">
        <is>
          <t>Add the Tutor's Comment . . .</t>
        </is>
      </c>
      <c r="EB44" s="55" t="inlineStr">
        <is>
          <t>Choose Principals comment</t>
        </is>
      </c>
      <c r="EC44" s="56" t="n"/>
      <c r="ED44" s="57" t="inlineStr">
        <is>
          <t>Next Term Begins on Monday, 15th September, 2025</t>
        </is>
      </c>
    </row>
    <row r="45" ht="30.6" customHeight="1" s="6">
      <c r="A45" s="18" t="n">
        <v>42</v>
      </c>
      <c r="B45" s="19" t="n"/>
      <c r="C45" s="20" t="n"/>
      <c r="D45" s="128" t="n"/>
      <c r="E45" s="21" t="n"/>
      <c r="F45" s="22" t="n"/>
      <c r="G45" s="22" t="n"/>
      <c r="H45" s="22" t="n"/>
      <c r="I45" s="26">
        <f>G45-H45</f>
        <v/>
      </c>
      <c r="J45" s="21" t="n"/>
      <c r="K45" s="21" t="n"/>
      <c r="L45" s="27">
        <f>SUM(J45:K45)</f>
        <v/>
      </c>
      <c r="M45" s="28" t="n"/>
      <c r="N45" s="28" t="n"/>
      <c r="O45" s="29">
        <f>IF(AND(L45=0,M45=0,N45=0),0,IF(AND(L45=0,M45=0),N45/1,IF(AND(L45=0,N45=0),M45/1,IF(AND(M45=0,N45=0),L45/1,IF(L45=0,FLOOR((M45+N45)/2,0.1),IF(M45=0,(L45+N45)/2,IF(N45=0,(M45+L45)/2,FLOOR(((L45+M45+N45)/3),0.1))))))))</f>
        <v/>
      </c>
      <c r="P45" s="21" t="n"/>
      <c r="Q45" s="21" t="n"/>
      <c r="R45" s="27">
        <f>SUM(P45:Q45)</f>
        <v/>
      </c>
      <c r="S45" s="28" t="n"/>
      <c r="T45" s="28" t="n"/>
      <c r="U45" s="29">
        <f>IF(AND(R45=0,S45=0,T45=0),0,IF(AND(R45=0,S45=0),T45/1,IF(AND(R45=0,T45=0),S45/1,IF(AND(S45=0,T45=0),R45/1,IF(R45=0,FLOOR((S45+T45)/2,0.1),IF(S45=0,(R45+T45)/2,IF(T45=0,(S45+R45)/2,FLOOR(((R45+S45+T45)/3),0.1))))))))</f>
        <v/>
      </c>
      <c r="V45" s="21" t="n"/>
      <c r="W45" s="21" t="n"/>
      <c r="X45" s="27">
        <f>SUM(V45:W45)</f>
        <v/>
      </c>
      <c r="Y45" s="28" t="n"/>
      <c r="Z45" s="28" t="n"/>
      <c r="AA45" s="29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1" t="n"/>
      <c r="AC45" s="21" t="n"/>
      <c r="AD45" s="27">
        <f>SUM(AB45:AC45)</f>
        <v/>
      </c>
      <c r="AE45" s="28" t="n"/>
      <c r="AF45" s="28" t="n"/>
      <c r="AG45" s="29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1" t="n"/>
      <c r="AI45" s="21" t="n"/>
      <c r="AJ45" s="27">
        <f>SUM(AH45:AI45)</f>
        <v/>
      </c>
      <c r="AK45" s="28" t="n"/>
      <c r="AL45" s="28" t="n"/>
      <c r="AM45" s="29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1" t="n"/>
      <c r="AO45" s="21" t="n"/>
      <c r="AP45" s="27">
        <f>SUM(AN45:AO45)</f>
        <v/>
      </c>
      <c r="AQ45" s="28" t="n"/>
      <c r="AR45" s="30" t="n"/>
      <c r="AS45" s="29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1" t="n"/>
      <c r="AU45" s="21" t="n"/>
      <c r="AV45" s="27">
        <f>SUM(AT45:AU45)</f>
        <v/>
      </c>
      <c r="AW45" s="28" t="n"/>
      <c r="AX45" s="30" t="n"/>
      <c r="AY45" s="29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1" t="n"/>
      <c r="BA45" s="21" t="n"/>
      <c r="BB45" s="27">
        <f>SUM(AZ45:BA45)</f>
        <v/>
      </c>
      <c r="BC45" s="28" t="n"/>
      <c r="BD45" s="28" t="n"/>
      <c r="BE45" s="29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1" t="n"/>
      <c r="BG45" s="21" t="n"/>
      <c r="BH45" s="27">
        <f>SUM(BF45:BG45)</f>
        <v/>
      </c>
      <c r="BI45" s="28" t="n"/>
      <c r="BJ45" s="28" t="n"/>
      <c r="BK45" s="29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1" t="n"/>
      <c r="BM45" s="21" t="n"/>
      <c r="BN45" s="27">
        <f>SUM(BL45:BM45)</f>
        <v/>
      </c>
      <c r="BO45" s="28" t="n"/>
      <c r="BP45" s="31" t="n"/>
      <c r="BQ45" s="29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1" t="n"/>
      <c r="BS45" s="21" t="n"/>
      <c r="BT45" s="27">
        <f>SUM(BR45:BS45)</f>
        <v/>
      </c>
      <c r="BU45" s="28" t="n"/>
      <c r="BV45" s="31" t="n"/>
      <c r="BW45" s="29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1" t="n"/>
      <c r="BY45" s="21" t="n"/>
      <c r="BZ45" s="27">
        <f>SUM(BX45:BY45)</f>
        <v/>
      </c>
      <c r="CA45" s="28" t="n"/>
      <c r="CB45" s="31" t="n"/>
      <c r="CC45" s="29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1" t="n"/>
      <c r="CE45" s="21" t="n"/>
      <c r="CF45" s="27">
        <f>SUM(CD45:CE45)</f>
        <v/>
      </c>
      <c r="CG45" s="28" t="n"/>
      <c r="CH45" s="31" t="n"/>
      <c r="CI45" s="29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1" t="n"/>
      <c r="CK45" s="21" t="n"/>
      <c r="CL45" s="27">
        <f>SUM(CJ45:CK45)</f>
        <v/>
      </c>
      <c r="CM45" s="28" t="n"/>
      <c r="CN45" s="31" t="n"/>
      <c r="CO45" s="29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1" t="n"/>
      <c r="CQ45" s="21" t="n"/>
      <c r="CR45" s="27">
        <f>SUM(CP45:CQ45)</f>
        <v/>
      </c>
      <c r="CS45" s="28" t="n"/>
      <c r="CT45" s="31" t="n"/>
      <c r="CU45" s="29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1" t="n"/>
      <c r="CW45" s="21" t="n"/>
      <c r="CX45" s="27">
        <f>SUM(CV45:CW45)</f>
        <v/>
      </c>
      <c r="CY45" s="28" t="n"/>
      <c r="CZ45" s="31" t="n"/>
      <c r="DA45" s="29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1" t="n"/>
      <c r="DC45" s="21" t="n"/>
      <c r="DD45" s="27">
        <f>SUM(DB45:DC45)</f>
        <v/>
      </c>
      <c r="DE45" s="28" t="n"/>
      <c r="DF45" s="31" t="n"/>
      <c r="DG45" s="29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34">
        <f>SUM(O45,U45,AA45,AG45,AM45,AS45,AY45,BE45,BK45,BQ45,BW45,CC45,CI45,CO45,CU45,DA45,DG45)</f>
        <v/>
      </c>
      <c r="DI45" s="39">
        <f>RANK(DH45,DH$4:DH$503)</f>
        <v/>
      </c>
      <c r="DJ45" s="40" t="inlineStr">
        <is>
          <t>CHOOSE RATING</t>
        </is>
      </c>
      <c r="DK45" s="40" t="inlineStr">
        <is>
          <t>CHOOSE RATING</t>
        </is>
      </c>
      <c r="DL45" s="40" t="inlineStr">
        <is>
          <t>CHOOSE RATING</t>
        </is>
      </c>
      <c r="DM45" s="40" t="inlineStr">
        <is>
          <t>CHOOSE RATING</t>
        </is>
      </c>
      <c r="DN45" s="40" t="inlineStr">
        <is>
          <t>CHOOSE RATING</t>
        </is>
      </c>
      <c r="DO45" s="40" t="inlineStr">
        <is>
          <t>CHOOSE RATING</t>
        </is>
      </c>
      <c r="DP45" s="40" t="inlineStr">
        <is>
          <t>CHOOSE RATING</t>
        </is>
      </c>
      <c r="DQ45" s="40" t="inlineStr">
        <is>
          <t>CHOOSE RATING</t>
        </is>
      </c>
      <c r="DR45" s="43" t="inlineStr">
        <is>
          <t>2024/2025</t>
        </is>
      </c>
      <c r="DS45" s="45" t="inlineStr">
        <is>
          <t>THIRD</t>
        </is>
      </c>
      <c r="DT45" s="40" t="inlineStr">
        <is>
          <t>CHOOSE RATING</t>
        </is>
      </c>
      <c r="DU45" s="40" t="inlineStr">
        <is>
          <t>CHOOSE RATING</t>
        </is>
      </c>
      <c r="DV45" s="40" t="inlineStr">
        <is>
          <t>CHOOSE RATING</t>
        </is>
      </c>
      <c r="DW45" s="40" t="inlineStr">
        <is>
          <t>CHOOSE RATING</t>
        </is>
      </c>
      <c r="DX45" s="40" t="inlineStr">
        <is>
          <t>CHOOSE RATING</t>
        </is>
      </c>
      <c r="DY45" s="40" t="inlineStr">
        <is>
          <t>CHOOSE RATING</t>
        </is>
      </c>
      <c r="DZ45" s="53" t="inlineStr">
        <is>
          <t>CHOOSE RATING</t>
        </is>
      </c>
      <c r="EA45" s="54" t="inlineStr">
        <is>
          <t>Add the Tutor's Comment . . .</t>
        </is>
      </c>
      <c r="EB45" s="55" t="inlineStr">
        <is>
          <t>Choose Principals comment</t>
        </is>
      </c>
      <c r="EC45" s="56" t="n"/>
      <c r="ED45" s="57" t="inlineStr">
        <is>
          <t>Next Term Begins on Monday, 15th September, 2025</t>
        </is>
      </c>
    </row>
    <row r="46" ht="30.6" customHeight="1" s="6">
      <c r="A46" s="18" t="n">
        <v>43</v>
      </c>
      <c r="B46" s="19" t="n"/>
      <c r="C46" s="20" t="n"/>
      <c r="D46" s="128" t="n"/>
      <c r="E46" s="21" t="n"/>
      <c r="F46" s="22" t="n"/>
      <c r="G46" s="22" t="n"/>
      <c r="H46" s="22" t="n"/>
      <c r="I46" s="26">
        <f>G46-H46</f>
        <v/>
      </c>
      <c r="J46" s="21" t="n"/>
      <c r="K46" s="21" t="n"/>
      <c r="L46" s="27">
        <f>SUM(J46:K46)</f>
        <v/>
      </c>
      <c r="M46" s="28" t="n"/>
      <c r="N46" s="28" t="n"/>
      <c r="O46" s="29">
        <f>IF(AND(L46=0,M46=0,N46=0),0,IF(AND(L46=0,M46=0),N46/1,IF(AND(L46=0,N46=0),M46/1,IF(AND(M46=0,N46=0),L46/1,IF(L46=0,FLOOR((M46+N46)/2,0.1),IF(M46=0,(L46+N46)/2,IF(N46=0,(M46+L46)/2,FLOOR(((L46+M46+N46)/3),0.1))))))))</f>
        <v/>
      </c>
      <c r="P46" s="21" t="n"/>
      <c r="Q46" s="21" t="n"/>
      <c r="R46" s="27">
        <f>SUM(P46:Q46)</f>
        <v/>
      </c>
      <c r="S46" s="28" t="n"/>
      <c r="T46" s="28" t="n"/>
      <c r="U46" s="29">
        <f>IF(AND(R46=0,S46=0,T46=0),0,IF(AND(R46=0,S46=0),T46/1,IF(AND(R46=0,T46=0),S46/1,IF(AND(S46=0,T46=0),R46/1,IF(R46=0,FLOOR((S46+T46)/2,0.1),IF(S46=0,(R46+T46)/2,IF(T46=0,(S46+R46)/2,FLOOR(((R46+S46+T46)/3),0.1))))))))</f>
        <v/>
      </c>
      <c r="V46" s="21" t="n"/>
      <c r="W46" s="21" t="n"/>
      <c r="X46" s="27">
        <f>SUM(V46:W46)</f>
        <v/>
      </c>
      <c r="Y46" s="28" t="n"/>
      <c r="Z46" s="28" t="n"/>
      <c r="AA46" s="29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1" t="n"/>
      <c r="AC46" s="21" t="n"/>
      <c r="AD46" s="27">
        <f>SUM(AB46:AC46)</f>
        <v/>
      </c>
      <c r="AE46" s="28" t="n"/>
      <c r="AF46" s="28" t="n"/>
      <c r="AG46" s="29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1" t="n"/>
      <c r="AI46" s="21" t="n"/>
      <c r="AJ46" s="27">
        <f>SUM(AH46:AI46)</f>
        <v/>
      </c>
      <c r="AK46" s="28" t="n"/>
      <c r="AL46" s="28" t="n"/>
      <c r="AM46" s="29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1" t="n"/>
      <c r="AO46" s="21" t="n"/>
      <c r="AP46" s="27">
        <f>SUM(AN46:AO46)</f>
        <v/>
      </c>
      <c r="AQ46" s="28" t="n"/>
      <c r="AR46" s="30" t="n"/>
      <c r="AS46" s="29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1" t="n"/>
      <c r="AU46" s="21" t="n"/>
      <c r="AV46" s="27">
        <f>SUM(AT46:AU46)</f>
        <v/>
      </c>
      <c r="AW46" s="28" t="n"/>
      <c r="AX46" s="30" t="n"/>
      <c r="AY46" s="29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1" t="n"/>
      <c r="BA46" s="21" t="n"/>
      <c r="BB46" s="27">
        <f>SUM(AZ46:BA46)</f>
        <v/>
      </c>
      <c r="BC46" s="28" t="n"/>
      <c r="BD46" s="28" t="n"/>
      <c r="BE46" s="29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1" t="n"/>
      <c r="BG46" s="21" t="n"/>
      <c r="BH46" s="27">
        <f>SUM(BF46:BG46)</f>
        <v/>
      </c>
      <c r="BI46" s="28" t="n"/>
      <c r="BJ46" s="28" t="n"/>
      <c r="BK46" s="29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1" t="n"/>
      <c r="BM46" s="21" t="n"/>
      <c r="BN46" s="27">
        <f>SUM(BL46:BM46)</f>
        <v/>
      </c>
      <c r="BO46" s="28" t="n"/>
      <c r="BP46" s="31" t="n"/>
      <c r="BQ46" s="29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1" t="n"/>
      <c r="BS46" s="21" t="n"/>
      <c r="BT46" s="27">
        <f>SUM(BR46:BS46)</f>
        <v/>
      </c>
      <c r="BU46" s="28" t="n"/>
      <c r="BV46" s="31" t="n"/>
      <c r="BW46" s="29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1" t="n"/>
      <c r="BY46" s="21" t="n"/>
      <c r="BZ46" s="27">
        <f>SUM(BX46:BY46)</f>
        <v/>
      </c>
      <c r="CA46" s="28" t="n"/>
      <c r="CB46" s="31" t="n"/>
      <c r="CC46" s="29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1" t="n"/>
      <c r="CE46" s="21" t="n"/>
      <c r="CF46" s="27">
        <f>SUM(CD46:CE46)</f>
        <v/>
      </c>
      <c r="CG46" s="28" t="n"/>
      <c r="CH46" s="31" t="n"/>
      <c r="CI46" s="29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1" t="n"/>
      <c r="CK46" s="21" t="n"/>
      <c r="CL46" s="27">
        <f>SUM(CJ46:CK46)</f>
        <v/>
      </c>
      <c r="CM46" s="28" t="n"/>
      <c r="CN46" s="31" t="n"/>
      <c r="CO46" s="29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1" t="n"/>
      <c r="CQ46" s="21" t="n"/>
      <c r="CR46" s="27">
        <f>SUM(CP46:CQ46)</f>
        <v/>
      </c>
      <c r="CS46" s="28" t="n"/>
      <c r="CT46" s="31" t="n"/>
      <c r="CU46" s="29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1" t="n"/>
      <c r="CW46" s="21" t="n"/>
      <c r="CX46" s="27">
        <f>SUM(CV46:CW46)</f>
        <v/>
      </c>
      <c r="CY46" s="28" t="n"/>
      <c r="CZ46" s="31" t="n"/>
      <c r="DA46" s="29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1" t="n"/>
      <c r="DC46" s="21" t="n"/>
      <c r="DD46" s="27">
        <f>SUM(DB46:DC46)</f>
        <v/>
      </c>
      <c r="DE46" s="28" t="n"/>
      <c r="DF46" s="31" t="n"/>
      <c r="DG46" s="29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34">
        <f>SUM(O46,U46,AA46,AG46,AM46,AS46,AY46,BE46,BK46,BQ46,BW46,CC46,CI46,CO46,CU46,DA46,DG46)</f>
        <v/>
      </c>
      <c r="DI46" s="39">
        <f>RANK(DH46,DH$4:DH$503)</f>
        <v/>
      </c>
      <c r="DJ46" s="40" t="inlineStr">
        <is>
          <t>CHOOSE RATING</t>
        </is>
      </c>
      <c r="DK46" s="40" t="inlineStr">
        <is>
          <t>CHOOSE RATING</t>
        </is>
      </c>
      <c r="DL46" s="40" t="inlineStr">
        <is>
          <t>CHOOSE RATING</t>
        </is>
      </c>
      <c r="DM46" s="40" t="inlineStr">
        <is>
          <t>CHOOSE RATING</t>
        </is>
      </c>
      <c r="DN46" s="40" t="inlineStr">
        <is>
          <t>CHOOSE RATING</t>
        </is>
      </c>
      <c r="DO46" s="40" t="inlineStr">
        <is>
          <t>CHOOSE RATING</t>
        </is>
      </c>
      <c r="DP46" s="40" t="inlineStr">
        <is>
          <t>CHOOSE RATING</t>
        </is>
      </c>
      <c r="DQ46" s="40" t="inlineStr">
        <is>
          <t>CHOOSE RATING</t>
        </is>
      </c>
      <c r="DR46" s="43" t="inlineStr">
        <is>
          <t>2024/2025</t>
        </is>
      </c>
      <c r="DS46" s="45" t="inlineStr">
        <is>
          <t>THIRD</t>
        </is>
      </c>
      <c r="DT46" s="40" t="inlineStr">
        <is>
          <t>CHOOSE RATING</t>
        </is>
      </c>
      <c r="DU46" s="40" t="inlineStr">
        <is>
          <t>CHOOSE RATING</t>
        </is>
      </c>
      <c r="DV46" s="40" t="inlineStr">
        <is>
          <t>CHOOSE RATING</t>
        </is>
      </c>
      <c r="DW46" s="40" t="inlineStr">
        <is>
          <t>CHOOSE RATING</t>
        </is>
      </c>
      <c r="DX46" s="40" t="inlineStr">
        <is>
          <t>CHOOSE RATING</t>
        </is>
      </c>
      <c r="DY46" s="40" t="inlineStr">
        <is>
          <t>CHOOSE RATING</t>
        </is>
      </c>
      <c r="DZ46" s="53" t="inlineStr">
        <is>
          <t>CHOOSE RATING</t>
        </is>
      </c>
      <c r="EA46" s="54" t="inlineStr">
        <is>
          <t>Add the Tutor's Comment . . .</t>
        </is>
      </c>
      <c r="EB46" s="55" t="inlineStr">
        <is>
          <t>Choose Principals comment</t>
        </is>
      </c>
      <c r="EC46" s="56" t="n"/>
      <c r="ED46" s="57" t="inlineStr">
        <is>
          <t>Next Term Begins on Monday, 15th September, 2025</t>
        </is>
      </c>
    </row>
    <row r="47" ht="30.6" customHeight="1" s="6">
      <c r="A47" s="18" t="n">
        <v>44</v>
      </c>
      <c r="B47" s="19" t="n"/>
      <c r="C47" s="20" t="n"/>
      <c r="D47" s="128" t="n"/>
      <c r="E47" s="21" t="n"/>
      <c r="F47" s="22" t="n"/>
      <c r="G47" s="22" t="n"/>
      <c r="H47" s="22" t="n"/>
      <c r="I47" s="26">
        <f>G47-H47</f>
        <v/>
      </c>
      <c r="J47" s="21" t="n"/>
      <c r="K47" s="21" t="n"/>
      <c r="L47" s="27">
        <f>SUM(J47:K47)</f>
        <v/>
      </c>
      <c r="M47" s="28" t="n"/>
      <c r="N47" s="28" t="n"/>
      <c r="O47" s="29">
        <f>IF(AND(L47=0,M47=0,N47=0),0,IF(AND(L47=0,M47=0),N47/1,IF(AND(L47=0,N47=0),M47/1,IF(AND(M47=0,N47=0),L47/1,IF(L47=0,FLOOR((M47+N47)/2,0.1),IF(M47=0,(L47+N47)/2,IF(N47=0,(M47+L47)/2,FLOOR(((L47+M47+N47)/3),0.1))))))))</f>
        <v/>
      </c>
      <c r="P47" s="21" t="n"/>
      <c r="Q47" s="21" t="n"/>
      <c r="R47" s="27">
        <f>SUM(P47:Q47)</f>
        <v/>
      </c>
      <c r="S47" s="28" t="n"/>
      <c r="T47" s="28" t="n"/>
      <c r="U47" s="29">
        <f>IF(AND(R47=0,S47=0,T47=0),0,IF(AND(R47=0,S47=0),T47/1,IF(AND(R47=0,T47=0),S47/1,IF(AND(S47=0,T47=0),R47/1,IF(R47=0,FLOOR((S47+T47)/2,0.1),IF(S47=0,(R47+T47)/2,IF(T47=0,(S47+R47)/2,FLOOR(((R47+S47+T47)/3),0.1))))))))</f>
        <v/>
      </c>
      <c r="V47" s="21" t="n"/>
      <c r="W47" s="21" t="n"/>
      <c r="X47" s="27">
        <f>SUM(V47:W47)</f>
        <v/>
      </c>
      <c r="Y47" s="28" t="n"/>
      <c r="Z47" s="28" t="n"/>
      <c r="AA47" s="29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1" t="n"/>
      <c r="AC47" s="21" t="n"/>
      <c r="AD47" s="27">
        <f>SUM(AB47:AC47)</f>
        <v/>
      </c>
      <c r="AE47" s="28" t="n"/>
      <c r="AF47" s="28" t="n"/>
      <c r="AG47" s="29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1" t="n"/>
      <c r="AI47" s="21" t="n"/>
      <c r="AJ47" s="27">
        <f>SUM(AH47:AI47)</f>
        <v/>
      </c>
      <c r="AK47" s="28" t="n"/>
      <c r="AL47" s="28" t="n"/>
      <c r="AM47" s="29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1" t="n"/>
      <c r="AO47" s="21" t="n"/>
      <c r="AP47" s="27">
        <f>SUM(AN47:AO47)</f>
        <v/>
      </c>
      <c r="AQ47" s="28" t="n"/>
      <c r="AR47" s="30" t="n"/>
      <c r="AS47" s="29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1" t="n"/>
      <c r="AU47" s="21" t="n"/>
      <c r="AV47" s="27">
        <f>SUM(AT47:AU47)</f>
        <v/>
      </c>
      <c r="AW47" s="28" t="n"/>
      <c r="AX47" s="30" t="n"/>
      <c r="AY47" s="29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1" t="n"/>
      <c r="BA47" s="21" t="n"/>
      <c r="BB47" s="27">
        <f>SUM(AZ47:BA47)</f>
        <v/>
      </c>
      <c r="BC47" s="28" t="n"/>
      <c r="BD47" s="28" t="n"/>
      <c r="BE47" s="29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1" t="n"/>
      <c r="BG47" s="21" t="n"/>
      <c r="BH47" s="27">
        <f>SUM(BF47:BG47)</f>
        <v/>
      </c>
      <c r="BI47" s="28" t="n"/>
      <c r="BJ47" s="28" t="n"/>
      <c r="BK47" s="29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1" t="n"/>
      <c r="BM47" s="21" t="n"/>
      <c r="BN47" s="27">
        <f>SUM(BL47:BM47)</f>
        <v/>
      </c>
      <c r="BO47" s="28" t="n"/>
      <c r="BP47" s="31" t="n"/>
      <c r="BQ47" s="29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1" t="n"/>
      <c r="BS47" s="21" t="n"/>
      <c r="BT47" s="27">
        <f>SUM(BR47:BS47)</f>
        <v/>
      </c>
      <c r="BU47" s="28" t="n"/>
      <c r="BV47" s="31" t="n"/>
      <c r="BW47" s="29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1" t="n"/>
      <c r="BY47" s="21" t="n"/>
      <c r="BZ47" s="27">
        <f>SUM(BX47:BY47)</f>
        <v/>
      </c>
      <c r="CA47" s="28" t="n"/>
      <c r="CB47" s="31" t="n"/>
      <c r="CC47" s="29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1" t="n"/>
      <c r="CE47" s="21" t="n"/>
      <c r="CF47" s="27">
        <f>SUM(CD47:CE47)</f>
        <v/>
      </c>
      <c r="CG47" s="28" t="n"/>
      <c r="CH47" s="31" t="n"/>
      <c r="CI47" s="29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1" t="n"/>
      <c r="CK47" s="21" t="n"/>
      <c r="CL47" s="27">
        <f>SUM(CJ47:CK47)</f>
        <v/>
      </c>
      <c r="CM47" s="28" t="n"/>
      <c r="CN47" s="31" t="n"/>
      <c r="CO47" s="29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1" t="n"/>
      <c r="CQ47" s="21" t="n"/>
      <c r="CR47" s="27">
        <f>SUM(CP47:CQ47)</f>
        <v/>
      </c>
      <c r="CS47" s="28" t="n"/>
      <c r="CT47" s="31" t="n"/>
      <c r="CU47" s="29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1" t="n"/>
      <c r="CW47" s="21" t="n"/>
      <c r="CX47" s="27">
        <f>SUM(CV47:CW47)</f>
        <v/>
      </c>
      <c r="CY47" s="28" t="n"/>
      <c r="CZ47" s="31" t="n"/>
      <c r="DA47" s="29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1" t="n"/>
      <c r="DC47" s="21" t="n"/>
      <c r="DD47" s="27">
        <f>SUM(DB47:DC47)</f>
        <v/>
      </c>
      <c r="DE47" s="28" t="n"/>
      <c r="DF47" s="31" t="n"/>
      <c r="DG47" s="29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34">
        <f>SUM(O47,U47,AA47,AG47,AM47,AS47,AY47,BE47,BK47,BQ47,BW47,CC47,CI47,CO47,CU47,DA47,DG47)</f>
        <v/>
      </c>
      <c r="DI47" s="39">
        <f>RANK(DH47,DH$4:DH$503)</f>
        <v/>
      </c>
      <c r="DJ47" s="40" t="inlineStr">
        <is>
          <t>CHOOSE RATING</t>
        </is>
      </c>
      <c r="DK47" s="40" t="inlineStr">
        <is>
          <t>CHOOSE RATING</t>
        </is>
      </c>
      <c r="DL47" s="40" t="inlineStr">
        <is>
          <t>CHOOSE RATING</t>
        </is>
      </c>
      <c r="DM47" s="40" t="inlineStr">
        <is>
          <t>CHOOSE RATING</t>
        </is>
      </c>
      <c r="DN47" s="40" t="inlineStr">
        <is>
          <t>CHOOSE RATING</t>
        </is>
      </c>
      <c r="DO47" s="40" t="inlineStr">
        <is>
          <t>CHOOSE RATING</t>
        </is>
      </c>
      <c r="DP47" s="40" t="inlineStr">
        <is>
          <t>CHOOSE RATING</t>
        </is>
      </c>
      <c r="DQ47" s="40" t="inlineStr">
        <is>
          <t>CHOOSE RATING</t>
        </is>
      </c>
      <c r="DR47" s="43" t="inlineStr">
        <is>
          <t>2024/2025</t>
        </is>
      </c>
      <c r="DS47" s="45" t="inlineStr">
        <is>
          <t>THIRD</t>
        </is>
      </c>
      <c r="DT47" s="40" t="inlineStr">
        <is>
          <t>CHOOSE RATING</t>
        </is>
      </c>
      <c r="DU47" s="40" t="inlineStr">
        <is>
          <t>CHOOSE RATING</t>
        </is>
      </c>
      <c r="DV47" s="40" t="inlineStr">
        <is>
          <t>CHOOSE RATING</t>
        </is>
      </c>
      <c r="DW47" s="40" t="inlineStr">
        <is>
          <t>CHOOSE RATING</t>
        </is>
      </c>
      <c r="DX47" s="40" t="inlineStr">
        <is>
          <t>CHOOSE RATING</t>
        </is>
      </c>
      <c r="DY47" s="40" t="inlineStr">
        <is>
          <t>CHOOSE RATING</t>
        </is>
      </c>
      <c r="DZ47" s="53" t="inlineStr">
        <is>
          <t>CHOOSE RATING</t>
        </is>
      </c>
      <c r="EA47" s="54" t="inlineStr">
        <is>
          <t>Add the Tutor's Comment . . .</t>
        </is>
      </c>
      <c r="EB47" s="55" t="inlineStr">
        <is>
          <t>Choose Principals comment</t>
        </is>
      </c>
      <c r="EC47" s="56" t="n"/>
      <c r="ED47" s="57" t="inlineStr">
        <is>
          <t>Next Term Begins on Monday, 15th September, 2025</t>
        </is>
      </c>
    </row>
    <row r="48" ht="30.6" customHeight="1" s="6">
      <c r="A48" s="18" t="n">
        <v>45</v>
      </c>
      <c r="B48" s="19" t="n"/>
      <c r="C48" s="20" t="n"/>
      <c r="D48" s="128" t="n"/>
      <c r="E48" s="21" t="n"/>
      <c r="F48" s="22" t="n"/>
      <c r="G48" s="22" t="n"/>
      <c r="H48" s="22" t="n"/>
      <c r="I48" s="26">
        <f>G48-H48</f>
        <v/>
      </c>
      <c r="J48" s="21" t="n"/>
      <c r="K48" s="21" t="n"/>
      <c r="L48" s="27">
        <f>SUM(J48:K48)</f>
        <v/>
      </c>
      <c r="M48" s="28" t="n"/>
      <c r="N48" s="28" t="n"/>
      <c r="O48" s="29">
        <f>IF(AND(L48=0,M48=0,N48=0),0,IF(AND(L48=0,M48=0),N48/1,IF(AND(L48=0,N48=0),M48/1,IF(AND(M48=0,N48=0),L48/1,IF(L48=0,FLOOR((M48+N48)/2,0.1),IF(M48=0,(L48+N48)/2,IF(N48=0,(M48+L48)/2,FLOOR(((L48+M48+N48)/3),0.1))))))))</f>
        <v/>
      </c>
      <c r="P48" s="21" t="n"/>
      <c r="Q48" s="21" t="n"/>
      <c r="R48" s="27">
        <f>SUM(P48:Q48)</f>
        <v/>
      </c>
      <c r="S48" s="28" t="n"/>
      <c r="T48" s="28" t="n"/>
      <c r="U48" s="29">
        <f>IF(AND(R48=0,S48=0,T48=0),0,IF(AND(R48=0,S48=0),T48/1,IF(AND(R48=0,T48=0),S48/1,IF(AND(S48=0,T48=0),R48/1,IF(R48=0,FLOOR((S48+T48)/2,0.1),IF(S48=0,(R48+T48)/2,IF(T48=0,(S48+R48)/2,FLOOR(((R48+S48+T48)/3),0.1))))))))</f>
        <v/>
      </c>
      <c r="V48" s="21" t="n"/>
      <c r="W48" s="21" t="n"/>
      <c r="X48" s="27">
        <f>SUM(V48:W48)</f>
        <v/>
      </c>
      <c r="Y48" s="28" t="n"/>
      <c r="Z48" s="28" t="n"/>
      <c r="AA48" s="29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1" t="n"/>
      <c r="AC48" s="21" t="n"/>
      <c r="AD48" s="27">
        <f>SUM(AB48:AC48)</f>
        <v/>
      </c>
      <c r="AE48" s="28" t="n"/>
      <c r="AF48" s="28" t="n"/>
      <c r="AG48" s="29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1" t="n"/>
      <c r="AI48" s="21" t="n"/>
      <c r="AJ48" s="27">
        <f>SUM(AH48:AI48)</f>
        <v/>
      </c>
      <c r="AK48" s="28" t="n"/>
      <c r="AL48" s="28" t="n"/>
      <c r="AM48" s="29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1" t="n"/>
      <c r="AO48" s="21" t="n"/>
      <c r="AP48" s="27">
        <f>SUM(AN48:AO48)</f>
        <v/>
      </c>
      <c r="AQ48" s="28" t="n"/>
      <c r="AR48" s="30" t="n"/>
      <c r="AS48" s="29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1" t="n"/>
      <c r="AU48" s="21" t="n"/>
      <c r="AV48" s="27">
        <f>SUM(AT48:AU48)</f>
        <v/>
      </c>
      <c r="AW48" s="28" t="n"/>
      <c r="AX48" s="30" t="n"/>
      <c r="AY48" s="29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1" t="n"/>
      <c r="BA48" s="21" t="n"/>
      <c r="BB48" s="27">
        <f>SUM(AZ48:BA48)</f>
        <v/>
      </c>
      <c r="BC48" s="28" t="n"/>
      <c r="BD48" s="28" t="n"/>
      <c r="BE48" s="29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1" t="n"/>
      <c r="BG48" s="21" t="n"/>
      <c r="BH48" s="27">
        <f>SUM(BF48:BG48)</f>
        <v/>
      </c>
      <c r="BI48" s="28" t="n"/>
      <c r="BJ48" s="28" t="n"/>
      <c r="BK48" s="29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1" t="n"/>
      <c r="BM48" s="21" t="n"/>
      <c r="BN48" s="27">
        <f>SUM(BL48:BM48)</f>
        <v/>
      </c>
      <c r="BO48" s="28" t="n"/>
      <c r="BP48" s="31" t="n"/>
      <c r="BQ48" s="29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1" t="n"/>
      <c r="BS48" s="21" t="n"/>
      <c r="BT48" s="27">
        <f>SUM(BR48:BS48)</f>
        <v/>
      </c>
      <c r="BU48" s="28" t="n"/>
      <c r="BV48" s="31" t="n"/>
      <c r="BW48" s="29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1" t="n"/>
      <c r="BY48" s="21" t="n"/>
      <c r="BZ48" s="27">
        <f>SUM(BX48:BY48)</f>
        <v/>
      </c>
      <c r="CA48" s="28" t="n"/>
      <c r="CB48" s="31" t="n"/>
      <c r="CC48" s="29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1" t="n"/>
      <c r="CE48" s="21" t="n"/>
      <c r="CF48" s="27">
        <f>SUM(CD48:CE48)</f>
        <v/>
      </c>
      <c r="CG48" s="28" t="n"/>
      <c r="CH48" s="31" t="n"/>
      <c r="CI48" s="29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1" t="n"/>
      <c r="CK48" s="21" t="n"/>
      <c r="CL48" s="27">
        <f>SUM(CJ48:CK48)</f>
        <v/>
      </c>
      <c r="CM48" s="28" t="n"/>
      <c r="CN48" s="31" t="n"/>
      <c r="CO48" s="29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1" t="n"/>
      <c r="CQ48" s="21" t="n"/>
      <c r="CR48" s="27">
        <f>SUM(CP48:CQ48)</f>
        <v/>
      </c>
      <c r="CS48" s="28" t="n"/>
      <c r="CT48" s="31" t="n"/>
      <c r="CU48" s="29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1" t="n"/>
      <c r="CW48" s="21" t="n"/>
      <c r="CX48" s="27">
        <f>SUM(CV48:CW48)</f>
        <v/>
      </c>
      <c r="CY48" s="28" t="n"/>
      <c r="CZ48" s="31" t="n"/>
      <c r="DA48" s="29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1" t="n"/>
      <c r="DC48" s="21" t="n"/>
      <c r="DD48" s="27">
        <f>SUM(DB48:DC48)</f>
        <v/>
      </c>
      <c r="DE48" s="28" t="n"/>
      <c r="DF48" s="31" t="n"/>
      <c r="DG48" s="29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34">
        <f>SUM(O48,U48,AA48,AG48,AM48,AS48,AY48,BE48,BK48,BQ48,BW48,CC48,CI48,CO48,CU48,DA48,DG48)</f>
        <v/>
      </c>
      <c r="DI48" s="39">
        <f>RANK(DH48,DH$4:DH$503)</f>
        <v/>
      </c>
      <c r="DJ48" s="40" t="inlineStr">
        <is>
          <t>CHOOSE RATING</t>
        </is>
      </c>
      <c r="DK48" s="40" t="inlineStr">
        <is>
          <t>CHOOSE RATING</t>
        </is>
      </c>
      <c r="DL48" s="40" t="inlineStr">
        <is>
          <t>CHOOSE RATING</t>
        </is>
      </c>
      <c r="DM48" s="40" t="inlineStr">
        <is>
          <t>CHOOSE RATING</t>
        </is>
      </c>
      <c r="DN48" s="40" t="inlineStr">
        <is>
          <t>CHOOSE RATING</t>
        </is>
      </c>
      <c r="DO48" s="40" t="inlineStr">
        <is>
          <t>CHOOSE RATING</t>
        </is>
      </c>
      <c r="DP48" s="40" t="inlineStr">
        <is>
          <t>CHOOSE RATING</t>
        </is>
      </c>
      <c r="DQ48" s="40" t="inlineStr">
        <is>
          <t>CHOOSE RATING</t>
        </is>
      </c>
      <c r="DR48" s="43" t="inlineStr">
        <is>
          <t>2024/2025</t>
        </is>
      </c>
      <c r="DS48" s="45" t="inlineStr">
        <is>
          <t>THIRD</t>
        </is>
      </c>
      <c r="DT48" s="40" t="inlineStr">
        <is>
          <t>CHOOSE RATING</t>
        </is>
      </c>
      <c r="DU48" s="40" t="inlineStr">
        <is>
          <t>CHOOSE RATING</t>
        </is>
      </c>
      <c r="DV48" s="40" t="inlineStr">
        <is>
          <t>CHOOSE RATING</t>
        </is>
      </c>
      <c r="DW48" s="40" t="inlineStr">
        <is>
          <t>CHOOSE RATING</t>
        </is>
      </c>
      <c r="DX48" s="40" t="inlineStr">
        <is>
          <t>CHOOSE RATING</t>
        </is>
      </c>
      <c r="DY48" s="40" t="inlineStr">
        <is>
          <t>CHOOSE RATING</t>
        </is>
      </c>
      <c r="DZ48" s="53" t="inlineStr">
        <is>
          <t>CHOOSE RATING</t>
        </is>
      </c>
      <c r="EA48" s="54" t="inlineStr">
        <is>
          <t>Add the Tutor's Comment . . .</t>
        </is>
      </c>
      <c r="EB48" s="55" t="inlineStr">
        <is>
          <t>Choose Principals comment</t>
        </is>
      </c>
      <c r="EC48" s="56" t="n"/>
      <c r="ED48" s="57" t="inlineStr">
        <is>
          <t>Next Term Begins on Monday, 15th September, 2025</t>
        </is>
      </c>
    </row>
    <row r="49" ht="30.6" customHeight="1" s="6">
      <c r="A49" s="18" t="n">
        <v>46</v>
      </c>
      <c r="B49" s="19" t="n"/>
      <c r="C49" s="20" t="n"/>
      <c r="D49" s="128" t="n"/>
      <c r="E49" s="21" t="n"/>
      <c r="F49" s="22" t="n"/>
      <c r="G49" s="22" t="n"/>
      <c r="H49" s="22" t="n"/>
      <c r="I49" s="26">
        <f>G49-H49</f>
        <v/>
      </c>
      <c r="J49" s="21" t="n"/>
      <c r="K49" s="21" t="n"/>
      <c r="L49" s="27">
        <f>SUM(J49:K49)</f>
        <v/>
      </c>
      <c r="M49" s="28" t="n"/>
      <c r="N49" s="28" t="n"/>
      <c r="O49" s="29">
        <f>IF(AND(L49=0,M49=0,N49=0),0,IF(AND(L49=0,M49=0),N49/1,IF(AND(L49=0,N49=0),M49/1,IF(AND(M49=0,N49=0),L49/1,IF(L49=0,FLOOR((M49+N49)/2,0.1),IF(M49=0,(L49+N49)/2,IF(N49=0,(M49+L49)/2,FLOOR(((L49+M49+N49)/3),0.1))))))))</f>
        <v/>
      </c>
      <c r="P49" s="21" t="n"/>
      <c r="Q49" s="21" t="n"/>
      <c r="R49" s="27">
        <f>SUM(P49:Q49)</f>
        <v/>
      </c>
      <c r="S49" s="28" t="n"/>
      <c r="T49" s="28" t="n"/>
      <c r="U49" s="29">
        <f>IF(AND(R49=0,S49=0,T49=0),0,IF(AND(R49=0,S49=0),T49/1,IF(AND(R49=0,T49=0),S49/1,IF(AND(S49=0,T49=0),R49/1,IF(R49=0,FLOOR((S49+T49)/2,0.1),IF(S49=0,(R49+T49)/2,IF(T49=0,(S49+R49)/2,FLOOR(((R49+S49+T49)/3),0.1))))))))</f>
        <v/>
      </c>
      <c r="V49" s="21" t="n"/>
      <c r="W49" s="21" t="n"/>
      <c r="X49" s="27">
        <f>SUM(V49:W49)</f>
        <v/>
      </c>
      <c r="Y49" s="28" t="n"/>
      <c r="Z49" s="28" t="n"/>
      <c r="AA49" s="29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1" t="n"/>
      <c r="AC49" s="21" t="n"/>
      <c r="AD49" s="27">
        <f>SUM(AB49:AC49)</f>
        <v/>
      </c>
      <c r="AE49" s="28" t="n"/>
      <c r="AF49" s="28" t="n"/>
      <c r="AG49" s="29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1" t="n"/>
      <c r="AI49" s="21" t="n"/>
      <c r="AJ49" s="27">
        <f>SUM(AH49:AI49)</f>
        <v/>
      </c>
      <c r="AK49" s="28" t="n"/>
      <c r="AL49" s="28" t="n"/>
      <c r="AM49" s="29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1" t="n"/>
      <c r="AO49" s="21" t="n"/>
      <c r="AP49" s="27">
        <f>SUM(AN49:AO49)</f>
        <v/>
      </c>
      <c r="AQ49" s="28" t="n"/>
      <c r="AR49" s="30" t="n"/>
      <c r="AS49" s="29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1" t="n"/>
      <c r="AU49" s="21" t="n"/>
      <c r="AV49" s="27">
        <f>SUM(AT49:AU49)</f>
        <v/>
      </c>
      <c r="AW49" s="28" t="n"/>
      <c r="AX49" s="30" t="n"/>
      <c r="AY49" s="29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1" t="n"/>
      <c r="BA49" s="21" t="n"/>
      <c r="BB49" s="27">
        <f>SUM(AZ49:BA49)</f>
        <v/>
      </c>
      <c r="BC49" s="28" t="n"/>
      <c r="BD49" s="28" t="n"/>
      <c r="BE49" s="29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1" t="n"/>
      <c r="BG49" s="21" t="n"/>
      <c r="BH49" s="27">
        <f>SUM(BF49:BG49)</f>
        <v/>
      </c>
      <c r="BI49" s="28" t="n"/>
      <c r="BJ49" s="28" t="n"/>
      <c r="BK49" s="29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1" t="n"/>
      <c r="BM49" s="21" t="n"/>
      <c r="BN49" s="27">
        <f>SUM(BL49:BM49)</f>
        <v/>
      </c>
      <c r="BO49" s="28" t="n"/>
      <c r="BP49" s="31" t="n"/>
      <c r="BQ49" s="29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1" t="n"/>
      <c r="BS49" s="21" t="n"/>
      <c r="BT49" s="27">
        <f>SUM(BR49:BS49)</f>
        <v/>
      </c>
      <c r="BU49" s="28" t="n"/>
      <c r="BV49" s="31" t="n"/>
      <c r="BW49" s="29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1" t="n"/>
      <c r="BY49" s="21" t="n"/>
      <c r="BZ49" s="27">
        <f>SUM(BX49:BY49)</f>
        <v/>
      </c>
      <c r="CA49" s="28" t="n"/>
      <c r="CB49" s="31" t="n"/>
      <c r="CC49" s="29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1" t="n"/>
      <c r="CE49" s="21" t="n"/>
      <c r="CF49" s="27">
        <f>SUM(CD49:CE49)</f>
        <v/>
      </c>
      <c r="CG49" s="28" t="n"/>
      <c r="CH49" s="31" t="n"/>
      <c r="CI49" s="29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1" t="n"/>
      <c r="CK49" s="21" t="n"/>
      <c r="CL49" s="27">
        <f>SUM(CJ49:CK49)</f>
        <v/>
      </c>
      <c r="CM49" s="28" t="n"/>
      <c r="CN49" s="31" t="n"/>
      <c r="CO49" s="29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1" t="n"/>
      <c r="CQ49" s="21" t="n"/>
      <c r="CR49" s="27">
        <f>SUM(CP49:CQ49)</f>
        <v/>
      </c>
      <c r="CS49" s="28" t="n"/>
      <c r="CT49" s="31" t="n"/>
      <c r="CU49" s="29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1" t="n"/>
      <c r="CW49" s="21" t="n"/>
      <c r="CX49" s="27">
        <f>SUM(CV49:CW49)</f>
        <v/>
      </c>
      <c r="CY49" s="28" t="n"/>
      <c r="CZ49" s="31" t="n"/>
      <c r="DA49" s="29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1" t="n"/>
      <c r="DC49" s="21" t="n"/>
      <c r="DD49" s="27">
        <f>SUM(DB49:DC49)</f>
        <v/>
      </c>
      <c r="DE49" s="28" t="n"/>
      <c r="DF49" s="31" t="n"/>
      <c r="DG49" s="29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34">
        <f>SUM(O49,U49,AA49,AG49,AM49,AS49,AY49,BE49,BK49,BQ49,BW49,CC49,CI49,CO49,CU49,DA49,DG49)</f>
        <v/>
      </c>
      <c r="DI49" s="39">
        <f>RANK(DH49,DH$4:DH$503)</f>
        <v/>
      </c>
      <c r="DJ49" s="40" t="inlineStr">
        <is>
          <t>CHOOSE RATING</t>
        </is>
      </c>
      <c r="DK49" s="40" t="inlineStr">
        <is>
          <t>CHOOSE RATING</t>
        </is>
      </c>
      <c r="DL49" s="40" t="inlineStr">
        <is>
          <t>CHOOSE RATING</t>
        </is>
      </c>
      <c r="DM49" s="40" t="inlineStr">
        <is>
          <t>CHOOSE RATING</t>
        </is>
      </c>
      <c r="DN49" s="40" t="inlineStr">
        <is>
          <t>CHOOSE RATING</t>
        </is>
      </c>
      <c r="DO49" s="40" t="inlineStr">
        <is>
          <t>CHOOSE RATING</t>
        </is>
      </c>
      <c r="DP49" s="40" t="inlineStr">
        <is>
          <t>CHOOSE RATING</t>
        </is>
      </c>
      <c r="DQ49" s="40" t="inlineStr">
        <is>
          <t>CHOOSE RATING</t>
        </is>
      </c>
      <c r="DR49" s="43" t="inlineStr">
        <is>
          <t>2024/2025</t>
        </is>
      </c>
      <c r="DS49" s="45" t="inlineStr">
        <is>
          <t>THIRD</t>
        </is>
      </c>
      <c r="DT49" s="40" t="inlineStr">
        <is>
          <t>CHOOSE RATING</t>
        </is>
      </c>
      <c r="DU49" s="40" t="inlineStr">
        <is>
          <t>CHOOSE RATING</t>
        </is>
      </c>
      <c r="DV49" s="40" t="inlineStr">
        <is>
          <t>CHOOSE RATING</t>
        </is>
      </c>
      <c r="DW49" s="40" t="inlineStr">
        <is>
          <t>CHOOSE RATING</t>
        </is>
      </c>
      <c r="DX49" s="40" t="inlineStr">
        <is>
          <t>CHOOSE RATING</t>
        </is>
      </c>
      <c r="DY49" s="40" t="inlineStr">
        <is>
          <t>CHOOSE RATING</t>
        </is>
      </c>
      <c r="DZ49" s="53" t="inlineStr">
        <is>
          <t>CHOOSE RATING</t>
        </is>
      </c>
      <c r="EA49" s="54" t="inlineStr">
        <is>
          <t>Add the Tutor's Comment . . .</t>
        </is>
      </c>
      <c r="EB49" s="55" t="inlineStr">
        <is>
          <t>Choose Principals comment</t>
        </is>
      </c>
      <c r="EC49" s="56" t="n"/>
      <c r="ED49" s="57" t="inlineStr">
        <is>
          <t>Next Term Begins on Monday, 15th September, 2025</t>
        </is>
      </c>
    </row>
    <row r="50" ht="30.6" customHeight="1" s="6">
      <c r="A50" s="18" t="n">
        <v>47</v>
      </c>
      <c r="B50" s="19" t="n"/>
      <c r="C50" s="20" t="n"/>
      <c r="D50" s="128" t="n"/>
      <c r="E50" s="21" t="n"/>
      <c r="F50" s="22" t="n"/>
      <c r="G50" s="22" t="n"/>
      <c r="H50" s="22" t="n"/>
      <c r="I50" s="26">
        <f>G50-H50</f>
        <v/>
      </c>
      <c r="J50" s="21" t="n"/>
      <c r="K50" s="21" t="n"/>
      <c r="L50" s="27">
        <f>SUM(J50:K50)</f>
        <v/>
      </c>
      <c r="M50" s="28" t="n"/>
      <c r="N50" s="28" t="n"/>
      <c r="O50" s="29">
        <f>IF(AND(L50=0,M50=0,N50=0),0,IF(AND(L50=0,M50=0),N50/1,IF(AND(L50=0,N50=0),M50/1,IF(AND(M50=0,N50=0),L50/1,IF(L50=0,FLOOR((M50+N50)/2,0.1),IF(M50=0,(L50+N50)/2,IF(N50=0,(M50+L50)/2,FLOOR(((L50+M50+N50)/3),0.1))))))))</f>
        <v/>
      </c>
      <c r="P50" s="21" t="n"/>
      <c r="Q50" s="21" t="n"/>
      <c r="R50" s="27">
        <f>SUM(P50:Q50)</f>
        <v/>
      </c>
      <c r="S50" s="28" t="n"/>
      <c r="T50" s="28" t="n"/>
      <c r="U50" s="29">
        <f>IF(AND(R50=0,S50=0,T50=0),0,IF(AND(R50=0,S50=0),T50/1,IF(AND(R50=0,T50=0),S50/1,IF(AND(S50=0,T50=0),R50/1,IF(R50=0,FLOOR((S50+T50)/2,0.1),IF(S50=0,(R50+T50)/2,IF(T50=0,(S50+R50)/2,FLOOR(((R50+S50+T50)/3),0.1))))))))</f>
        <v/>
      </c>
      <c r="V50" s="21" t="n"/>
      <c r="W50" s="21" t="n"/>
      <c r="X50" s="27">
        <f>SUM(V50:W50)</f>
        <v/>
      </c>
      <c r="Y50" s="28" t="n"/>
      <c r="Z50" s="28" t="n"/>
      <c r="AA50" s="29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1" t="n"/>
      <c r="AC50" s="21" t="n"/>
      <c r="AD50" s="27">
        <f>SUM(AB50:AC50)</f>
        <v/>
      </c>
      <c r="AE50" s="28" t="n"/>
      <c r="AF50" s="28" t="n"/>
      <c r="AG50" s="29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1" t="n"/>
      <c r="AI50" s="21" t="n"/>
      <c r="AJ50" s="27">
        <f>SUM(AH50:AI50)</f>
        <v/>
      </c>
      <c r="AK50" s="28" t="n"/>
      <c r="AL50" s="28" t="n"/>
      <c r="AM50" s="29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1" t="n"/>
      <c r="AO50" s="21" t="n"/>
      <c r="AP50" s="27">
        <f>SUM(AN50:AO50)</f>
        <v/>
      </c>
      <c r="AQ50" s="28" t="n"/>
      <c r="AR50" s="30" t="n"/>
      <c r="AS50" s="29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1" t="n"/>
      <c r="AU50" s="21" t="n"/>
      <c r="AV50" s="27">
        <f>SUM(AT50:AU50)</f>
        <v/>
      </c>
      <c r="AW50" s="28" t="n"/>
      <c r="AX50" s="30" t="n"/>
      <c r="AY50" s="29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1" t="n"/>
      <c r="BA50" s="21" t="n"/>
      <c r="BB50" s="27">
        <f>SUM(AZ50:BA50)</f>
        <v/>
      </c>
      <c r="BC50" s="28" t="n"/>
      <c r="BD50" s="28" t="n"/>
      <c r="BE50" s="29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1" t="n"/>
      <c r="BG50" s="21" t="n"/>
      <c r="BH50" s="27">
        <f>SUM(BF50:BG50)</f>
        <v/>
      </c>
      <c r="BI50" s="28" t="n"/>
      <c r="BJ50" s="28" t="n"/>
      <c r="BK50" s="29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1" t="n"/>
      <c r="BM50" s="21" t="n"/>
      <c r="BN50" s="27">
        <f>SUM(BL50:BM50)</f>
        <v/>
      </c>
      <c r="BO50" s="28" t="n"/>
      <c r="BP50" s="31" t="n"/>
      <c r="BQ50" s="29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1" t="n"/>
      <c r="BS50" s="21" t="n"/>
      <c r="BT50" s="27">
        <f>SUM(BR50:BS50)</f>
        <v/>
      </c>
      <c r="BU50" s="28" t="n"/>
      <c r="BV50" s="31" t="n"/>
      <c r="BW50" s="29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1" t="n"/>
      <c r="BY50" s="21" t="n"/>
      <c r="BZ50" s="27">
        <f>SUM(BX50:BY50)</f>
        <v/>
      </c>
      <c r="CA50" s="28" t="n"/>
      <c r="CB50" s="31" t="n"/>
      <c r="CC50" s="29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1" t="n"/>
      <c r="CE50" s="21" t="n"/>
      <c r="CF50" s="27">
        <f>SUM(CD50:CE50)</f>
        <v/>
      </c>
      <c r="CG50" s="28" t="n"/>
      <c r="CH50" s="31" t="n"/>
      <c r="CI50" s="29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1" t="n"/>
      <c r="CK50" s="21" t="n"/>
      <c r="CL50" s="27">
        <f>SUM(CJ50:CK50)</f>
        <v/>
      </c>
      <c r="CM50" s="28" t="n"/>
      <c r="CN50" s="31" t="n"/>
      <c r="CO50" s="29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1" t="n"/>
      <c r="CQ50" s="21" t="n"/>
      <c r="CR50" s="27">
        <f>SUM(CP50:CQ50)</f>
        <v/>
      </c>
      <c r="CS50" s="28" t="n"/>
      <c r="CT50" s="31" t="n"/>
      <c r="CU50" s="29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1" t="n"/>
      <c r="CW50" s="21" t="n"/>
      <c r="CX50" s="27">
        <f>SUM(CV50:CW50)</f>
        <v/>
      </c>
      <c r="CY50" s="28" t="n"/>
      <c r="CZ50" s="31" t="n"/>
      <c r="DA50" s="29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1" t="n"/>
      <c r="DC50" s="21" t="n"/>
      <c r="DD50" s="27">
        <f>SUM(DB50:DC50)</f>
        <v/>
      </c>
      <c r="DE50" s="28" t="n"/>
      <c r="DF50" s="31" t="n"/>
      <c r="DG50" s="29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34">
        <f>SUM(O50,U50,AA50,AG50,AM50,AS50,AY50,BE50,BK50,BQ50,BW50,CC50,CI50,CO50,CU50,DA50,DG50)</f>
        <v/>
      </c>
      <c r="DI50" s="39">
        <f>RANK(DH50,DH$4:DH$503)</f>
        <v/>
      </c>
      <c r="DJ50" s="40" t="inlineStr">
        <is>
          <t>CHOOSE RATING</t>
        </is>
      </c>
      <c r="DK50" s="40" t="inlineStr">
        <is>
          <t>CHOOSE RATING</t>
        </is>
      </c>
      <c r="DL50" s="40" t="inlineStr">
        <is>
          <t>CHOOSE RATING</t>
        </is>
      </c>
      <c r="DM50" s="40" t="inlineStr">
        <is>
          <t>CHOOSE RATING</t>
        </is>
      </c>
      <c r="DN50" s="40" t="inlineStr">
        <is>
          <t>CHOOSE RATING</t>
        </is>
      </c>
      <c r="DO50" s="40" t="inlineStr">
        <is>
          <t>CHOOSE RATING</t>
        </is>
      </c>
      <c r="DP50" s="40" t="inlineStr">
        <is>
          <t>CHOOSE RATING</t>
        </is>
      </c>
      <c r="DQ50" s="40" t="inlineStr">
        <is>
          <t>CHOOSE RATING</t>
        </is>
      </c>
      <c r="DR50" s="43" t="inlineStr">
        <is>
          <t>2024/2025</t>
        </is>
      </c>
      <c r="DS50" s="45" t="inlineStr">
        <is>
          <t>THIRD</t>
        </is>
      </c>
      <c r="DT50" s="40" t="inlineStr">
        <is>
          <t>CHOOSE RATING</t>
        </is>
      </c>
      <c r="DU50" s="40" t="inlineStr">
        <is>
          <t>CHOOSE RATING</t>
        </is>
      </c>
      <c r="DV50" s="40" t="inlineStr">
        <is>
          <t>CHOOSE RATING</t>
        </is>
      </c>
      <c r="DW50" s="40" t="inlineStr">
        <is>
          <t>CHOOSE RATING</t>
        </is>
      </c>
      <c r="DX50" s="40" t="inlineStr">
        <is>
          <t>CHOOSE RATING</t>
        </is>
      </c>
      <c r="DY50" s="40" t="inlineStr">
        <is>
          <t>CHOOSE RATING</t>
        </is>
      </c>
      <c r="DZ50" s="53" t="inlineStr">
        <is>
          <t>CHOOSE RATING</t>
        </is>
      </c>
      <c r="EA50" s="54" t="inlineStr">
        <is>
          <t>Add the Tutor's Comment . . .</t>
        </is>
      </c>
      <c r="EB50" s="55" t="inlineStr">
        <is>
          <t>Choose Principals comment</t>
        </is>
      </c>
      <c r="EC50" s="56" t="n"/>
      <c r="ED50" s="57" t="inlineStr">
        <is>
          <t>Next Term Begins on Monday, 15th September, 2025</t>
        </is>
      </c>
    </row>
    <row r="51" ht="30.6" customHeight="1" s="6">
      <c r="A51" s="18" t="n">
        <v>48</v>
      </c>
      <c r="B51" s="19" t="n"/>
      <c r="C51" s="20" t="n"/>
      <c r="D51" s="128" t="n"/>
      <c r="E51" s="21" t="n"/>
      <c r="F51" s="22" t="n"/>
      <c r="G51" s="22" t="n"/>
      <c r="H51" s="22" t="n"/>
      <c r="I51" s="26">
        <f>G51-H51</f>
        <v/>
      </c>
      <c r="J51" s="21" t="n"/>
      <c r="K51" s="21" t="n"/>
      <c r="L51" s="27">
        <f>SUM(J51:K51)</f>
        <v/>
      </c>
      <c r="M51" s="28" t="n"/>
      <c r="N51" s="28" t="n"/>
      <c r="O51" s="29">
        <f>IF(AND(L51=0,M51=0,N51=0),0,IF(AND(L51=0,M51=0),N51/1,IF(AND(L51=0,N51=0),M51/1,IF(AND(M51=0,N51=0),L51/1,IF(L51=0,FLOOR((M51+N51)/2,0.1),IF(M51=0,(L51+N51)/2,IF(N51=0,(M51+L51)/2,FLOOR(((L51+M51+N51)/3),0.1))))))))</f>
        <v/>
      </c>
      <c r="P51" s="21" t="n"/>
      <c r="Q51" s="21" t="n"/>
      <c r="R51" s="27">
        <f>SUM(P51:Q51)</f>
        <v/>
      </c>
      <c r="S51" s="28" t="n"/>
      <c r="T51" s="28" t="n"/>
      <c r="U51" s="29">
        <f>IF(AND(R51=0,S51=0,T51=0),0,IF(AND(R51=0,S51=0),T51/1,IF(AND(R51=0,T51=0),S51/1,IF(AND(S51=0,T51=0),R51/1,IF(R51=0,FLOOR((S51+T51)/2,0.1),IF(S51=0,(R51+T51)/2,IF(T51=0,(S51+R51)/2,FLOOR(((R51+S51+T51)/3),0.1))))))))</f>
        <v/>
      </c>
      <c r="V51" s="21" t="n"/>
      <c r="W51" s="21" t="n"/>
      <c r="X51" s="27">
        <f>SUM(V51:W51)</f>
        <v/>
      </c>
      <c r="Y51" s="28" t="n"/>
      <c r="Z51" s="28" t="n"/>
      <c r="AA51" s="29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1" t="n"/>
      <c r="AC51" s="21" t="n"/>
      <c r="AD51" s="27">
        <f>SUM(AB51:AC51)</f>
        <v/>
      </c>
      <c r="AE51" s="28" t="n"/>
      <c r="AF51" s="28" t="n"/>
      <c r="AG51" s="29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1" t="n"/>
      <c r="AI51" s="21" t="n"/>
      <c r="AJ51" s="27">
        <f>SUM(AH51:AI51)</f>
        <v/>
      </c>
      <c r="AK51" s="28" t="n"/>
      <c r="AL51" s="28" t="n"/>
      <c r="AM51" s="29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1" t="n"/>
      <c r="AO51" s="21" t="n"/>
      <c r="AP51" s="27">
        <f>SUM(AN51:AO51)</f>
        <v/>
      </c>
      <c r="AQ51" s="28" t="n"/>
      <c r="AR51" s="30" t="n"/>
      <c r="AS51" s="29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1" t="n"/>
      <c r="AU51" s="21" t="n"/>
      <c r="AV51" s="27">
        <f>SUM(AT51:AU51)</f>
        <v/>
      </c>
      <c r="AW51" s="28" t="n"/>
      <c r="AX51" s="30" t="n"/>
      <c r="AY51" s="29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1" t="n"/>
      <c r="BA51" s="21" t="n"/>
      <c r="BB51" s="27">
        <f>SUM(AZ51:BA51)</f>
        <v/>
      </c>
      <c r="BC51" s="28" t="n"/>
      <c r="BD51" s="28" t="n"/>
      <c r="BE51" s="29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1" t="n"/>
      <c r="BG51" s="21" t="n"/>
      <c r="BH51" s="27">
        <f>SUM(BF51:BG51)</f>
        <v/>
      </c>
      <c r="BI51" s="28" t="n"/>
      <c r="BJ51" s="28" t="n"/>
      <c r="BK51" s="29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1" t="n"/>
      <c r="BM51" s="21" t="n"/>
      <c r="BN51" s="27">
        <f>SUM(BL51:BM51)</f>
        <v/>
      </c>
      <c r="BO51" s="28" t="n"/>
      <c r="BP51" s="31" t="n"/>
      <c r="BQ51" s="29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1" t="n"/>
      <c r="BS51" s="21" t="n"/>
      <c r="BT51" s="27">
        <f>SUM(BR51:BS51)</f>
        <v/>
      </c>
      <c r="BU51" s="28" t="n"/>
      <c r="BV51" s="31" t="n"/>
      <c r="BW51" s="29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1" t="n"/>
      <c r="BY51" s="21" t="n"/>
      <c r="BZ51" s="27">
        <f>SUM(BX51:BY51)</f>
        <v/>
      </c>
      <c r="CA51" s="28" t="n"/>
      <c r="CB51" s="31" t="n"/>
      <c r="CC51" s="29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1" t="n"/>
      <c r="CE51" s="21" t="n"/>
      <c r="CF51" s="27">
        <f>SUM(CD51:CE51)</f>
        <v/>
      </c>
      <c r="CG51" s="28" t="n"/>
      <c r="CH51" s="31" t="n"/>
      <c r="CI51" s="29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1" t="n"/>
      <c r="CK51" s="21" t="n"/>
      <c r="CL51" s="27">
        <f>SUM(CJ51:CK51)</f>
        <v/>
      </c>
      <c r="CM51" s="28" t="n"/>
      <c r="CN51" s="31" t="n"/>
      <c r="CO51" s="29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1" t="n"/>
      <c r="CQ51" s="21" t="n"/>
      <c r="CR51" s="27">
        <f>SUM(CP51:CQ51)</f>
        <v/>
      </c>
      <c r="CS51" s="28" t="n"/>
      <c r="CT51" s="31" t="n"/>
      <c r="CU51" s="29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1" t="n"/>
      <c r="CW51" s="21" t="n"/>
      <c r="CX51" s="27">
        <f>SUM(CV51:CW51)</f>
        <v/>
      </c>
      <c r="CY51" s="28" t="n"/>
      <c r="CZ51" s="31" t="n"/>
      <c r="DA51" s="29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1" t="n"/>
      <c r="DC51" s="21" t="n"/>
      <c r="DD51" s="27">
        <f>SUM(DB51:DC51)</f>
        <v/>
      </c>
      <c r="DE51" s="28" t="n"/>
      <c r="DF51" s="31" t="n"/>
      <c r="DG51" s="29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34">
        <f>SUM(O51,U51,AA51,AG51,AM51,AS51,AY51,BE51,BK51,BQ51,BW51,CC51,CI51,CO51,CU51,DA51,DG51)</f>
        <v/>
      </c>
      <c r="DI51" s="39">
        <f>RANK(DH51,DH$4:DH$503)</f>
        <v/>
      </c>
      <c r="DJ51" s="40" t="inlineStr">
        <is>
          <t>CHOOSE RATING</t>
        </is>
      </c>
      <c r="DK51" s="40" t="inlineStr">
        <is>
          <t>CHOOSE RATING</t>
        </is>
      </c>
      <c r="DL51" s="40" t="inlineStr">
        <is>
          <t>CHOOSE RATING</t>
        </is>
      </c>
      <c r="DM51" s="40" t="inlineStr">
        <is>
          <t>CHOOSE RATING</t>
        </is>
      </c>
      <c r="DN51" s="40" t="inlineStr">
        <is>
          <t>CHOOSE RATING</t>
        </is>
      </c>
      <c r="DO51" s="40" t="inlineStr">
        <is>
          <t>CHOOSE RATING</t>
        </is>
      </c>
      <c r="DP51" s="40" t="inlineStr">
        <is>
          <t>CHOOSE RATING</t>
        </is>
      </c>
      <c r="DQ51" s="40" t="inlineStr">
        <is>
          <t>CHOOSE RATING</t>
        </is>
      </c>
      <c r="DR51" s="43" t="inlineStr">
        <is>
          <t>2024/2025</t>
        </is>
      </c>
      <c r="DS51" s="45" t="inlineStr">
        <is>
          <t>THIRD</t>
        </is>
      </c>
      <c r="DT51" s="40" t="inlineStr">
        <is>
          <t>CHOOSE RATING</t>
        </is>
      </c>
      <c r="DU51" s="40" t="inlineStr">
        <is>
          <t>CHOOSE RATING</t>
        </is>
      </c>
      <c r="DV51" s="40" t="inlineStr">
        <is>
          <t>CHOOSE RATING</t>
        </is>
      </c>
      <c r="DW51" s="40" t="inlineStr">
        <is>
          <t>CHOOSE RATING</t>
        </is>
      </c>
      <c r="DX51" s="40" t="inlineStr">
        <is>
          <t>CHOOSE RATING</t>
        </is>
      </c>
      <c r="DY51" s="40" t="inlineStr">
        <is>
          <t>CHOOSE RATING</t>
        </is>
      </c>
      <c r="DZ51" s="53" t="inlineStr">
        <is>
          <t>CHOOSE RATING</t>
        </is>
      </c>
      <c r="EA51" s="54" t="inlineStr">
        <is>
          <t>Add the Tutor's Comment . . .</t>
        </is>
      </c>
      <c r="EB51" s="55" t="inlineStr">
        <is>
          <t>Choose Principals comment</t>
        </is>
      </c>
      <c r="EC51" s="56" t="n"/>
      <c r="ED51" s="57" t="inlineStr">
        <is>
          <t>Next Term Begins on Monday, 15th September, 2025</t>
        </is>
      </c>
    </row>
    <row r="52" ht="30.6" customHeight="1" s="6">
      <c r="A52" s="18" t="n">
        <v>49</v>
      </c>
      <c r="B52" s="19" t="n"/>
      <c r="C52" s="20" t="n"/>
      <c r="D52" s="128" t="n"/>
      <c r="E52" s="21" t="n"/>
      <c r="F52" s="22" t="n"/>
      <c r="G52" s="22" t="n"/>
      <c r="H52" s="22" t="n"/>
      <c r="I52" s="26">
        <f>G52-H52</f>
        <v/>
      </c>
      <c r="J52" s="21" t="n"/>
      <c r="K52" s="21" t="n"/>
      <c r="L52" s="27">
        <f>SUM(J52:K52)</f>
        <v/>
      </c>
      <c r="M52" s="28" t="n"/>
      <c r="N52" s="28" t="n"/>
      <c r="O52" s="29">
        <f>IF(AND(L52=0,M52=0,N52=0),0,IF(AND(L52=0,M52=0),N52/1,IF(AND(L52=0,N52=0),M52/1,IF(AND(M52=0,N52=0),L52/1,IF(L52=0,FLOOR((M52+N52)/2,0.1),IF(M52=0,(L52+N52)/2,IF(N52=0,(M52+L52)/2,FLOOR(((L52+M52+N52)/3),0.1))))))))</f>
        <v/>
      </c>
      <c r="P52" s="21" t="n"/>
      <c r="Q52" s="21" t="n"/>
      <c r="R52" s="27">
        <f>SUM(P52:Q52)</f>
        <v/>
      </c>
      <c r="S52" s="28" t="n"/>
      <c r="T52" s="28" t="n"/>
      <c r="U52" s="29">
        <f>IF(AND(R52=0,S52=0,T52=0),0,IF(AND(R52=0,S52=0),T52/1,IF(AND(R52=0,T52=0),S52/1,IF(AND(S52=0,T52=0),R52/1,IF(R52=0,FLOOR((S52+T52)/2,0.1),IF(S52=0,(R52+T52)/2,IF(T52=0,(S52+R52)/2,FLOOR(((R52+S52+T52)/3),0.1))))))))</f>
        <v/>
      </c>
      <c r="V52" s="21" t="n"/>
      <c r="W52" s="21" t="n"/>
      <c r="X52" s="27">
        <f>SUM(V52:W52)</f>
        <v/>
      </c>
      <c r="Y52" s="28" t="n"/>
      <c r="Z52" s="28" t="n"/>
      <c r="AA52" s="29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1" t="n"/>
      <c r="AC52" s="21" t="n"/>
      <c r="AD52" s="27">
        <f>SUM(AB52:AC52)</f>
        <v/>
      </c>
      <c r="AE52" s="28" t="n"/>
      <c r="AF52" s="28" t="n"/>
      <c r="AG52" s="29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1" t="n"/>
      <c r="AI52" s="21" t="n"/>
      <c r="AJ52" s="27">
        <f>SUM(AH52:AI52)</f>
        <v/>
      </c>
      <c r="AK52" s="28" t="n"/>
      <c r="AL52" s="28" t="n"/>
      <c r="AM52" s="29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1" t="n"/>
      <c r="AO52" s="21" t="n"/>
      <c r="AP52" s="27">
        <f>SUM(AN52:AO52)</f>
        <v/>
      </c>
      <c r="AQ52" s="28" t="n"/>
      <c r="AR52" s="30" t="n"/>
      <c r="AS52" s="29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1" t="n"/>
      <c r="AU52" s="21" t="n"/>
      <c r="AV52" s="27">
        <f>SUM(AT52:AU52)</f>
        <v/>
      </c>
      <c r="AW52" s="28" t="n"/>
      <c r="AX52" s="30" t="n"/>
      <c r="AY52" s="29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1" t="n"/>
      <c r="BA52" s="21" t="n"/>
      <c r="BB52" s="27">
        <f>SUM(AZ52:BA52)</f>
        <v/>
      </c>
      <c r="BC52" s="28" t="n"/>
      <c r="BD52" s="28" t="n"/>
      <c r="BE52" s="29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1" t="n"/>
      <c r="BG52" s="21" t="n"/>
      <c r="BH52" s="27">
        <f>SUM(BF52:BG52)</f>
        <v/>
      </c>
      <c r="BI52" s="28" t="n"/>
      <c r="BJ52" s="28" t="n"/>
      <c r="BK52" s="29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1" t="n"/>
      <c r="BM52" s="21" t="n"/>
      <c r="BN52" s="27">
        <f>SUM(BL52:BM52)</f>
        <v/>
      </c>
      <c r="BO52" s="28" t="n"/>
      <c r="BP52" s="31" t="n"/>
      <c r="BQ52" s="29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1" t="n"/>
      <c r="BS52" s="21" t="n"/>
      <c r="BT52" s="27">
        <f>SUM(BR52:BS52)</f>
        <v/>
      </c>
      <c r="BU52" s="28" t="n"/>
      <c r="BV52" s="31" t="n"/>
      <c r="BW52" s="29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1" t="n"/>
      <c r="BY52" s="21" t="n"/>
      <c r="BZ52" s="27">
        <f>SUM(BX52:BY52)</f>
        <v/>
      </c>
      <c r="CA52" s="28" t="n"/>
      <c r="CB52" s="31" t="n"/>
      <c r="CC52" s="29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1" t="n"/>
      <c r="CE52" s="21" t="n"/>
      <c r="CF52" s="27">
        <f>SUM(CD52:CE52)</f>
        <v/>
      </c>
      <c r="CG52" s="28" t="n"/>
      <c r="CH52" s="31" t="n"/>
      <c r="CI52" s="29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1" t="n"/>
      <c r="CK52" s="21" t="n"/>
      <c r="CL52" s="27">
        <f>SUM(CJ52:CK52)</f>
        <v/>
      </c>
      <c r="CM52" s="28" t="n"/>
      <c r="CN52" s="31" t="n"/>
      <c r="CO52" s="29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1" t="n"/>
      <c r="CQ52" s="21" t="n"/>
      <c r="CR52" s="27">
        <f>SUM(CP52:CQ52)</f>
        <v/>
      </c>
      <c r="CS52" s="28" t="n"/>
      <c r="CT52" s="31" t="n"/>
      <c r="CU52" s="29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1" t="n"/>
      <c r="CW52" s="21" t="n"/>
      <c r="CX52" s="27">
        <f>SUM(CV52:CW52)</f>
        <v/>
      </c>
      <c r="CY52" s="28" t="n"/>
      <c r="CZ52" s="31" t="n"/>
      <c r="DA52" s="29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1" t="n"/>
      <c r="DC52" s="21" t="n"/>
      <c r="DD52" s="27">
        <f>SUM(DB52:DC52)</f>
        <v/>
      </c>
      <c r="DE52" s="28" t="n"/>
      <c r="DF52" s="31" t="n"/>
      <c r="DG52" s="29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34">
        <f>SUM(O52,U52,AA52,AG52,AM52,AS52,AY52,BE52,BK52,BQ52,BW52,CC52,CI52,CO52,CU52,DA52,DG52)</f>
        <v/>
      </c>
      <c r="DI52" s="39">
        <f>RANK(DH52,DH$4:DH$503)</f>
        <v/>
      </c>
      <c r="DJ52" s="40" t="inlineStr">
        <is>
          <t>CHOOSE RATING</t>
        </is>
      </c>
      <c r="DK52" s="40" t="inlineStr">
        <is>
          <t>CHOOSE RATING</t>
        </is>
      </c>
      <c r="DL52" s="40" t="inlineStr">
        <is>
          <t>CHOOSE RATING</t>
        </is>
      </c>
      <c r="DM52" s="40" t="inlineStr">
        <is>
          <t>CHOOSE RATING</t>
        </is>
      </c>
      <c r="DN52" s="40" t="inlineStr">
        <is>
          <t>CHOOSE RATING</t>
        </is>
      </c>
      <c r="DO52" s="40" t="inlineStr">
        <is>
          <t>CHOOSE RATING</t>
        </is>
      </c>
      <c r="DP52" s="40" t="inlineStr">
        <is>
          <t>CHOOSE RATING</t>
        </is>
      </c>
      <c r="DQ52" s="40" t="inlineStr">
        <is>
          <t>CHOOSE RATING</t>
        </is>
      </c>
      <c r="DR52" s="43" t="inlineStr">
        <is>
          <t>2024/2025</t>
        </is>
      </c>
      <c r="DS52" s="45" t="inlineStr">
        <is>
          <t>THIRD</t>
        </is>
      </c>
      <c r="DT52" s="40" t="inlineStr">
        <is>
          <t>CHOOSE RATING</t>
        </is>
      </c>
      <c r="DU52" s="40" t="inlineStr">
        <is>
          <t>CHOOSE RATING</t>
        </is>
      </c>
      <c r="DV52" s="40" t="inlineStr">
        <is>
          <t>CHOOSE RATING</t>
        </is>
      </c>
      <c r="DW52" s="40" t="inlineStr">
        <is>
          <t>CHOOSE RATING</t>
        </is>
      </c>
      <c r="DX52" s="40" t="inlineStr">
        <is>
          <t>CHOOSE RATING</t>
        </is>
      </c>
      <c r="DY52" s="40" t="inlineStr">
        <is>
          <t>CHOOSE RATING</t>
        </is>
      </c>
      <c r="DZ52" s="53" t="inlineStr">
        <is>
          <t>CHOOSE RATING</t>
        </is>
      </c>
      <c r="EA52" s="54" t="inlineStr">
        <is>
          <t>Add the Tutor's Comment . . .</t>
        </is>
      </c>
      <c r="EB52" s="55" t="inlineStr">
        <is>
          <t>Choose Principals comment</t>
        </is>
      </c>
      <c r="EC52" s="56" t="n"/>
      <c r="ED52" s="57" t="inlineStr">
        <is>
          <t>Next Term Begins on Monday, 15th September, 2025</t>
        </is>
      </c>
    </row>
    <row r="53" ht="30.6" customHeight="1" s="6">
      <c r="A53" s="18" t="n">
        <v>50</v>
      </c>
      <c r="B53" s="19" t="n"/>
      <c r="C53" s="20" t="n"/>
      <c r="D53" s="128" t="n"/>
      <c r="E53" s="21" t="n"/>
      <c r="F53" s="22" t="n"/>
      <c r="G53" s="22" t="n"/>
      <c r="H53" s="22" t="n"/>
      <c r="I53" s="26">
        <f>G53-H53</f>
        <v/>
      </c>
      <c r="J53" s="21" t="n"/>
      <c r="K53" s="21" t="n"/>
      <c r="L53" s="27">
        <f>SUM(J53:K53)</f>
        <v/>
      </c>
      <c r="M53" s="28" t="n"/>
      <c r="N53" s="28" t="n"/>
      <c r="O53" s="29">
        <f>IF(AND(L53=0,M53=0,N53=0),0,IF(AND(L53=0,M53=0),N53/1,IF(AND(L53=0,N53=0),M53/1,IF(AND(M53=0,N53=0),L53/1,IF(L53=0,FLOOR((M53+N53)/2,0.1),IF(M53=0,(L53+N53)/2,IF(N53=0,(M53+L53)/2,FLOOR(((L53+M53+N53)/3),0.1))))))))</f>
        <v/>
      </c>
      <c r="P53" s="21" t="n"/>
      <c r="Q53" s="21" t="n"/>
      <c r="R53" s="27">
        <f>SUM(P53:Q53)</f>
        <v/>
      </c>
      <c r="S53" s="28" t="n"/>
      <c r="T53" s="28" t="n"/>
      <c r="U53" s="29">
        <f>IF(AND(R53=0,S53=0,T53=0),0,IF(AND(R53=0,S53=0),T53/1,IF(AND(R53=0,T53=0),S53/1,IF(AND(S53=0,T53=0),R53/1,IF(R53=0,FLOOR((S53+T53)/2,0.1),IF(S53=0,(R53+T53)/2,IF(T53=0,(S53+R53)/2,FLOOR(((R53+S53+T53)/3),0.1))))))))</f>
        <v/>
      </c>
      <c r="V53" s="21" t="n"/>
      <c r="W53" s="21" t="n"/>
      <c r="X53" s="27">
        <f>SUM(V53:W53)</f>
        <v/>
      </c>
      <c r="Y53" s="28" t="n"/>
      <c r="Z53" s="28" t="n"/>
      <c r="AA53" s="29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1" t="n"/>
      <c r="AC53" s="21" t="n"/>
      <c r="AD53" s="27">
        <f>SUM(AB53:AC53)</f>
        <v/>
      </c>
      <c r="AE53" s="28" t="n"/>
      <c r="AF53" s="28" t="n"/>
      <c r="AG53" s="29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1" t="n"/>
      <c r="AI53" s="21" t="n"/>
      <c r="AJ53" s="27">
        <f>SUM(AH53:AI53)</f>
        <v/>
      </c>
      <c r="AK53" s="28" t="n"/>
      <c r="AL53" s="28" t="n"/>
      <c r="AM53" s="29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1" t="n"/>
      <c r="AO53" s="21" t="n"/>
      <c r="AP53" s="27">
        <f>SUM(AN53:AO53)</f>
        <v/>
      </c>
      <c r="AQ53" s="28" t="n"/>
      <c r="AR53" s="30" t="n"/>
      <c r="AS53" s="29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1" t="n"/>
      <c r="AU53" s="21" t="n"/>
      <c r="AV53" s="27">
        <f>SUM(AT53:AU53)</f>
        <v/>
      </c>
      <c r="AW53" s="28" t="n"/>
      <c r="AX53" s="30" t="n"/>
      <c r="AY53" s="29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1" t="n"/>
      <c r="BA53" s="21" t="n"/>
      <c r="BB53" s="27">
        <f>SUM(AZ53:BA53)</f>
        <v/>
      </c>
      <c r="BC53" s="28" t="n"/>
      <c r="BD53" s="28" t="n"/>
      <c r="BE53" s="29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1" t="n"/>
      <c r="BG53" s="21" t="n"/>
      <c r="BH53" s="27">
        <f>SUM(BF53:BG53)</f>
        <v/>
      </c>
      <c r="BI53" s="28" t="n"/>
      <c r="BJ53" s="28" t="n"/>
      <c r="BK53" s="29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1" t="n"/>
      <c r="BM53" s="21" t="n"/>
      <c r="BN53" s="27">
        <f>SUM(BL53:BM53)</f>
        <v/>
      </c>
      <c r="BO53" s="28" t="n"/>
      <c r="BP53" s="31" t="n"/>
      <c r="BQ53" s="29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1" t="n"/>
      <c r="BS53" s="21" t="n"/>
      <c r="BT53" s="27">
        <f>SUM(BR53:BS53)</f>
        <v/>
      </c>
      <c r="BU53" s="28" t="n"/>
      <c r="BV53" s="31" t="n"/>
      <c r="BW53" s="29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1" t="n"/>
      <c r="BY53" s="21" t="n"/>
      <c r="BZ53" s="27">
        <f>SUM(BX53:BY53)</f>
        <v/>
      </c>
      <c r="CA53" s="28" t="n"/>
      <c r="CB53" s="31" t="n"/>
      <c r="CC53" s="29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1" t="n"/>
      <c r="CE53" s="21" t="n"/>
      <c r="CF53" s="27">
        <f>SUM(CD53:CE53)</f>
        <v/>
      </c>
      <c r="CG53" s="28" t="n"/>
      <c r="CH53" s="31" t="n"/>
      <c r="CI53" s="29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1" t="n"/>
      <c r="CK53" s="21" t="n"/>
      <c r="CL53" s="27">
        <f>SUM(CJ53:CK53)</f>
        <v/>
      </c>
      <c r="CM53" s="28" t="n"/>
      <c r="CN53" s="31" t="n"/>
      <c r="CO53" s="29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1" t="n"/>
      <c r="CQ53" s="21" t="n"/>
      <c r="CR53" s="27">
        <f>SUM(CP53:CQ53)</f>
        <v/>
      </c>
      <c r="CS53" s="28" t="n"/>
      <c r="CT53" s="31" t="n"/>
      <c r="CU53" s="29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1" t="n"/>
      <c r="CW53" s="21" t="n"/>
      <c r="CX53" s="27">
        <f>SUM(CV53:CW53)</f>
        <v/>
      </c>
      <c r="CY53" s="28" t="n"/>
      <c r="CZ53" s="31" t="n"/>
      <c r="DA53" s="29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1" t="n"/>
      <c r="DC53" s="21" t="n"/>
      <c r="DD53" s="27">
        <f>SUM(DB53:DC53)</f>
        <v/>
      </c>
      <c r="DE53" s="28" t="n"/>
      <c r="DF53" s="31" t="n"/>
      <c r="DG53" s="29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34">
        <f>SUM(O53,U53,AA53,AG53,AM53,AS53,AY53,BE53,BK53,BQ53,BW53,CC53,CI53,CO53,CU53,DA53,DG53)</f>
        <v/>
      </c>
      <c r="DI53" s="39">
        <f>RANK(DH53,DH$4:DH$503)</f>
        <v/>
      </c>
      <c r="DJ53" s="40" t="inlineStr">
        <is>
          <t>CHOOSE RATING</t>
        </is>
      </c>
      <c r="DK53" s="40" t="inlineStr">
        <is>
          <t>CHOOSE RATING</t>
        </is>
      </c>
      <c r="DL53" s="40" t="inlineStr">
        <is>
          <t>CHOOSE RATING</t>
        </is>
      </c>
      <c r="DM53" s="40" t="inlineStr">
        <is>
          <t>CHOOSE RATING</t>
        </is>
      </c>
      <c r="DN53" s="40" t="inlineStr">
        <is>
          <t>CHOOSE RATING</t>
        </is>
      </c>
      <c r="DO53" s="40" t="inlineStr">
        <is>
          <t>CHOOSE RATING</t>
        </is>
      </c>
      <c r="DP53" s="40" t="inlineStr">
        <is>
          <t>CHOOSE RATING</t>
        </is>
      </c>
      <c r="DQ53" s="40" t="inlineStr">
        <is>
          <t>CHOOSE RATING</t>
        </is>
      </c>
      <c r="DR53" s="43" t="inlineStr">
        <is>
          <t>2024/2025</t>
        </is>
      </c>
      <c r="DS53" s="45" t="inlineStr">
        <is>
          <t>THIRD</t>
        </is>
      </c>
      <c r="DT53" s="40" t="inlineStr">
        <is>
          <t>CHOOSE RATING</t>
        </is>
      </c>
      <c r="DU53" s="40" t="inlineStr">
        <is>
          <t>CHOOSE RATING</t>
        </is>
      </c>
      <c r="DV53" s="40" t="inlineStr">
        <is>
          <t>CHOOSE RATING</t>
        </is>
      </c>
      <c r="DW53" s="40" t="inlineStr">
        <is>
          <t>CHOOSE RATING</t>
        </is>
      </c>
      <c r="DX53" s="40" t="inlineStr">
        <is>
          <t>CHOOSE RATING</t>
        </is>
      </c>
      <c r="DY53" s="40" t="inlineStr">
        <is>
          <t>CHOOSE RATING</t>
        </is>
      </c>
      <c r="DZ53" s="53" t="inlineStr">
        <is>
          <t>CHOOSE RATING</t>
        </is>
      </c>
      <c r="EA53" s="54" t="inlineStr">
        <is>
          <t>Add the Tutor's Comment . . .</t>
        </is>
      </c>
      <c r="EB53" s="55" t="inlineStr">
        <is>
          <t>Choose Principals comment</t>
        </is>
      </c>
      <c r="EC53" s="56" t="n"/>
      <c r="ED53" s="57" t="inlineStr">
        <is>
          <t>Next Term Begins on Monday, 15th September, 2025</t>
        </is>
      </c>
    </row>
    <row r="54" ht="30.6" customHeight="1" s="6">
      <c r="A54" s="18" t="n">
        <v>51</v>
      </c>
      <c r="B54" s="19" t="n"/>
      <c r="C54" s="20" t="n"/>
      <c r="D54" s="128" t="n"/>
      <c r="E54" s="21" t="n"/>
      <c r="F54" s="22" t="n"/>
      <c r="G54" s="22" t="n"/>
      <c r="H54" s="22" t="n"/>
      <c r="I54" s="26">
        <f>G54-H54</f>
        <v/>
      </c>
      <c r="J54" s="21" t="n"/>
      <c r="K54" s="21" t="n"/>
      <c r="L54" s="27">
        <f>SUM(J54:K54)</f>
        <v/>
      </c>
      <c r="M54" s="28" t="n"/>
      <c r="N54" s="28" t="n"/>
      <c r="O54" s="29">
        <f>IF(AND(L54=0,M54=0,N54=0),0,IF(AND(L54=0,M54=0),N54/1,IF(AND(L54=0,N54=0),M54/1,IF(AND(M54=0,N54=0),L54/1,IF(L54=0,FLOOR((M54+N54)/2,0.1),IF(M54=0,(L54+N54)/2,IF(N54=0,(M54+L54)/2,FLOOR(((L54+M54+N54)/3),0.1))))))))</f>
        <v/>
      </c>
      <c r="P54" s="21" t="n"/>
      <c r="Q54" s="21" t="n"/>
      <c r="R54" s="27">
        <f>SUM(P54:Q54)</f>
        <v/>
      </c>
      <c r="S54" s="28" t="n"/>
      <c r="T54" s="28" t="n"/>
      <c r="U54" s="29">
        <f>IF(AND(R54=0,S54=0,T54=0),0,IF(AND(R54=0,S54=0),T54/1,IF(AND(R54=0,T54=0),S54/1,IF(AND(S54=0,T54=0),R54/1,IF(R54=0,FLOOR((S54+T54)/2,0.1),IF(S54=0,(R54+T54)/2,IF(T54=0,(S54+R54)/2,FLOOR(((R54+S54+T54)/3),0.1))))))))</f>
        <v/>
      </c>
      <c r="V54" s="21" t="n"/>
      <c r="W54" s="21" t="n"/>
      <c r="X54" s="27">
        <f>SUM(V54:W54)</f>
        <v/>
      </c>
      <c r="Y54" s="28" t="n"/>
      <c r="Z54" s="28" t="n"/>
      <c r="AA54" s="29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1" t="n"/>
      <c r="AC54" s="21" t="n"/>
      <c r="AD54" s="27">
        <f>SUM(AB54:AC54)</f>
        <v/>
      </c>
      <c r="AE54" s="28" t="n"/>
      <c r="AF54" s="28" t="n"/>
      <c r="AG54" s="29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1" t="n"/>
      <c r="AI54" s="21" t="n"/>
      <c r="AJ54" s="27">
        <f>SUM(AH54:AI54)</f>
        <v/>
      </c>
      <c r="AK54" s="28" t="n"/>
      <c r="AL54" s="28" t="n"/>
      <c r="AM54" s="29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1" t="n"/>
      <c r="AO54" s="21" t="n"/>
      <c r="AP54" s="27">
        <f>SUM(AN54:AO54)</f>
        <v/>
      </c>
      <c r="AQ54" s="28" t="n"/>
      <c r="AR54" s="30" t="n"/>
      <c r="AS54" s="29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1" t="n"/>
      <c r="AU54" s="21" t="n"/>
      <c r="AV54" s="27">
        <f>SUM(AT54:AU54)</f>
        <v/>
      </c>
      <c r="AW54" s="28" t="n"/>
      <c r="AX54" s="30" t="n"/>
      <c r="AY54" s="29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1" t="n"/>
      <c r="BA54" s="21" t="n"/>
      <c r="BB54" s="27">
        <f>SUM(AZ54:BA54)</f>
        <v/>
      </c>
      <c r="BC54" s="28" t="n"/>
      <c r="BD54" s="28" t="n"/>
      <c r="BE54" s="29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1" t="n"/>
      <c r="BG54" s="21" t="n"/>
      <c r="BH54" s="27">
        <f>SUM(BF54:BG54)</f>
        <v/>
      </c>
      <c r="BI54" s="28" t="n"/>
      <c r="BJ54" s="28" t="n"/>
      <c r="BK54" s="29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1" t="n"/>
      <c r="BM54" s="21" t="n"/>
      <c r="BN54" s="27">
        <f>SUM(BL54:BM54)</f>
        <v/>
      </c>
      <c r="BO54" s="28" t="n"/>
      <c r="BP54" s="31" t="n"/>
      <c r="BQ54" s="29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1" t="n"/>
      <c r="BS54" s="21" t="n"/>
      <c r="BT54" s="27">
        <f>SUM(BR54:BS54)</f>
        <v/>
      </c>
      <c r="BU54" s="28" t="n"/>
      <c r="BV54" s="31" t="n"/>
      <c r="BW54" s="29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1" t="n"/>
      <c r="BY54" s="21" t="n"/>
      <c r="BZ54" s="27">
        <f>SUM(BX54:BY54)</f>
        <v/>
      </c>
      <c r="CA54" s="28" t="n"/>
      <c r="CB54" s="31" t="n"/>
      <c r="CC54" s="29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1" t="n"/>
      <c r="CE54" s="21" t="n"/>
      <c r="CF54" s="27">
        <f>SUM(CD54:CE54)</f>
        <v/>
      </c>
      <c r="CG54" s="28" t="n"/>
      <c r="CH54" s="31" t="n"/>
      <c r="CI54" s="29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1" t="n"/>
      <c r="CK54" s="21" t="n"/>
      <c r="CL54" s="27">
        <f>SUM(CJ54:CK54)</f>
        <v/>
      </c>
      <c r="CM54" s="28" t="n"/>
      <c r="CN54" s="31" t="n"/>
      <c r="CO54" s="29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1" t="n"/>
      <c r="CQ54" s="21" t="n"/>
      <c r="CR54" s="27">
        <f>SUM(CP54:CQ54)</f>
        <v/>
      </c>
      <c r="CS54" s="28" t="n"/>
      <c r="CT54" s="31" t="n"/>
      <c r="CU54" s="29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1" t="n"/>
      <c r="CW54" s="21" t="n"/>
      <c r="CX54" s="27">
        <f>SUM(CV54:CW54)</f>
        <v/>
      </c>
      <c r="CY54" s="28" t="n"/>
      <c r="CZ54" s="31" t="n"/>
      <c r="DA54" s="29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1" t="n"/>
      <c r="DC54" s="21" t="n"/>
      <c r="DD54" s="27">
        <f>SUM(DB54:DC54)</f>
        <v/>
      </c>
      <c r="DE54" s="28" t="n"/>
      <c r="DF54" s="31" t="n"/>
      <c r="DG54" s="29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34">
        <f>SUM(O54,U54,AA54,AG54,AM54,AS54,AY54,BE54,BK54,BQ54,BW54,CC54,CI54,CO54,CU54,DA54,DG54)</f>
        <v/>
      </c>
      <c r="DI54" s="39">
        <f>RANK(DH54,DH$4:DH$503)</f>
        <v/>
      </c>
      <c r="DJ54" s="40" t="inlineStr">
        <is>
          <t>CHOOSE RATING</t>
        </is>
      </c>
      <c r="DK54" s="40" t="inlineStr">
        <is>
          <t>CHOOSE RATING</t>
        </is>
      </c>
      <c r="DL54" s="40" t="inlineStr">
        <is>
          <t>CHOOSE RATING</t>
        </is>
      </c>
      <c r="DM54" s="40" t="inlineStr">
        <is>
          <t>CHOOSE RATING</t>
        </is>
      </c>
      <c r="DN54" s="40" t="inlineStr">
        <is>
          <t>CHOOSE RATING</t>
        </is>
      </c>
      <c r="DO54" s="40" t="inlineStr">
        <is>
          <t>CHOOSE RATING</t>
        </is>
      </c>
      <c r="DP54" s="40" t="inlineStr">
        <is>
          <t>CHOOSE RATING</t>
        </is>
      </c>
      <c r="DQ54" s="40" t="inlineStr">
        <is>
          <t>CHOOSE RATING</t>
        </is>
      </c>
      <c r="DR54" s="43" t="inlineStr">
        <is>
          <t>2024/2025</t>
        </is>
      </c>
      <c r="DS54" s="45" t="inlineStr">
        <is>
          <t>THIRD</t>
        </is>
      </c>
      <c r="DT54" s="40" t="inlineStr">
        <is>
          <t>CHOOSE RATING</t>
        </is>
      </c>
      <c r="DU54" s="40" t="inlineStr">
        <is>
          <t>CHOOSE RATING</t>
        </is>
      </c>
      <c r="DV54" s="40" t="inlineStr">
        <is>
          <t>CHOOSE RATING</t>
        </is>
      </c>
      <c r="DW54" s="40" t="inlineStr">
        <is>
          <t>CHOOSE RATING</t>
        </is>
      </c>
      <c r="DX54" s="40" t="inlineStr">
        <is>
          <t>CHOOSE RATING</t>
        </is>
      </c>
      <c r="DY54" s="40" t="inlineStr">
        <is>
          <t>CHOOSE RATING</t>
        </is>
      </c>
      <c r="DZ54" s="53" t="inlineStr">
        <is>
          <t>CHOOSE RATING</t>
        </is>
      </c>
      <c r="EA54" s="54" t="inlineStr">
        <is>
          <t>Add the Tutor's Comment . . .</t>
        </is>
      </c>
      <c r="EB54" s="55" t="inlineStr">
        <is>
          <t>Choose Principals comment</t>
        </is>
      </c>
      <c r="EC54" s="56" t="n"/>
      <c r="ED54" s="57" t="inlineStr">
        <is>
          <t>Next Term Begins on Monday, 15th September, 2025</t>
        </is>
      </c>
    </row>
    <row r="55" ht="30.6" customHeight="1" s="6">
      <c r="A55" s="18" t="n">
        <v>52</v>
      </c>
      <c r="B55" s="19" t="n"/>
      <c r="C55" s="20" t="n"/>
      <c r="D55" s="128" t="n"/>
      <c r="E55" s="21" t="n"/>
      <c r="F55" s="22" t="n"/>
      <c r="G55" s="22" t="n"/>
      <c r="H55" s="22" t="n"/>
      <c r="I55" s="26">
        <f>G55-H55</f>
        <v/>
      </c>
      <c r="J55" s="21" t="n"/>
      <c r="K55" s="21" t="n"/>
      <c r="L55" s="27">
        <f>SUM(J55:K55)</f>
        <v/>
      </c>
      <c r="M55" s="28" t="n"/>
      <c r="N55" s="28" t="n"/>
      <c r="O55" s="29">
        <f>IF(AND(L55=0,M55=0,N55=0),0,IF(AND(L55=0,M55=0),N55/1,IF(AND(L55=0,N55=0),M55/1,IF(AND(M55=0,N55=0),L55/1,IF(L55=0,FLOOR((M55+N55)/2,0.1),IF(M55=0,(L55+N55)/2,IF(N55=0,(M55+L55)/2,FLOOR(((L55+M55+N55)/3),0.1))))))))</f>
        <v/>
      </c>
      <c r="P55" s="21" t="n"/>
      <c r="Q55" s="21" t="n"/>
      <c r="R55" s="27">
        <f>SUM(P55:Q55)</f>
        <v/>
      </c>
      <c r="S55" s="28" t="n"/>
      <c r="T55" s="28" t="n"/>
      <c r="U55" s="29">
        <f>IF(AND(R55=0,S55=0,T55=0),0,IF(AND(R55=0,S55=0),T55/1,IF(AND(R55=0,T55=0),S55/1,IF(AND(S55=0,T55=0),R55/1,IF(R55=0,FLOOR((S55+T55)/2,0.1),IF(S55=0,(R55+T55)/2,IF(T55=0,(S55+R55)/2,FLOOR(((R55+S55+T55)/3),0.1))))))))</f>
        <v/>
      </c>
      <c r="V55" s="21" t="n"/>
      <c r="W55" s="21" t="n"/>
      <c r="X55" s="27">
        <f>SUM(V55:W55)</f>
        <v/>
      </c>
      <c r="Y55" s="28" t="n"/>
      <c r="Z55" s="28" t="n"/>
      <c r="AA55" s="29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1" t="n"/>
      <c r="AC55" s="21" t="n"/>
      <c r="AD55" s="27">
        <f>SUM(AB55:AC55)</f>
        <v/>
      </c>
      <c r="AE55" s="28" t="n"/>
      <c r="AF55" s="28" t="n"/>
      <c r="AG55" s="29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1" t="n"/>
      <c r="AI55" s="21" t="n"/>
      <c r="AJ55" s="27">
        <f>SUM(AH55:AI55)</f>
        <v/>
      </c>
      <c r="AK55" s="28" t="n"/>
      <c r="AL55" s="28" t="n"/>
      <c r="AM55" s="29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1" t="n"/>
      <c r="AO55" s="21" t="n"/>
      <c r="AP55" s="27">
        <f>SUM(AN55:AO55)</f>
        <v/>
      </c>
      <c r="AQ55" s="28" t="n"/>
      <c r="AR55" s="30" t="n"/>
      <c r="AS55" s="29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1" t="n"/>
      <c r="AU55" s="21" t="n"/>
      <c r="AV55" s="27">
        <f>SUM(AT55:AU55)</f>
        <v/>
      </c>
      <c r="AW55" s="28" t="n"/>
      <c r="AX55" s="30" t="n"/>
      <c r="AY55" s="29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1" t="n"/>
      <c r="BA55" s="21" t="n"/>
      <c r="BB55" s="27">
        <f>SUM(AZ55:BA55)</f>
        <v/>
      </c>
      <c r="BC55" s="28" t="n"/>
      <c r="BD55" s="28" t="n"/>
      <c r="BE55" s="29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1" t="n"/>
      <c r="BG55" s="21" t="n"/>
      <c r="BH55" s="27">
        <f>SUM(BF55:BG55)</f>
        <v/>
      </c>
      <c r="BI55" s="28" t="n"/>
      <c r="BJ55" s="28" t="n"/>
      <c r="BK55" s="29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1" t="n"/>
      <c r="BM55" s="21" t="n"/>
      <c r="BN55" s="27">
        <f>SUM(BL55:BM55)</f>
        <v/>
      </c>
      <c r="BO55" s="28" t="n"/>
      <c r="BP55" s="31" t="n"/>
      <c r="BQ55" s="29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1" t="n"/>
      <c r="BS55" s="21" t="n"/>
      <c r="BT55" s="27">
        <f>SUM(BR55:BS55)</f>
        <v/>
      </c>
      <c r="BU55" s="28" t="n"/>
      <c r="BV55" s="31" t="n"/>
      <c r="BW55" s="29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1" t="n"/>
      <c r="BY55" s="21" t="n"/>
      <c r="BZ55" s="27">
        <f>SUM(BX55:BY55)</f>
        <v/>
      </c>
      <c r="CA55" s="28" t="n"/>
      <c r="CB55" s="31" t="n"/>
      <c r="CC55" s="29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1" t="n"/>
      <c r="CE55" s="21" t="n"/>
      <c r="CF55" s="27">
        <f>SUM(CD55:CE55)</f>
        <v/>
      </c>
      <c r="CG55" s="28" t="n"/>
      <c r="CH55" s="31" t="n"/>
      <c r="CI55" s="29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1" t="n"/>
      <c r="CK55" s="21" t="n"/>
      <c r="CL55" s="27">
        <f>SUM(CJ55:CK55)</f>
        <v/>
      </c>
      <c r="CM55" s="28" t="n"/>
      <c r="CN55" s="31" t="n"/>
      <c r="CO55" s="29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1" t="n"/>
      <c r="CQ55" s="21" t="n"/>
      <c r="CR55" s="27">
        <f>SUM(CP55:CQ55)</f>
        <v/>
      </c>
      <c r="CS55" s="28" t="n"/>
      <c r="CT55" s="31" t="n"/>
      <c r="CU55" s="29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1" t="n"/>
      <c r="CW55" s="21" t="n"/>
      <c r="CX55" s="27">
        <f>SUM(CV55:CW55)</f>
        <v/>
      </c>
      <c r="CY55" s="28" t="n"/>
      <c r="CZ55" s="31" t="n"/>
      <c r="DA55" s="29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1" t="n"/>
      <c r="DC55" s="21" t="n"/>
      <c r="DD55" s="27">
        <f>SUM(DB55:DC55)</f>
        <v/>
      </c>
      <c r="DE55" s="28" t="n"/>
      <c r="DF55" s="31" t="n"/>
      <c r="DG55" s="29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34">
        <f>SUM(O55,U55,AA55,AG55,AM55,AS55,AY55,BE55,BK55,BQ55,BW55,CC55,CI55,CO55,CU55,DA55,DG55)</f>
        <v/>
      </c>
      <c r="DI55" s="39">
        <f>RANK(DH55,DH$4:DH$503)</f>
        <v/>
      </c>
      <c r="DJ55" s="40" t="inlineStr">
        <is>
          <t>CHOOSE RATING</t>
        </is>
      </c>
      <c r="DK55" s="40" t="inlineStr">
        <is>
          <t>CHOOSE RATING</t>
        </is>
      </c>
      <c r="DL55" s="40" t="inlineStr">
        <is>
          <t>CHOOSE RATING</t>
        </is>
      </c>
      <c r="DM55" s="40" t="inlineStr">
        <is>
          <t>CHOOSE RATING</t>
        </is>
      </c>
      <c r="DN55" s="40" t="inlineStr">
        <is>
          <t>CHOOSE RATING</t>
        </is>
      </c>
      <c r="DO55" s="40" t="inlineStr">
        <is>
          <t>CHOOSE RATING</t>
        </is>
      </c>
      <c r="DP55" s="40" t="inlineStr">
        <is>
          <t>CHOOSE RATING</t>
        </is>
      </c>
      <c r="DQ55" s="40" t="inlineStr">
        <is>
          <t>CHOOSE RATING</t>
        </is>
      </c>
      <c r="DR55" s="43" t="inlineStr">
        <is>
          <t>2024/2025</t>
        </is>
      </c>
      <c r="DS55" s="45" t="inlineStr">
        <is>
          <t>THIRD</t>
        </is>
      </c>
      <c r="DT55" s="40" t="inlineStr">
        <is>
          <t>CHOOSE RATING</t>
        </is>
      </c>
      <c r="DU55" s="40" t="inlineStr">
        <is>
          <t>CHOOSE RATING</t>
        </is>
      </c>
      <c r="DV55" s="40" t="inlineStr">
        <is>
          <t>CHOOSE RATING</t>
        </is>
      </c>
      <c r="DW55" s="40" t="inlineStr">
        <is>
          <t>CHOOSE RATING</t>
        </is>
      </c>
      <c r="DX55" s="40" t="inlineStr">
        <is>
          <t>CHOOSE RATING</t>
        </is>
      </c>
      <c r="DY55" s="40" t="inlineStr">
        <is>
          <t>CHOOSE RATING</t>
        </is>
      </c>
      <c r="DZ55" s="53" t="inlineStr">
        <is>
          <t>CHOOSE RATING</t>
        </is>
      </c>
      <c r="EA55" s="54" t="inlineStr">
        <is>
          <t>Add the Tutor's Comment . . .</t>
        </is>
      </c>
      <c r="EB55" s="55" t="inlineStr">
        <is>
          <t>Choose Principals comment</t>
        </is>
      </c>
      <c r="EC55" s="56" t="n"/>
      <c r="ED55" s="57" t="inlineStr">
        <is>
          <t>Next Term Begins on Monday, 15th September, 2025</t>
        </is>
      </c>
    </row>
    <row r="56" ht="30.6" customHeight="1" s="6">
      <c r="A56" s="18" t="n">
        <v>53</v>
      </c>
      <c r="B56" s="19" t="n"/>
      <c r="C56" s="20" t="n"/>
      <c r="D56" s="128" t="n"/>
      <c r="E56" s="21" t="n"/>
      <c r="F56" s="22" t="n"/>
      <c r="G56" s="22" t="n"/>
      <c r="H56" s="22" t="n"/>
      <c r="I56" s="26">
        <f>G56-H56</f>
        <v/>
      </c>
      <c r="J56" s="21" t="n"/>
      <c r="K56" s="21" t="n"/>
      <c r="L56" s="27">
        <f>SUM(J56:K56)</f>
        <v/>
      </c>
      <c r="M56" s="28" t="n"/>
      <c r="N56" s="28" t="n"/>
      <c r="O56" s="29">
        <f>IF(AND(L56=0,M56=0,N56=0),0,IF(AND(L56=0,M56=0),N56/1,IF(AND(L56=0,N56=0),M56/1,IF(AND(M56=0,N56=0),L56/1,IF(L56=0,FLOOR((M56+N56)/2,0.1),IF(M56=0,(L56+N56)/2,IF(N56=0,(M56+L56)/2,FLOOR(((L56+M56+N56)/3),0.1))))))))</f>
        <v/>
      </c>
      <c r="P56" s="21" t="n"/>
      <c r="Q56" s="21" t="n"/>
      <c r="R56" s="27">
        <f>SUM(P56:Q56)</f>
        <v/>
      </c>
      <c r="S56" s="28" t="n"/>
      <c r="T56" s="28" t="n"/>
      <c r="U56" s="29">
        <f>IF(AND(R56=0,S56=0,T56=0),0,IF(AND(R56=0,S56=0),T56/1,IF(AND(R56=0,T56=0),S56/1,IF(AND(S56=0,T56=0),R56/1,IF(R56=0,FLOOR((S56+T56)/2,0.1),IF(S56=0,(R56+T56)/2,IF(T56=0,(S56+R56)/2,FLOOR(((R56+S56+T56)/3),0.1))))))))</f>
        <v/>
      </c>
      <c r="V56" s="21" t="n"/>
      <c r="W56" s="21" t="n"/>
      <c r="X56" s="27">
        <f>SUM(V56:W56)</f>
        <v/>
      </c>
      <c r="Y56" s="28" t="n"/>
      <c r="Z56" s="28" t="n"/>
      <c r="AA56" s="29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1" t="n"/>
      <c r="AC56" s="21" t="n"/>
      <c r="AD56" s="27">
        <f>SUM(AB56:AC56)</f>
        <v/>
      </c>
      <c r="AE56" s="28" t="n"/>
      <c r="AF56" s="28" t="n"/>
      <c r="AG56" s="29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1" t="n"/>
      <c r="AI56" s="21" t="n"/>
      <c r="AJ56" s="27">
        <f>SUM(AH56:AI56)</f>
        <v/>
      </c>
      <c r="AK56" s="28" t="n"/>
      <c r="AL56" s="28" t="n"/>
      <c r="AM56" s="29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1" t="n"/>
      <c r="AO56" s="21" t="n"/>
      <c r="AP56" s="27">
        <f>SUM(AN56:AO56)</f>
        <v/>
      </c>
      <c r="AQ56" s="28" t="n"/>
      <c r="AR56" s="30" t="n"/>
      <c r="AS56" s="29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1" t="n"/>
      <c r="AU56" s="21" t="n"/>
      <c r="AV56" s="27">
        <f>SUM(AT56:AU56)</f>
        <v/>
      </c>
      <c r="AW56" s="28" t="n"/>
      <c r="AX56" s="30" t="n"/>
      <c r="AY56" s="29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1" t="n"/>
      <c r="BA56" s="21" t="n"/>
      <c r="BB56" s="27">
        <f>SUM(AZ56:BA56)</f>
        <v/>
      </c>
      <c r="BC56" s="28" t="n"/>
      <c r="BD56" s="28" t="n"/>
      <c r="BE56" s="29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1" t="n"/>
      <c r="BG56" s="21" t="n"/>
      <c r="BH56" s="27">
        <f>SUM(BF56:BG56)</f>
        <v/>
      </c>
      <c r="BI56" s="28" t="n"/>
      <c r="BJ56" s="28" t="n"/>
      <c r="BK56" s="29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1" t="n"/>
      <c r="BM56" s="21" t="n"/>
      <c r="BN56" s="27">
        <f>SUM(BL56:BM56)</f>
        <v/>
      </c>
      <c r="BO56" s="28" t="n"/>
      <c r="BP56" s="31" t="n"/>
      <c r="BQ56" s="29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1" t="n"/>
      <c r="BS56" s="21" t="n"/>
      <c r="BT56" s="27">
        <f>SUM(BR56:BS56)</f>
        <v/>
      </c>
      <c r="BU56" s="28" t="n"/>
      <c r="BV56" s="31" t="n"/>
      <c r="BW56" s="29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1" t="n"/>
      <c r="BY56" s="21" t="n"/>
      <c r="BZ56" s="27">
        <f>SUM(BX56:BY56)</f>
        <v/>
      </c>
      <c r="CA56" s="28" t="n"/>
      <c r="CB56" s="31" t="n"/>
      <c r="CC56" s="29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1" t="n"/>
      <c r="CE56" s="21" t="n"/>
      <c r="CF56" s="27">
        <f>SUM(CD56:CE56)</f>
        <v/>
      </c>
      <c r="CG56" s="28" t="n"/>
      <c r="CH56" s="31" t="n"/>
      <c r="CI56" s="29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1" t="n"/>
      <c r="CK56" s="21" t="n"/>
      <c r="CL56" s="27">
        <f>SUM(CJ56:CK56)</f>
        <v/>
      </c>
      <c r="CM56" s="28" t="n"/>
      <c r="CN56" s="31" t="n"/>
      <c r="CO56" s="29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1" t="n"/>
      <c r="CQ56" s="21" t="n"/>
      <c r="CR56" s="27">
        <f>SUM(CP56:CQ56)</f>
        <v/>
      </c>
      <c r="CS56" s="28" t="n"/>
      <c r="CT56" s="31" t="n"/>
      <c r="CU56" s="29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1" t="n"/>
      <c r="CW56" s="21" t="n"/>
      <c r="CX56" s="27">
        <f>SUM(CV56:CW56)</f>
        <v/>
      </c>
      <c r="CY56" s="28" t="n"/>
      <c r="CZ56" s="31" t="n"/>
      <c r="DA56" s="29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1" t="n"/>
      <c r="DC56" s="21" t="n"/>
      <c r="DD56" s="27">
        <f>SUM(DB56:DC56)</f>
        <v/>
      </c>
      <c r="DE56" s="28" t="n"/>
      <c r="DF56" s="31" t="n"/>
      <c r="DG56" s="29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34">
        <f>SUM(O56,U56,AA56,AG56,AM56,AS56,AY56,BE56,BK56,BQ56,BW56,CC56,CI56,CO56,CU56,DA56,DG56)</f>
        <v/>
      </c>
      <c r="DI56" s="39">
        <f>RANK(DH56,DH$4:DH$503)</f>
        <v/>
      </c>
      <c r="DJ56" s="40" t="inlineStr">
        <is>
          <t>CHOOSE RATING</t>
        </is>
      </c>
      <c r="DK56" s="40" t="inlineStr">
        <is>
          <t>CHOOSE RATING</t>
        </is>
      </c>
      <c r="DL56" s="40" t="inlineStr">
        <is>
          <t>CHOOSE RATING</t>
        </is>
      </c>
      <c r="DM56" s="40" t="inlineStr">
        <is>
          <t>CHOOSE RATING</t>
        </is>
      </c>
      <c r="DN56" s="40" t="inlineStr">
        <is>
          <t>CHOOSE RATING</t>
        </is>
      </c>
      <c r="DO56" s="40" t="inlineStr">
        <is>
          <t>CHOOSE RATING</t>
        </is>
      </c>
      <c r="DP56" s="40" t="inlineStr">
        <is>
          <t>CHOOSE RATING</t>
        </is>
      </c>
      <c r="DQ56" s="40" t="inlineStr">
        <is>
          <t>CHOOSE RATING</t>
        </is>
      </c>
      <c r="DR56" s="43" t="inlineStr">
        <is>
          <t>2024/2025</t>
        </is>
      </c>
      <c r="DS56" s="45" t="inlineStr">
        <is>
          <t>THIRD</t>
        </is>
      </c>
      <c r="DT56" s="40" t="inlineStr">
        <is>
          <t>CHOOSE RATING</t>
        </is>
      </c>
      <c r="DU56" s="40" t="inlineStr">
        <is>
          <t>CHOOSE RATING</t>
        </is>
      </c>
      <c r="DV56" s="40" t="inlineStr">
        <is>
          <t>CHOOSE RATING</t>
        </is>
      </c>
      <c r="DW56" s="40" t="inlineStr">
        <is>
          <t>CHOOSE RATING</t>
        </is>
      </c>
      <c r="DX56" s="40" t="inlineStr">
        <is>
          <t>CHOOSE RATING</t>
        </is>
      </c>
      <c r="DY56" s="40" t="inlineStr">
        <is>
          <t>CHOOSE RATING</t>
        </is>
      </c>
      <c r="DZ56" s="53" t="inlineStr">
        <is>
          <t>CHOOSE RATING</t>
        </is>
      </c>
      <c r="EA56" s="54" t="inlineStr">
        <is>
          <t>Add the Tutor's Comment . . .</t>
        </is>
      </c>
      <c r="EB56" s="55" t="inlineStr">
        <is>
          <t>Choose Principals comment</t>
        </is>
      </c>
      <c r="EC56" s="56" t="n"/>
      <c r="ED56" s="57" t="inlineStr">
        <is>
          <t>Next Term Begins on Monday, 15th September, 2025</t>
        </is>
      </c>
    </row>
    <row r="57" ht="30.6" customHeight="1" s="6">
      <c r="A57" s="18" t="n">
        <v>54</v>
      </c>
      <c r="B57" s="19" t="n"/>
      <c r="C57" s="20" t="n"/>
      <c r="D57" s="128" t="n"/>
      <c r="E57" s="21" t="n"/>
      <c r="F57" s="22" t="n"/>
      <c r="G57" s="22" t="n"/>
      <c r="H57" s="22" t="n"/>
      <c r="I57" s="26">
        <f>G57-H57</f>
        <v/>
      </c>
      <c r="J57" s="21" t="n"/>
      <c r="K57" s="21" t="n"/>
      <c r="L57" s="27">
        <f>SUM(J57:K57)</f>
        <v/>
      </c>
      <c r="M57" s="28" t="n"/>
      <c r="N57" s="28" t="n"/>
      <c r="O57" s="29">
        <f>IF(AND(L57=0,M57=0,N57=0),0,IF(AND(L57=0,M57=0),N57/1,IF(AND(L57=0,N57=0),M57/1,IF(AND(M57=0,N57=0),L57/1,IF(L57=0,FLOOR((M57+N57)/2,0.1),IF(M57=0,(L57+N57)/2,IF(N57=0,(M57+L57)/2,FLOOR(((L57+M57+N57)/3),0.1))))))))</f>
        <v/>
      </c>
      <c r="P57" s="21" t="n"/>
      <c r="Q57" s="21" t="n"/>
      <c r="R57" s="27">
        <f>SUM(P57:Q57)</f>
        <v/>
      </c>
      <c r="S57" s="28" t="n"/>
      <c r="T57" s="28" t="n"/>
      <c r="U57" s="29">
        <f>IF(AND(R57=0,S57=0,T57=0),0,IF(AND(R57=0,S57=0),T57/1,IF(AND(R57=0,T57=0),S57/1,IF(AND(S57=0,T57=0),R57/1,IF(R57=0,FLOOR((S57+T57)/2,0.1),IF(S57=0,(R57+T57)/2,IF(T57=0,(S57+R57)/2,FLOOR(((R57+S57+T57)/3),0.1))))))))</f>
        <v/>
      </c>
      <c r="V57" s="21" t="n"/>
      <c r="W57" s="21" t="n"/>
      <c r="X57" s="27">
        <f>SUM(V57:W57)</f>
        <v/>
      </c>
      <c r="Y57" s="28" t="n"/>
      <c r="Z57" s="28" t="n"/>
      <c r="AA57" s="29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1" t="n"/>
      <c r="AC57" s="21" t="n"/>
      <c r="AD57" s="27">
        <f>SUM(AB57:AC57)</f>
        <v/>
      </c>
      <c r="AE57" s="28" t="n"/>
      <c r="AF57" s="28" t="n"/>
      <c r="AG57" s="29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1" t="n"/>
      <c r="AI57" s="21" t="n"/>
      <c r="AJ57" s="27">
        <f>SUM(AH57:AI57)</f>
        <v/>
      </c>
      <c r="AK57" s="28" t="n"/>
      <c r="AL57" s="28" t="n"/>
      <c r="AM57" s="29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1" t="n"/>
      <c r="AO57" s="21" t="n"/>
      <c r="AP57" s="27">
        <f>SUM(AN57:AO57)</f>
        <v/>
      </c>
      <c r="AQ57" s="28" t="n"/>
      <c r="AR57" s="30" t="n"/>
      <c r="AS57" s="29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1" t="n"/>
      <c r="AU57" s="21" t="n"/>
      <c r="AV57" s="27">
        <f>SUM(AT57:AU57)</f>
        <v/>
      </c>
      <c r="AW57" s="28" t="n"/>
      <c r="AX57" s="30" t="n"/>
      <c r="AY57" s="29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1" t="n"/>
      <c r="BA57" s="21" t="n"/>
      <c r="BB57" s="27">
        <f>SUM(AZ57:BA57)</f>
        <v/>
      </c>
      <c r="BC57" s="28" t="n"/>
      <c r="BD57" s="28" t="n"/>
      <c r="BE57" s="29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1" t="n"/>
      <c r="BG57" s="21" t="n"/>
      <c r="BH57" s="27">
        <f>SUM(BF57:BG57)</f>
        <v/>
      </c>
      <c r="BI57" s="28" t="n"/>
      <c r="BJ57" s="28" t="n"/>
      <c r="BK57" s="29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1" t="n"/>
      <c r="BM57" s="21" t="n"/>
      <c r="BN57" s="27">
        <f>SUM(BL57:BM57)</f>
        <v/>
      </c>
      <c r="BO57" s="28" t="n"/>
      <c r="BP57" s="31" t="n"/>
      <c r="BQ57" s="29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1" t="n"/>
      <c r="BS57" s="21" t="n"/>
      <c r="BT57" s="27">
        <f>SUM(BR57:BS57)</f>
        <v/>
      </c>
      <c r="BU57" s="28" t="n"/>
      <c r="BV57" s="31" t="n"/>
      <c r="BW57" s="29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1" t="n"/>
      <c r="BY57" s="21" t="n"/>
      <c r="BZ57" s="27">
        <f>SUM(BX57:BY57)</f>
        <v/>
      </c>
      <c r="CA57" s="28" t="n"/>
      <c r="CB57" s="31" t="n"/>
      <c r="CC57" s="29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1" t="n"/>
      <c r="CE57" s="21" t="n"/>
      <c r="CF57" s="27">
        <f>SUM(CD57:CE57)</f>
        <v/>
      </c>
      <c r="CG57" s="28" t="n"/>
      <c r="CH57" s="31" t="n"/>
      <c r="CI57" s="29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1" t="n"/>
      <c r="CK57" s="21" t="n"/>
      <c r="CL57" s="27">
        <f>SUM(CJ57:CK57)</f>
        <v/>
      </c>
      <c r="CM57" s="28" t="n"/>
      <c r="CN57" s="31" t="n"/>
      <c r="CO57" s="29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1" t="n"/>
      <c r="CQ57" s="21" t="n"/>
      <c r="CR57" s="27">
        <f>SUM(CP57:CQ57)</f>
        <v/>
      </c>
      <c r="CS57" s="28" t="n"/>
      <c r="CT57" s="31" t="n"/>
      <c r="CU57" s="29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1" t="n"/>
      <c r="CW57" s="21" t="n"/>
      <c r="CX57" s="27">
        <f>SUM(CV57:CW57)</f>
        <v/>
      </c>
      <c r="CY57" s="28" t="n"/>
      <c r="CZ57" s="31" t="n"/>
      <c r="DA57" s="29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1" t="n"/>
      <c r="DC57" s="21" t="n"/>
      <c r="DD57" s="27">
        <f>SUM(DB57:DC57)</f>
        <v/>
      </c>
      <c r="DE57" s="28" t="n"/>
      <c r="DF57" s="31" t="n"/>
      <c r="DG57" s="29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34">
        <f>SUM(O57,U57,AA57,AG57,AM57,AS57,AY57,BE57,BK57,BQ57,BW57,CC57,CI57,CO57,CU57,DA57,DG57)</f>
        <v/>
      </c>
      <c r="DI57" s="39">
        <f>RANK(DH57,DH$4:DH$503)</f>
        <v/>
      </c>
      <c r="DJ57" s="40" t="inlineStr">
        <is>
          <t>CHOOSE RATING</t>
        </is>
      </c>
      <c r="DK57" s="40" t="inlineStr">
        <is>
          <t>CHOOSE RATING</t>
        </is>
      </c>
      <c r="DL57" s="40" t="inlineStr">
        <is>
          <t>CHOOSE RATING</t>
        </is>
      </c>
      <c r="DM57" s="40" t="inlineStr">
        <is>
          <t>CHOOSE RATING</t>
        </is>
      </c>
      <c r="DN57" s="40" t="inlineStr">
        <is>
          <t>CHOOSE RATING</t>
        </is>
      </c>
      <c r="DO57" s="40" t="inlineStr">
        <is>
          <t>CHOOSE RATING</t>
        </is>
      </c>
      <c r="DP57" s="40" t="inlineStr">
        <is>
          <t>CHOOSE RATING</t>
        </is>
      </c>
      <c r="DQ57" s="40" t="inlineStr">
        <is>
          <t>CHOOSE RATING</t>
        </is>
      </c>
      <c r="DR57" s="43" t="inlineStr">
        <is>
          <t>2024/2025</t>
        </is>
      </c>
      <c r="DS57" s="45" t="inlineStr">
        <is>
          <t>THIRD</t>
        </is>
      </c>
      <c r="DT57" s="40" t="inlineStr">
        <is>
          <t>CHOOSE RATING</t>
        </is>
      </c>
      <c r="DU57" s="40" t="inlineStr">
        <is>
          <t>CHOOSE RATING</t>
        </is>
      </c>
      <c r="DV57" s="40" t="inlineStr">
        <is>
          <t>CHOOSE RATING</t>
        </is>
      </c>
      <c r="DW57" s="40" t="inlineStr">
        <is>
          <t>CHOOSE RATING</t>
        </is>
      </c>
      <c r="DX57" s="40" t="inlineStr">
        <is>
          <t>CHOOSE RATING</t>
        </is>
      </c>
      <c r="DY57" s="40" t="inlineStr">
        <is>
          <t>CHOOSE RATING</t>
        </is>
      </c>
      <c r="DZ57" s="53" t="inlineStr">
        <is>
          <t>CHOOSE RATING</t>
        </is>
      </c>
      <c r="EA57" s="54" t="inlineStr">
        <is>
          <t>Add the Tutor's Comment . . .</t>
        </is>
      </c>
      <c r="EB57" s="55" t="inlineStr">
        <is>
          <t>Choose Principals comment</t>
        </is>
      </c>
      <c r="EC57" s="56" t="n"/>
      <c r="ED57" s="57" t="inlineStr">
        <is>
          <t>Next Term Begins on Monday, 15th September, 2025</t>
        </is>
      </c>
    </row>
    <row r="58" ht="30.6" customHeight="1" s="6">
      <c r="A58" s="18" t="n">
        <v>55</v>
      </c>
      <c r="B58" s="19" t="n"/>
      <c r="C58" s="20" t="n"/>
      <c r="D58" s="128" t="n"/>
      <c r="E58" s="21" t="n"/>
      <c r="F58" s="22" t="n"/>
      <c r="G58" s="22" t="n"/>
      <c r="H58" s="22" t="n"/>
      <c r="I58" s="26">
        <f>G58-H58</f>
        <v/>
      </c>
      <c r="J58" s="21" t="n"/>
      <c r="K58" s="21" t="n"/>
      <c r="L58" s="27">
        <f>SUM(J58:K58)</f>
        <v/>
      </c>
      <c r="M58" s="28" t="n"/>
      <c r="N58" s="28" t="n"/>
      <c r="O58" s="29">
        <f>IF(AND(L58=0,M58=0,N58=0),0,IF(AND(L58=0,M58=0),N58/1,IF(AND(L58=0,N58=0),M58/1,IF(AND(M58=0,N58=0),L58/1,IF(L58=0,FLOOR((M58+N58)/2,0.1),IF(M58=0,(L58+N58)/2,IF(N58=0,(M58+L58)/2,FLOOR(((L58+M58+N58)/3),0.1))))))))</f>
        <v/>
      </c>
      <c r="P58" s="21" t="n"/>
      <c r="Q58" s="21" t="n"/>
      <c r="R58" s="27">
        <f>SUM(P58:Q58)</f>
        <v/>
      </c>
      <c r="S58" s="28" t="n"/>
      <c r="T58" s="28" t="n"/>
      <c r="U58" s="29">
        <f>IF(AND(R58=0,S58=0,T58=0),0,IF(AND(R58=0,S58=0),T58/1,IF(AND(R58=0,T58=0),S58/1,IF(AND(S58=0,T58=0),R58/1,IF(R58=0,FLOOR((S58+T58)/2,0.1),IF(S58=0,(R58+T58)/2,IF(T58=0,(S58+R58)/2,FLOOR(((R58+S58+T58)/3),0.1))))))))</f>
        <v/>
      </c>
      <c r="V58" s="21" t="n"/>
      <c r="W58" s="21" t="n"/>
      <c r="X58" s="27">
        <f>SUM(V58:W58)</f>
        <v/>
      </c>
      <c r="Y58" s="28" t="n"/>
      <c r="Z58" s="28" t="n"/>
      <c r="AA58" s="29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1" t="n"/>
      <c r="AC58" s="21" t="n"/>
      <c r="AD58" s="27">
        <f>SUM(AB58:AC58)</f>
        <v/>
      </c>
      <c r="AE58" s="28" t="n"/>
      <c r="AF58" s="28" t="n"/>
      <c r="AG58" s="29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1" t="n"/>
      <c r="AI58" s="21" t="n"/>
      <c r="AJ58" s="27">
        <f>SUM(AH58:AI58)</f>
        <v/>
      </c>
      <c r="AK58" s="28" t="n"/>
      <c r="AL58" s="28" t="n"/>
      <c r="AM58" s="29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1" t="n"/>
      <c r="AO58" s="21" t="n"/>
      <c r="AP58" s="27">
        <f>SUM(AN58:AO58)</f>
        <v/>
      </c>
      <c r="AQ58" s="28" t="n"/>
      <c r="AR58" s="30" t="n"/>
      <c r="AS58" s="29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1" t="n"/>
      <c r="AU58" s="21" t="n"/>
      <c r="AV58" s="27">
        <f>SUM(AT58:AU58)</f>
        <v/>
      </c>
      <c r="AW58" s="28" t="n"/>
      <c r="AX58" s="30" t="n"/>
      <c r="AY58" s="29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1" t="n"/>
      <c r="BA58" s="21" t="n"/>
      <c r="BB58" s="27">
        <f>SUM(AZ58:BA58)</f>
        <v/>
      </c>
      <c r="BC58" s="28" t="n"/>
      <c r="BD58" s="28" t="n"/>
      <c r="BE58" s="29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1" t="n"/>
      <c r="BG58" s="21" t="n"/>
      <c r="BH58" s="27">
        <f>SUM(BF58:BG58)</f>
        <v/>
      </c>
      <c r="BI58" s="28" t="n"/>
      <c r="BJ58" s="28" t="n"/>
      <c r="BK58" s="29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1" t="n"/>
      <c r="BM58" s="21" t="n"/>
      <c r="BN58" s="27">
        <f>SUM(BL58:BM58)</f>
        <v/>
      </c>
      <c r="BO58" s="28" t="n"/>
      <c r="BP58" s="31" t="n"/>
      <c r="BQ58" s="29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1" t="n"/>
      <c r="BS58" s="21" t="n"/>
      <c r="BT58" s="27">
        <f>SUM(BR58:BS58)</f>
        <v/>
      </c>
      <c r="BU58" s="28" t="n"/>
      <c r="BV58" s="31" t="n"/>
      <c r="BW58" s="29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1" t="n"/>
      <c r="BY58" s="21" t="n"/>
      <c r="BZ58" s="27">
        <f>SUM(BX58:BY58)</f>
        <v/>
      </c>
      <c r="CA58" s="28" t="n"/>
      <c r="CB58" s="31" t="n"/>
      <c r="CC58" s="29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1" t="n"/>
      <c r="CE58" s="21" t="n"/>
      <c r="CF58" s="27">
        <f>SUM(CD58:CE58)</f>
        <v/>
      </c>
      <c r="CG58" s="28" t="n"/>
      <c r="CH58" s="31" t="n"/>
      <c r="CI58" s="29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1" t="n"/>
      <c r="CK58" s="21" t="n"/>
      <c r="CL58" s="27">
        <f>SUM(CJ58:CK58)</f>
        <v/>
      </c>
      <c r="CM58" s="28" t="n"/>
      <c r="CN58" s="31" t="n"/>
      <c r="CO58" s="29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1" t="n"/>
      <c r="CQ58" s="21" t="n"/>
      <c r="CR58" s="27">
        <f>SUM(CP58:CQ58)</f>
        <v/>
      </c>
      <c r="CS58" s="28" t="n"/>
      <c r="CT58" s="31" t="n"/>
      <c r="CU58" s="29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1" t="n"/>
      <c r="CW58" s="21" t="n"/>
      <c r="CX58" s="27">
        <f>SUM(CV58:CW58)</f>
        <v/>
      </c>
      <c r="CY58" s="28" t="n"/>
      <c r="CZ58" s="31" t="n"/>
      <c r="DA58" s="29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1" t="n"/>
      <c r="DC58" s="21" t="n"/>
      <c r="DD58" s="27">
        <f>SUM(DB58:DC58)</f>
        <v/>
      </c>
      <c r="DE58" s="28" t="n"/>
      <c r="DF58" s="31" t="n"/>
      <c r="DG58" s="29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34">
        <f>SUM(O58,U58,AA58,AG58,AM58,AS58,AY58,BE58,BK58,BQ58,BW58,CC58,CI58,CO58,CU58,DA58,DG58)</f>
        <v/>
      </c>
      <c r="DI58" s="39">
        <f>RANK(DH58,DH$4:DH$503)</f>
        <v/>
      </c>
      <c r="DJ58" s="40" t="inlineStr">
        <is>
          <t>CHOOSE RATING</t>
        </is>
      </c>
      <c r="DK58" s="40" t="inlineStr">
        <is>
          <t>CHOOSE RATING</t>
        </is>
      </c>
      <c r="DL58" s="40" t="inlineStr">
        <is>
          <t>CHOOSE RATING</t>
        </is>
      </c>
      <c r="DM58" s="40" t="inlineStr">
        <is>
          <t>CHOOSE RATING</t>
        </is>
      </c>
      <c r="DN58" s="40" t="inlineStr">
        <is>
          <t>CHOOSE RATING</t>
        </is>
      </c>
      <c r="DO58" s="40" t="inlineStr">
        <is>
          <t>CHOOSE RATING</t>
        </is>
      </c>
      <c r="DP58" s="40" t="inlineStr">
        <is>
          <t>CHOOSE RATING</t>
        </is>
      </c>
      <c r="DQ58" s="40" t="inlineStr">
        <is>
          <t>CHOOSE RATING</t>
        </is>
      </c>
      <c r="DR58" s="43" t="inlineStr">
        <is>
          <t>2024/2025</t>
        </is>
      </c>
      <c r="DS58" s="45" t="inlineStr">
        <is>
          <t>THIRD</t>
        </is>
      </c>
      <c r="DT58" s="40" t="inlineStr">
        <is>
          <t>CHOOSE RATING</t>
        </is>
      </c>
      <c r="DU58" s="40" t="inlineStr">
        <is>
          <t>CHOOSE RATING</t>
        </is>
      </c>
      <c r="DV58" s="40" t="inlineStr">
        <is>
          <t>CHOOSE RATING</t>
        </is>
      </c>
      <c r="DW58" s="40" t="inlineStr">
        <is>
          <t>CHOOSE RATING</t>
        </is>
      </c>
      <c r="DX58" s="40" t="inlineStr">
        <is>
          <t>CHOOSE RATING</t>
        </is>
      </c>
      <c r="DY58" s="40" t="inlineStr">
        <is>
          <t>CHOOSE RATING</t>
        </is>
      </c>
      <c r="DZ58" s="53" t="inlineStr">
        <is>
          <t>CHOOSE RATING</t>
        </is>
      </c>
      <c r="EA58" s="54" t="inlineStr">
        <is>
          <t>Add the Tutor's Comment . . .</t>
        </is>
      </c>
      <c r="EB58" s="55" t="inlineStr">
        <is>
          <t>Choose Principals comment</t>
        </is>
      </c>
      <c r="EC58" s="56" t="n"/>
      <c r="ED58" s="57" t="inlineStr">
        <is>
          <t>Next Term Begins on Monday, 15th September, 2025</t>
        </is>
      </c>
    </row>
    <row r="59" ht="30.6" customHeight="1" s="6">
      <c r="A59" s="18" t="n">
        <v>56</v>
      </c>
      <c r="B59" s="19" t="n"/>
      <c r="C59" s="20" t="n"/>
      <c r="D59" s="128" t="n"/>
      <c r="E59" s="21" t="n"/>
      <c r="F59" s="22" t="n"/>
      <c r="G59" s="22" t="n"/>
      <c r="H59" s="22" t="n"/>
      <c r="I59" s="26">
        <f>G59-H59</f>
        <v/>
      </c>
      <c r="J59" s="21" t="n"/>
      <c r="K59" s="21" t="n"/>
      <c r="L59" s="27">
        <f>SUM(J59:K59)</f>
        <v/>
      </c>
      <c r="M59" s="28" t="n"/>
      <c r="N59" s="28" t="n"/>
      <c r="O59" s="29">
        <f>IF(AND(L59=0,M59=0,N59=0),0,IF(AND(L59=0,M59=0),N59/1,IF(AND(L59=0,N59=0),M59/1,IF(AND(M59=0,N59=0),L59/1,IF(L59=0,FLOOR((M59+N59)/2,0.1),IF(M59=0,(L59+N59)/2,IF(N59=0,(M59+L59)/2,FLOOR(((L59+M59+N59)/3),0.1))))))))</f>
        <v/>
      </c>
      <c r="P59" s="21" t="n"/>
      <c r="Q59" s="21" t="n"/>
      <c r="R59" s="27">
        <f>SUM(P59:Q59)</f>
        <v/>
      </c>
      <c r="S59" s="28" t="n"/>
      <c r="T59" s="28" t="n"/>
      <c r="U59" s="29">
        <f>IF(AND(R59=0,S59=0,T59=0),0,IF(AND(R59=0,S59=0),T59/1,IF(AND(R59=0,T59=0),S59/1,IF(AND(S59=0,T59=0),R59/1,IF(R59=0,FLOOR((S59+T59)/2,0.1),IF(S59=0,(R59+T59)/2,IF(T59=0,(S59+R59)/2,FLOOR(((R59+S59+T59)/3),0.1))))))))</f>
        <v/>
      </c>
      <c r="V59" s="21" t="n"/>
      <c r="W59" s="21" t="n"/>
      <c r="X59" s="27">
        <f>SUM(V59:W59)</f>
        <v/>
      </c>
      <c r="Y59" s="28" t="n"/>
      <c r="Z59" s="28" t="n"/>
      <c r="AA59" s="29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1" t="n"/>
      <c r="AC59" s="21" t="n"/>
      <c r="AD59" s="27">
        <f>SUM(AB59:AC59)</f>
        <v/>
      </c>
      <c r="AE59" s="28" t="n"/>
      <c r="AF59" s="28" t="n"/>
      <c r="AG59" s="29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1" t="n"/>
      <c r="AI59" s="21" t="n"/>
      <c r="AJ59" s="27">
        <f>SUM(AH59:AI59)</f>
        <v/>
      </c>
      <c r="AK59" s="28" t="n"/>
      <c r="AL59" s="28" t="n"/>
      <c r="AM59" s="29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1" t="n"/>
      <c r="AO59" s="21" t="n"/>
      <c r="AP59" s="27">
        <f>SUM(AN59:AO59)</f>
        <v/>
      </c>
      <c r="AQ59" s="28" t="n"/>
      <c r="AR59" s="30" t="n"/>
      <c r="AS59" s="29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1" t="n"/>
      <c r="AU59" s="21" t="n"/>
      <c r="AV59" s="27">
        <f>SUM(AT59:AU59)</f>
        <v/>
      </c>
      <c r="AW59" s="28" t="n"/>
      <c r="AX59" s="30" t="n"/>
      <c r="AY59" s="29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1" t="n"/>
      <c r="BA59" s="21" t="n"/>
      <c r="BB59" s="27">
        <f>SUM(AZ59:BA59)</f>
        <v/>
      </c>
      <c r="BC59" s="28" t="n"/>
      <c r="BD59" s="28" t="n"/>
      <c r="BE59" s="29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1" t="n"/>
      <c r="BG59" s="21" t="n"/>
      <c r="BH59" s="27">
        <f>SUM(BF59:BG59)</f>
        <v/>
      </c>
      <c r="BI59" s="28" t="n"/>
      <c r="BJ59" s="28" t="n"/>
      <c r="BK59" s="29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1" t="n"/>
      <c r="BM59" s="21" t="n"/>
      <c r="BN59" s="27">
        <f>SUM(BL59:BM59)</f>
        <v/>
      </c>
      <c r="BO59" s="28" t="n"/>
      <c r="BP59" s="31" t="n"/>
      <c r="BQ59" s="29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1" t="n"/>
      <c r="BS59" s="21" t="n"/>
      <c r="BT59" s="27">
        <f>SUM(BR59:BS59)</f>
        <v/>
      </c>
      <c r="BU59" s="28" t="n"/>
      <c r="BV59" s="31" t="n"/>
      <c r="BW59" s="29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1" t="n"/>
      <c r="BY59" s="21" t="n"/>
      <c r="BZ59" s="27">
        <f>SUM(BX59:BY59)</f>
        <v/>
      </c>
      <c r="CA59" s="28" t="n"/>
      <c r="CB59" s="31" t="n"/>
      <c r="CC59" s="29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1" t="n"/>
      <c r="CE59" s="21" t="n"/>
      <c r="CF59" s="27">
        <f>SUM(CD59:CE59)</f>
        <v/>
      </c>
      <c r="CG59" s="28" t="n"/>
      <c r="CH59" s="31" t="n"/>
      <c r="CI59" s="29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1" t="n"/>
      <c r="CK59" s="21" t="n"/>
      <c r="CL59" s="27">
        <f>SUM(CJ59:CK59)</f>
        <v/>
      </c>
      <c r="CM59" s="28" t="n"/>
      <c r="CN59" s="31" t="n"/>
      <c r="CO59" s="29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1" t="n"/>
      <c r="CQ59" s="21" t="n"/>
      <c r="CR59" s="27">
        <f>SUM(CP59:CQ59)</f>
        <v/>
      </c>
      <c r="CS59" s="28" t="n"/>
      <c r="CT59" s="31" t="n"/>
      <c r="CU59" s="29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1" t="n"/>
      <c r="CW59" s="21" t="n"/>
      <c r="CX59" s="27">
        <f>SUM(CV59:CW59)</f>
        <v/>
      </c>
      <c r="CY59" s="28" t="n"/>
      <c r="CZ59" s="31" t="n"/>
      <c r="DA59" s="29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1" t="n"/>
      <c r="DC59" s="21" t="n"/>
      <c r="DD59" s="27">
        <f>SUM(DB59:DC59)</f>
        <v/>
      </c>
      <c r="DE59" s="28" t="n"/>
      <c r="DF59" s="31" t="n"/>
      <c r="DG59" s="29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34">
        <f>SUM(O59,U59,AA59,AG59,AM59,AS59,AY59,BE59,BK59,BQ59,BW59,CC59,CI59,CO59,CU59,DA59,DG59)</f>
        <v/>
      </c>
      <c r="DI59" s="39">
        <f>RANK(DH59,DH$4:DH$503)</f>
        <v/>
      </c>
      <c r="DJ59" s="40" t="inlineStr">
        <is>
          <t>CHOOSE RATING</t>
        </is>
      </c>
      <c r="DK59" s="40" t="inlineStr">
        <is>
          <t>CHOOSE RATING</t>
        </is>
      </c>
      <c r="DL59" s="40" t="inlineStr">
        <is>
          <t>CHOOSE RATING</t>
        </is>
      </c>
      <c r="DM59" s="40" t="inlineStr">
        <is>
          <t>CHOOSE RATING</t>
        </is>
      </c>
      <c r="DN59" s="40" t="inlineStr">
        <is>
          <t>CHOOSE RATING</t>
        </is>
      </c>
      <c r="DO59" s="40" t="inlineStr">
        <is>
          <t>CHOOSE RATING</t>
        </is>
      </c>
      <c r="DP59" s="40" t="inlineStr">
        <is>
          <t>CHOOSE RATING</t>
        </is>
      </c>
      <c r="DQ59" s="40" t="inlineStr">
        <is>
          <t>CHOOSE RATING</t>
        </is>
      </c>
      <c r="DR59" s="43" t="inlineStr">
        <is>
          <t>2024/2025</t>
        </is>
      </c>
      <c r="DS59" s="45" t="inlineStr">
        <is>
          <t>THIRD</t>
        </is>
      </c>
      <c r="DT59" s="40" t="inlineStr">
        <is>
          <t>CHOOSE RATING</t>
        </is>
      </c>
      <c r="DU59" s="40" t="inlineStr">
        <is>
          <t>CHOOSE RATING</t>
        </is>
      </c>
      <c r="DV59" s="40" t="inlineStr">
        <is>
          <t>CHOOSE RATING</t>
        </is>
      </c>
      <c r="DW59" s="40" t="inlineStr">
        <is>
          <t>CHOOSE RATING</t>
        </is>
      </c>
      <c r="DX59" s="40" t="inlineStr">
        <is>
          <t>CHOOSE RATING</t>
        </is>
      </c>
      <c r="DY59" s="40" t="inlineStr">
        <is>
          <t>CHOOSE RATING</t>
        </is>
      </c>
      <c r="DZ59" s="53" t="inlineStr">
        <is>
          <t>CHOOSE RATING</t>
        </is>
      </c>
      <c r="EA59" s="54" t="inlineStr">
        <is>
          <t>Add the Tutor's Comment . . .</t>
        </is>
      </c>
      <c r="EB59" s="55" t="inlineStr">
        <is>
          <t>Choose Principals comment</t>
        </is>
      </c>
      <c r="EC59" s="56" t="n"/>
      <c r="ED59" s="57" t="inlineStr">
        <is>
          <t>Next Term Begins on Monday, 15th September, 2025</t>
        </is>
      </c>
    </row>
    <row r="60" ht="30.6" customHeight="1" s="6">
      <c r="A60" s="18" t="n">
        <v>57</v>
      </c>
      <c r="B60" s="19" t="n"/>
      <c r="C60" s="20" t="n"/>
      <c r="D60" s="128" t="n"/>
      <c r="E60" s="21" t="n"/>
      <c r="F60" s="22" t="n"/>
      <c r="G60" s="22" t="n"/>
      <c r="H60" s="22" t="n"/>
      <c r="I60" s="26">
        <f>G60-H60</f>
        <v/>
      </c>
      <c r="J60" s="21" t="n"/>
      <c r="K60" s="21" t="n"/>
      <c r="L60" s="27">
        <f>SUM(J60:K60)</f>
        <v/>
      </c>
      <c r="M60" s="28" t="n"/>
      <c r="N60" s="28" t="n"/>
      <c r="O60" s="29">
        <f>IF(AND(L60=0,M60=0,N60=0),0,IF(AND(L60=0,M60=0),N60/1,IF(AND(L60=0,N60=0),M60/1,IF(AND(M60=0,N60=0),L60/1,IF(L60=0,FLOOR((M60+N60)/2,0.1),IF(M60=0,(L60+N60)/2,IF(N60=0,(M60+L60)/2,FLOOR(((L60+M60+N60)/3),0.1))))))))</f>
        <v/>
      </c>
      <c r="P60" s="21" t="n"/>
      <c r="Q60" s="21" t="n"/>
      <c r="R60" s="27">
        <f>SUM(P60:Q60)</f>
        <v/>
      </c>
      <c r="S60" s="28" t="n"/>
      <c r="T60" s="28" t="n"/>
      <c r="U60" s="29">
        <f>IF(AND(R60=0,S60=0,T60=0),0,IF(AND(R60=0,S60=0),T60/1,IF(AND(R60=0,T60=0),S60/1,IF(AND(S60=0,T60=0),R60/1,IF(R60=0,FLOOR((S60+T60)/2,0.1),IF(S60=0,(R60+T60)/2,IF(T60=0,(S60+R60)/2,FLOOR(((R60+S60+T60)/3),0.1))))))))</f>
        <v/>
      </c>
      <c r="V60" s="21" t="n"/>
      <c r="W60" s="21" t="n"/>
      <c r="X60" s="27">
        <f>SUM(V60:W60)</f>
        <v/>
      </c>
      <c r="Y60" s="28" t="n"/>
      <c r="Z60" s="28" t="n"/>
      <c r="AA60" s="29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1" t="n"/>
      <c r="AC60" s="21" t="n"/>
      <c r="AD60" s="27">
        <f>SUM(AB60:AC60)</f>
        <v/>
      </c>
      <c r="AE60" s="28" t="n"/>
      <c r="AF60" s="28" t="n"/>
      <c r="AG60" s="29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1" t="n"/>
      <c r="AI60" s="21" t="n"/>
      <c r="AJ60" s="27">
        <f>SUM(AH60:AI60)</f>
        <v/>
      </c>
      <c r="AK60" s="28" t="n"/>
      <c r="AL60" s="28" t="n"/>
      <c r="AM60" s="29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1" t="n"/>
      <c r="AO60" s="21" t="n"/>
      <c r="AP60" s="27">
        <f>SUM(AN60:AO60)</f>
        <v/>
      </c>
      <c r="AQ60" s="28" t="n"/>
      <c r="AR60" s="30" t="n"/>
      <c r="AS60" s="29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1" t="n"/>
      <c r="AU60" s="21" t="n"/>
      <c r="AV60" s="27">
        <f>SUM(AT60:AU60)</f>
        <v/>
      </c>
      <c r="AW60" s="28" t="n"/>
      <c r="AX60" s="30" t="n"/>
      <c r="AY60" s="29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1" t="n"/>
      <c r="BA60" s="21" t="n"/>
      <c r="BB60" s="27">
        <f>SUM(AZ60:BA60)</f>
        <v/>
      </c>
      <c r="BC60" s="28" t="n"/>
      <c r="BD60" s="28" t="n"/>
      <c r="BE60" s="29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1" t="n"/>
      <c r="BG60" s="21" t="n"/>
      <c r="BH60" s="27">
        <f>SUM(BF60:BG60)</f>
        <v/>
      </c>
      <c r="BI60" s="28" t="n"/>
      <c r="BJ60" s="28" t="n"/>
      <c r="BK60" s="29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1" t="n"/>
      <c r="BM60" s="21" t="n"/>
      <c r="BN60" s="27">
        <f>SUM(BL60:BM60)</f>
        <v/>
      </c>
      <c r="BO60" s="28" t="n"/>
      <c r="BP60" s="31" t="n"/>
      <c r="BQ60" s="29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1" t="n"/>
      <c r="BS60" s="21" t="n"/>
      <c r="BT60" s="27">
        <f>SUM(BR60:BS60)</f>
        <v/>
      </c>
      <c r="BU60" s="28" t="n"/>
      <c r="BV60" s="31" t="n"/>
      <c r="BW60" s="29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1" t="n"/>
      <c r="BY60" s="21" t="n"/>
      <c r="BZ60" s="27">
        <f>SUM(BX60:BY60)</f>
        <v/>
      </c>
      <c r="CA60" s="28" t="n"/>
      <c r="CB60" s="31" t="n"/>
      <c r="CC60" s="29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1" t="n"/>
      <c r="CE60" s="21" t="n"/>
      <c r="CF60" s="27">
        <f>SUM(CD60:CE60)</f>
        <v/>
      </c>
      <c r="CG60" s="28" t="n"/>
      <c r="CH60" s="31" t="n"/>
      <c r="CI60" s="29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1" t="n"/>
      <c r="CK60" s="21" t="n"/>
      <c r="CL60" s="27">
        <f>SUM(CJ60:CK60)</f>
        <v/>
      </c>
      <c r="CM60" s="28" t="n"/>
      <c r="CN60" s="31" t="n"/>
      <c r="CO60" s="29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1" t="n"/>
      <c r="CQ60" s="21" t="n"/>
      <c r="CR60" s="27">
        <f>SUM(CP60:CQ60)</f>
        <v/>
      </c>
      <c r="CS60" s="28" t="n"/>
      <c r="CT60" s="31" t="n"/>
      <c r="CU60" s="29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1" t="n"/>
      <c r="CW60" s="21" t="n"/>
      <c r="CX60" s="27">
        <f>SUM(CV60:CW60)</f>
        <v/>
      </c>
      <c r="CY60" s="28" t="n"/>
      <c r="CZ60" s="31" t="n"/>
      <c r="DA60" s="29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1" t="n"/>
      <c r="DC60" s="21" t="n"/>
      <c r="DD60" s="27">
        <f>SUM(DB60:DC60)</f>
        <v/>
      </c>
      <c r="DE60" s="28" t="n"/>
      <c r="DF60" s="31" t="n"/>
      <c r="DG60" s="29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34">
        <f>SUM(O60,U60,AA60,AG60,AM60,AS60,AY60,BE60,BK60,BQ60,BW60,CC60,CI60,CO60,CU60,DA60,DG60)</f>
        <v/>
      </c>
      <c r="DI60" s="39">
        <f>RANK(DH60,DH$4:DH$503)</f>
        <v/>
      </c>
      <c r="DJ60" s="40" t="inlineStr">
        <is>
          <t>CHOOSE RATING</t>
        </is>
      </c>
      <c r="DK60" s="40" t="inlineStr">
        <is>
          <t>CHOOSE RATING</t>
        </is>
      </c>
      <c r="DL60" s="40" t="inlineStr">
        <is>
          <t>CHOOSE RATING</t>
        </is>
      </c>
      <c r="DM60" s="40" t="inlineStr">
        <is>
          <t>CHOOSE RATING</t>
        </is>
      </c>
      <c r="DN60" s="40" t="inlineStr">
        <is>
          <t>CHOOSE RATING</t>
        </is>
      </c>
      <c r="DO60" s="40" t="inlineStr">
        <is>
          <t>CHOOSE RATING</t>
        </is>
      </c>
      <c r="DP60" s="40" t="inlineStr">
        <is>
          <t>CHOOSE RATING</t>
        </is>
      </c>
      <c r="DQ60" s="40" t="inlineStr">
        <is>
          <t>CHOOSE RATING</t>
        </is>
      </c>
      <c r="DR60" s="43" t="inlineStr">
        <is>
          <t>2024/2025</t>
        </is>
      </c>
      <c r="DS60" s="45" t="inlineStr">
        <is>
          <t>THIRD</t>
        </is>
      </c>
      <c r="DT60" s="40" t="inlineStr">
        <is>
          <t>CHOOSE RATING</t>
        </is>
      </c>
      <c r="DU60" s="40" t="inlineStr">
        <is>
          <t>CHOOSE RATING</t>
        </is>
      </c>
      <c r="DV60" s="40" t="inlineStr">
        <is>
          <t>CHOOSE RATING</t>
        </is>
      </c>
      <c r="DW60" s="40" t="inlineStr">
        <is>
          <t>CHOOSE RATING</t>
        </is>
      </c>
      <c r="DX60" s="40" t="inlineStr">
        <is>
          <t>CHOOSE RATING</t>
        </is>
      </c>
      <c r="DY60" s="40" t="inlineStr">
        <is>
          <t>CHOOSE RATING</t>
        </is>
      </c>
      <c r="DZ60" s="53" t="inlineStr">
        <is>
          <t>CHOOSE RATING</t>
        </is>
      </c>
      <c r="EA60" s="54" t="inlineStr">
        <is>
          <t>Add the Tutor's Comment . . .</t>
        </is>
      </c>
      <c r="EB60" s="55" t="inlineStr">
        <is>
          <t>Choose Principals comment</t>
        </is>
      </c>
      <c r="EC60" s="56" t="n"/>
      <c r="ED60" s="57" t="inlineStr">
        <is>
          <t>Next Term Begins on Monday, 15th September, 2025</t>
        </is>
      </c>
    </row>
    <row r="61" ht="30.6" customHeight="1" s="6">
      <c r="A61" s="18" t="n">
        <v>58</v>
      </c>
      <c r="B61" s="19" t="n"/>
      <c r="C61" s="20" t="n"/>
      <c r="D61" s="128" t="n"/>
      <c r="E61" s="21" t="n"/>
      <c r="F61" s="22" t="n"/>
      <c r="G61" s="22" t="n"/>
      <c r="H61" s="22" t="n"/>
      <c r="I61" s="26">
        <f>G61-H61</f>
        <v/>
      </c>
      <c r="J61" s="21" t="n"/>
      <c r="K61" s="21" t="n"/>
      <c r="L61" s="27">
        <f>SUM(J61:K61)</f>
        <v/>
      </c>
      <c r="M61" s="28" t="n"/>
      <c r="N61" s="28" t="n"/>
      <c r="O61" s="29">
        <f>IF(AND(L61=0,M61=0,N61=0),0,IF(AND(L61=0,M61=0),N61/1,IF(AND(L61=0,N61=0),M61/1,IF(AND(M61=0,N61=0),L61/1,IF(L61=0,FLOOR((M61+N61)/2,0.1),IF(M61=0,(L61+N61)/2,IF(N61=0,(M61+L61)/2,FLOOR(((L61+M61+N61)/3),0.1))))))))</f>
        <v/>
      </c>
      <c r="P61" s="21" t="n"/>
      <c r="Q61" s="21" t="n"/>
      <c r="R61" s="27">
        <f>SUM(P61:Q61)</f>
        <v/>
      </c>
      <c r="S61" s="28" t="n"/>
      <c r="T61" s="28" t="n"/>
      <c r="U61" s="29">
        <f>IF(AND(R61=0,S61=0,T61=0),0,IF(AND(R61=0,S61=0),T61/1,IF(AND(R61=0,T61=0),S61/1,IF(AND(S61=0,T61=0),R61/1,IF(R61=0,FLOOR((S61+T61)/2,0.1),IF(S61=0,(R61+T61)/2,IF(T61=0,(S61+R61)/2,FLOOR(((R61+S61+T61)/3),0.1))))))))</f>
        <v/>
      </c>
      <c r="V61" s="21" t="n"/>
      <c r="W61" s="21" t="n"/>
      <c r="X61" s="27">
        <f>SUM(V61:W61)</f>
        <v/>
      </c>
      <c r="Y61" s="28" t="n"/>
      <c r="Z61" s="28" t="n"/>
      <c r="AA61" s="29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1" t="n"/>
      <c r="AC61" s="21" t="n"/>
      <c r="AD61" s="27">
        <f>SUM(AB61:AC61)</f>
        <v/>
      </c>
      <c r="AE61" s="28" t="n"/>
      <c r="AF61" s="28" t="n"/>
      <c r="AG61" s="29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1" t="n"/>
      <c r="AI61" s="21" t="n"/>
      <c r="AJ61" s="27">
        <f>SUM(AH61:AI61)</f>
        <v/>
      </c>
      <c r="AK61" s="28" t="n"/>
      <c r="AL61" s="28" t="n"/>
      <c r="AM61" s="29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1" t="n"/>
      <c r="AO61" s="21" t="n"/>
      <c r="AP61" s="27">
        <f>SUM(AN61:AO61)</f>
        <v/>
      </c>
      <c r="AQ61" s="28" t="n"/>
      <c r="AR61" s="30" t="n"/>
      <c r="AS61" s="29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1" t="n"/>
      <c r="AU61" s="21" t="n"/>
      <c r="AV61" s="27">
        <f>SUM(AT61:AU61)</f>
        <v/>
      </c>
      <c r="AW61" s="28" t="n"/>
      <c r="AX61" s="30" t="n"/>
      <c r="AY61" s="29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1" t="n"/>
      <c r="BA61" s="21" t="n"/>
      <c r="BB61" s="27">
        <f>SUM(AZ61:BA61)</f>
        <v/>
      </c>
      <c r="BC61" s="28" t="n"/>
      <c r="BD61" s="28" t="n"/>
      <c r="BE61" s="29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1" t="n"/>
      <c r="BG61" s="21" t="n"/>
      <c r="BH61" s="27">
        <f>SUM(BF61:BG61)</f>
        <v/>
      </c>
      <c r="BI61" s="28" t="n"/>
      <c r="BJ61" s="28" t="n"/>
      <c r="BK61" s="29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1" t="n"/>
      <c r="BM61" s="21" t="n"/>
      <c r="BN61" s="27">
        <f>SUM(BL61:BM61)</f>
        <v/>
      </c>
      <c r="BO61" s="28" t="n"/>
      <c r="BP61" s="31" t="n"/>
      <c r="BQ61" s="29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1" t="n"/>
      <c r="BS61" s="21" t="n"/>
      <c r="BT61" s="27">
        <f>SUM(BR61:BS61)</f>
        <v/>
      </c>
      <c r="BU61" s="28" t="n"/>
      <c r="BV61" s="31" t="n"/>
      <c r="BW61" s="29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1" t="n"/>
      <c r="BY61" s="21" t="n"/>
      <c r="BZ61" s="27">
        <f>SUM(BX61:BY61)</f>
        <v/>
      </c>
      <c r="CA61" s="28" t="n"/>
      <c r="CB61" s="31" t="n"/>
      <c r="CC61" s="29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1" t="n"/>
      <c r="CE61" s="21" t="n"/>
      <c r="CF61" s="27">
        <f>SUM(CD61:CE61)</f>
        <v/>
      </c>
      <c r="CG61" s="28" t="n"/>
      <c r="CH61" s="31" t="n"/>
      <c r="CI61" s="29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1" t="n"/>
      <c r="CK61" s="21" t="n"/>
      <c r="CL61" s="27">
        <f>SUM(CJ61:CK61)</f>
        <v/>
      </c>
      <c r="CM61" s="28" t="n"/>
      <c r="CN61" s="31" t="n"/>
      <c r="CO61" s="29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1" t="n"/>
      <c r="CQ61" s="21" t="n"/>
      <c r="CR61" s="27">
        <f>SUM(CP61:CQ61)</f>
        <v/>
      </c>
      <c r="CS61" s="28" t="n"/>
      <c r="CT61" s="31" t="n"/>
      <c r="CU61" s="29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1" t="n"/>
      <c r="CW61" s="21" t="n"/>
      <c r="CX61" s="27">
        <f>SUM(CV61:CW61)</f>
        <v/>
      </c>
      <c r="CY61" s="28" t="n"/>
      <c r="CZ61" s="31" t="n"/>
      <c r="DA61" s="29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1" t="n"/>
      <c r="DC61" s="21" t="n"/>
      <c r="DD61" s="27">
        <f>SUM(DB61:DC61)</f>
        <v/>
      </c>
      <c r="DE61" s="28" t="n"/>
      <c r="DF61" s="31" t="n"/>
      <c r="DG61" s="29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34">
        <f>SUM(O61,U61,AA61,AG61,AM61,AS61,AY61,BE61,BK61,BQ61,BW61,CC61,CI61,CO61,CU61,DA61,DG61)</f>
        <v/>
      </c>
      <c r="DI61" s="39">
        <f>RANK(DH61,DH$4:DH$503)</f>
        <v/>
      </c>
      <c r="DJ61" s="40" t="inlineStr">
        <is>
          <t>CHOOSE RATING</t>
        </is>
      </c>
      <c r="DK61" s="40" t="inlineStr">
        <is>
          <t>CHOOSE RATING</t>
        </is>
      </c>
      <c r="DL61" s="40" t="inlineStr">
        <is>
          <t>CHOOSE RATING</t>
        </is>
      </c>
      <c r="DM61" s="40" t="inlineStr">
        <is>
          <t>CHOOSE RATING</t>
        </is>
      </c>
      <c r="DN61" s="40" t="inlineStr">
        <is>
          <t>CHOOSE RATING</t>
        </is>
      </c>
      <c r="DO61" s="40" t="inlineStr">
        <is>
          <t>CHOOSE RATING</t>
        </is>
      </c>
      <c r="DP61" s="40" t="inlineStr">
        <is>
          <t>CHOOSE RATING</t>
        </is>
      </c>
      <c r="DQ61" s="40" t="inlineStr">
        <is>
          <t>CHOOSE RATING</t>
        </is>
      </c>
      <c r="DR61" s="43" t="inlineStr">
        <is>
          <t>2024/2025</t>
        </is>
      </c>
      <c r="DS61" s="45" t="inlineStr">
        <is>
          <t>THIRD</t>
        </is>
      </c>
      <c r="DT61" s="40" t="inlineStr">
        <is>
          <t>CHOOSE RATING</t>
        </is>
      </c>
      <c r="DU61" s="40" t="inlineStr">
        <is>
          <t>CHOOSE RATING</t>
        </is>
      </c>
      <c r="DV61" s="40" t="inlineStr">
        <is>
          <t>CHOOSE RATING</t>
        </is>
      </c>
      <c r="DW61" s="40" t="inlineStr">
        <is>
          <t>CHOOSE RATING</t>
        </is>
      </c>
      <c r="DX61" s="40" t="inlineStr">
        <is>
          <t>CHOOSE RATING</t>
        </is>
      </c>
      <c r="DY61" s="40" t="inlineStr">
        <is>
          <t>CHOOSE RATING</t>
        </is>
      </c>
      <c r="DZ61" s="53" t="inlineStr">
        <is>
          <t>CHOOSE RATING</t>
        </is>
      </c>
      <c r="EA61" s="54" t="inlineStr">
        <is>
          <t>Add the Tutor's Comment . . .</t>
        </is>
      </c>
      <c r="EB61" s="55" t="inlineStr">
        <is>
          <t>Choose Principals comment</t>
        </is>
      </c>
      <c r="EC61" s="56" t="n"/>
      <c r="ED61" s="57" t="inlineStr">
        <is>
          <t>Next Term Begins on Monday, 22nd September, 2025</t>
        </is>
      </c>
    </row>
    <row r="62" ht="30.6" customHeight="1" s="6">
      <c r="A62" s="18" t="n">
        <v>59</v>
      </c>
      <c r="B62" s="19" t="n"/>
      <c r="C62" s="20" t="n"/>
      <c r="D62" s="128" t="n"/>
      <c r="E62" s="21" t="n"/>
      <c r="F62" s="22" t="n"/>
      <c r="G62" s="22" t="n"/>
      <c r="H62" s="22" t="n"/>
      <c r="I62" s="26">
        <f>G62-H62</f>
        <v/>
      </c>
      <c r="J62" s="21" t="n"/>
      <c r="K62" s="21" t="n"/>
      <c r="L62" s="27">
        <f>SUM(J62:K62)</f>
        <v/>
      </c>
      <c r="M62" s="28" t="n"/>
      <c r="N62" s="28" t="n"/>
      <c r="O62" s="29">
        <f>IF(AND(L62=0,M62=0,N62=0),0,IF(AND(L62=0,M62=0),N62/1,IF(AND(L62=0,N62=0),M62/1,IF(AND(M62=0,N62=0),L62/1,IF(L62=0,FLOOR((M62+N62)/2,0.1),IF(M62=0,(L62+N62)/2,IF(N62=0,(M62+L62)/2,FLOOR(((L62+M62+N62)/3),0.1))))))))</f>
        <v/>
      </c>
      <c r="P62" s="21" t="n"/>
      <c r="Q62" s="21" t="n"/>
      <c r="R62" s="27">
        <f>SUM(P62:Q62)</f>
        <v/>
      </c>
      <c r="S62" s="28" t="n"/>
      <c r="T62" s="28" t="n"/>
      <c r="U62" s="29">
        <f>IF(AND(R62=0,S62=0,T62=0),0,IF(AND(R62=0,S62=0),T62/1,IF(AND(R62=0,T62=0),S62/1,IF(AND(S62=0,T62=0),R62/1,IF(R62=0,FLOOR((S62+T62)/2,0.1),IF(S62=0,(R62+T62)/2,IF(T62=0,(S62+R62)/2,FLOOR(((R62+S62+T62)/3),0.1))))))))</f>
        <v/>
      </c>
      <c r="V62" s="21" t="n"/>
      <c r="W62" s="21" t="n"/>
      <c r="X62" s="27">
        <f>SUM(V62:W62)</f>
        <v/>
      </c>
      <c r="Y62" s="28" t="n"/>
      <c r="Z62" s="28" t="n"/>
      <c r="AA62" s="29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1" t="n"/>
      <c r="AC62" s="21" t="n"/>
      <c r="AD62" s="27">
        <f>SUM(AB62:AC62)</f>
        <v/>
      </c>
      <c r="AE62" s="28" t="n"/>
      <c r="AF62" s="28" t="n"/>
      <c r="AG62" s="29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1" t="n"/>
      <c r="AI62" s="21" t="n"/>
      <c r="AJ62" s="27">
        <f>SUM(AH62:AI62)</f>
        <v/>
      </c>
      <c r="AK62" s="28" t="n"/>
      <c r="AL62" s="28" t="n"/>
      <c r="AM62" s="29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1" t="n"/>
      <c r="AO62" s="21" t="n"/>
      <c r="AP62" s="27">
        <f>SUM(AN62:AO62)</f>
        <v/>
      </c>
      <c r="AQ62" s="28" t="n"/>
      <c r="AR62" s="30" t="n"/>
      <c r="AS62" s="29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1" t="n"/>
      <c r="AU62" s="21" t="n"/>
      <c r="AV62" s="27">
        <f>SUM(AT62:AU62)</f>
        <v/>
      </c>
      <c r="AW62" s="28" t="n"/>
      <c r="AX62" s="30" t="n"/>
      <c r="AY62" s="29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1" t="n"/>
      <c r="BA62" s="21" t="n"/>
      <c r="BB62" s="27">
        <f>SUM(AZ62:BA62)</f>
        <v/>
      </c>
      <c r="BC62" s="28" t="n"/>
      <c r="BD62" s="28" t="n"/>
      <c r="BE62" s="29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1" t="n"/>
      <c r="BG62" s="21" t="n"/>
      <c r="BH62" s="27">
        <f>SUM(BF62:BG62)</f>
        <v/>
      </c>
      <c r="BI62" s="28" t="n"/>
      <c r="BJ62" s="28" t="n"/>
      <c r="BK62" s="29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1" t="n"/>
      <c r="BM62" s="21" t="n"/>
      <c r="BN62" s="27">
        <f>SUM(BL62:BM62)</f>
        <v/>
      </c>
      <c r="BO62" s="28" t="n"/>
      <c r="BP62" s="31" t="n"/>
      <c r="BQ62" s="29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1" t="n"/>
      <c r="BS62" s="21" t="n"/>
      <c r="BT62" s="27">
        <f>SUM(BR62:BS62)</f>
        <v/>
      </c>
      <c r="BU62" s="28" t="n"/>
      <c r="BV62" s="31" t="n"/>
      <c r="BW62" s="29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1" t="n"/>
      <c r="BY62" s="21" t="n"/>
      <c r="BZ62" s="27">
        <f>SUM(BX62:BY62)</f>
        <v/>
      </c>
      <c r="CA62" s="28" t="n"/>
      <c r="CB62" s="31" t="n"/>
      <c r="CC62" s="29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1" t="n"/>
      <c r="CE62" s="21" t="n"/>
      <c r="CF62" s="27">
        <f>SUM(CD62:CE62)</f>
        <v/>
      </c>
      <c r="CG62" s="28" t="n"/>
      <c r="CH62" s="31" t="n"/>
      <c r="CI62" s="29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1" t="n"/>
      <c r="CK62" s="21" t="n"/>
      <c r="CL62" s="27">
        <f>SUM(CJ62:CK62)</f>
        <v/>
      </c>
      <c r="CM62" s="28" t="n"/>
      <c r="CN62" s="31" t="n"/>
      <c r="CO62" s="29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1" t="n"/>
      <c r="CQ62" s="21" t="n"/>
      <c r="CR62" s="27">
        <f>SUM(CP62:CQ62)</f>
        <v/>
      </c>
      <c r="CS62" s="28" t="n"/>
      <c r="CT62" s="31" t="n"/>
      <c r="CU62" s="29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1" t="n"/>
      <c r="CW62" s="21" t="n"/>
      <c r="CX62" s="27">
        <f>SUM(CV62:CW62)</f>
        <v/>
      </c>
      <c r="CY62" s="28" t="n"/>
      <c r="CZ62" s="31" t="n"/>
      <c r="DA62" s="29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1" t="n"/>
      <c r="DC62" s="21" t="n"/>
      <c r="DD62" s="27">
        <f>SUM(DB62:DC62)</f>
        <v/>
      </c>
      <c r="DE62" s="28" t="n"/>
      <c r="DF62" s="31" t="n"/>
      <c r="DG62" s="29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34">
        <f>SUM(O62,U62,AA62,AG62,AM62,AS62,AY62,BE62,BK62,BQ62,BW62,CC62,CI62,CO62,CU62,DA62,DG62)</f>
        <v/>
      </c>
      <c r="DI62" s="39">
        <f>RANK(DH62,DH$4:DH$503)</f>
        <v/>
      </c>
      <c r="DJ62" s="40" t="inlineStr">
        <is>
          <t>CHOOSE RATING</t>
        </is>
      </c>
      <c r="DK62" s="40" t="inlineStr">
        <is>
          <t>CHOOSE RATING</t>
        </is>
      </c>
      <c r="DL62" s="40" t="inlineStr">
        <is>
          <t>CHOOSE RATING</t>
        </is>
      </c>
      <c r="DM62" s="40" t="inlineStr">
        <is>
          <t>CHOOSE RATING</t>
        </is>
      </c>
      <c r="DN62" s="40" t="inlineStr">
        <is>
          <t>CHOOSE RATING</t>
        </is>
      </c>
      <c r="DO62" s="40" t="inlineStr">
        <is>
          <t>CHOOSE RATING</t>
        </is>
      </c>
      <c r="DP62" s="40" t="inlineStr">
        <is>
          <t>CHOOSE RATING</t>
        </is>
      </c>
      <c r="DQ62" s="40" t="inlineStr">
        <is>
          <t>CHOOSE RATING</t>
        </is>
      </c>
      <c r="DR62" s="43" t="inlineStr">
        <is>
          <t>2024/2025</t>
        </is>
      </c>
      <c r="DS62" s="45" t="inlineStr">
        <is>
          <t>THIRD</t>
        </is>
      </c>
      <c r="DT62" s="40" t="inlineStr">
        <is>
          <t>CHOOSE RATING</t>
        </is>
      </c>
      <c r="DU62" s="40" t="inlineStr">
        <is>
          <t>CHOOSE RATING</t>
        </is>
      </c>
      <c r="DV62" s="40" t="inlineStr">
        <is>
          <t>CHOOSE RATING</t>
        </is>
      </c>
      <c r="DW62" s="40" t="inlineStr">
        <is>
          <t>CHOOSE RATING</t>
        </is>
      </c>
      <c r="DX62" s="40" t="inlineStr">
        <is>
          <t>CHOOSE RATING</t>
        </is>
      </c>
      <c r="DY62" s="40" t="inlineStr">
        <is>
          <t>CHOOSE RATING</t>
        </is>
      </c>
      <c r="DZ62" s="53" t="inlineStr">
        <is>
          <t>CHOOSE RATING</t>
        </is>
      </c>
      <c r="EA62" s="54" t="inlineStr">
        <is>
          <t>Add the Tutor's Comment . . .</t>
        </is>
      </c>
      <c r="EB62" s="55" t="inlineStr">
        <is>
          <t>Choose Principals comment</t>
        </is>
      </c>
      <c r="EC62" s="56" t="n"/>
      <c r="ED62" s="57" t="inlineStr">
        <is>
          <t>Next Term Begins on Monday, 22nd September, 2025</t>
        </is>
      </c>
    </row>
    <row r="63" ht="30.6" customHeight="1" s="6">
      <c r="A63" s="18" t="n">
        <v>60</v>
      </c>
      <c r="B63" s="19" t="n"/>
      <c r="C63" s="20" t="n"/>
      <c r="D63" s="128" t="n"/>
      <c r="E63" s="21" t="n"/>
      <c r="F63" s="22" t="n"/>
      <c r="G63" s="22" t="n"/>
      <c r="H63" s="22" t="n"/>
      <c r="I63" s="26">
        <f>G63-H63</f>
        <v/>
      </c>
      <c r="J63" s="21" t="n"/>
      <c r="K63" s="21" t="n"/>
      <c r="L63" s="27">
        <f>SUM(J63:K63)</f>
        <v/>
      </c>
      <c r="M63" s="28" t="n"/>
      <c r="N63" s="28" t="n"/>
      <c r="O63" s="29">
        <f>IF(AND(L63=0,M63=0,N63=0),0,IF(AND(L63=0,M63=0),N63/1,IF(AND(L63=0,N63=0),M63/1,IF(AND(M63=0,N63=0),L63/1,IF(L63=0,FLOOR((M63+N63)/2,0.1),IF(M63=0,(L63+N63)/2,IF(N63=0,(M63+L63)/2,FLOOR(((L63+M63+N63)/3),0.1))))))))</f>
        <v/>
      </c>
      <c r="P63" s="21" t="n"/>
      <c r="Q63" s="21" t="n"/>
      <c r="R63" s="27">
        <f>SUM(P63:Q63)</f>
        <v/>
      </c>
      <c r="S63" s="28" t="n"/>
      <c r="T63" s="28" t="n"/>
      <c r="U63" s="29">
        <f>IF(AND(R63=0,S63=0,T63=0),0,IF(AND(R63=0,S63=0),T63/1,IF(AND(R63=0,T63=0),S63/1,IF(AND(S63=0,T63=0),R63/1,IF(R63=0,FLOOR((S63+T63)/2,0.1),IF(S63=0,(R63+T63)/2,IF(T63=0,(S63+R63)/2,FLOOR(((R63+S63+T63)/3),0.1))))))))</f>
        <v/>
      </c>
      <c r="V63" s="21" t="n"/>
      <c r="W63" s="21" t="n"/>
      <c r="X63" s="27">
        <f>SUM(V63:W63)</f>
        <v/>
      </c>
      <c r="Y63" s="28" t="n"/>
      <c r="Z63" s="28" t="n"/>
      <c r="AA63" s="29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1" t="n"/>
      <c r="AC63" s="21" t="n"/>
      <c r="AD63" s="27">
        <f>SUM(AB63:AC63)</f>
        <v/>
      </c>
      <c r="AE63" s="28" t="n"/>
      <c r="AF63" s="28" t="n"/>
      <c r="AG63" s="29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1" t="n"/>
      <c r="AI63" s="21" t="n"/>
      <c r="AJ63" s="27">
        <f>SUM(AH63:AI63)</f>
        <v/>
      </c>
      <c r="AK63" s="28" t="n"/>
      <c r="AL63" s="28" t="n"/>
      <c r="AM63" s="29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1" t="n"/>
      <c r="AO63" s="21" t="n"/>
      <c r="AP63" s="27">
        <f>SUM(AN63:AO63)</f>
        <v/>
      </c>
      <c r="AQ63" s="28" t="n"/>
      <c r="AR63" s="30" t="n"/>
      <c r="AS63" s="29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1" t="n"/>
      <c r="AU63" s="21" t="n"/>
      <c r="AV63" s="27">
        <f>SUM(AT63:AU63)</f>
        <v/>
      </c>
      <c r="AW63" s="28" t="n"/>
      <c r="AX63" s="30" t="n"/>
      <c r="AY63" s="29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1" t="n"/>
      <c r="BA63" s="21" t="n"/>
      <c r="BB63" s="27">
        <f>SUM(AZ63:BA63)</f>
        <v/>
      </c>
      <c r="BC63" s="28" t="n"/>
      <c r="BD63" s="28" t="n"/>
      <c r="BE63" s="29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1" t="n"/>
      <c r="BG63" s="21" t="n"/>
      <c r="BH63" s="27">
        <f>SUM(BF63:BG63)</f>
        <v/>
      </c>
      <c r="BI63" s="28" t="n"/>
      <c r="BJ63" s="28" t="n"/>
      <c r="BK63" s="29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1" t="n"/>
      <c r="BM63" s="21" t="n"/>
      <c r="BN63" s="27">
        <f>SUM(BL63:BM63)</f>
        <v/>
      </c>
      <c r="BO63" s="28" t="n"/>
      <c r="BP63" s="31" t="n"/>
      <c r="BQ63" s="29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1" t="n"/>
      <c r="BS63" s="21" t="n"/>
      <c r="BT63" s="27">
        <f>SUM(BR63:BS63)</f>
        <v/>
      </c>
      <c r="BU63" s="28" t="n"/>
      <c r="BV63" s="31" t="n"/>
      <c r="BW63" s="29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1" t="n"/>
      <c r="BY63" s="21" t="n"/>
      <c r="BZ63" s="27">
        <f>SUM(BX63:BY63)</f>
        <v/>
      </c>
      <c r="CA63" s="28" t="n"/>
      <c r="CB63" s="31" t="n"/>
      <c r="CC63" s="29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1" t="n"/>
      <c r="CE63" s="21" t="n"/>
      <c r="CF63" s="27">
        <f>SUM(CD63:CE63)</f>
        <v/>
      </c>
      <c r="CG63" s="28" t="n"/>
      <c r="CH63" s="31" t="n"/>
      <c r="CI63" s="29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1" t="n"/>
      <c r="CK63" s="21" t="n"/>
      <c r="CL63" s="27">
        <f>SUM(CJ63:CK63)</f>
        <v/>
      </c>
      <c r="CM63" s="28" t="n"/>
      <c r="CN63" s="31" t="n"/>
      <c r="CO63" s="29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1" t="n"/>
      <c r="CQ63" s="21" t="n"/>
      <c r="CR63" s="27">
        <f>SUM(CP63:CQ63)</f>
        <v/>
      </c>
      <c r="CS63" s="28" t="n"/>
      <c r="CT63" s="31" t="n"/>
      <c r="CU63" s="29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1" t="n"/>
      <c r="CW63" s="21" t="n"/>
      <c r="CX63" s="27">
        <f>SUM(CV63:CW63)</f>
        <v/>
      </c>
      <c r="CY63" s="28" t="n"/>
      <c r="CZ63" s="31" t="n"/>
      <c r="DA63" s="29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1" t="n"/>
      <c r="DC63" s="21" t="n"/>
      <c r="DD63" s="27">
        <f>SUM(DB63:DC63)</f>
        <v/>
      </c>
      <c r="DE63" s="28" t="n"/>
      <c r="DF63" s="31" t="n"/>
      <c r="DG63" s="29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34">
        <f>SUM(O63,U63,AA63,AG63,AM63,AS63,AY63,BE63,BK63,BQ63,BW63,CC63,CI63,CO63,CU63,DA63,DG63)</f>
        <v/>
      </c>
      <c r="DI63" s="39">
        <f>RANK(DH63,DH$4:DH$503)</f>
        <v/>
      </c>
      <c r="DJ63" s="40" t="inlineStr">
        <is>
          <t>CHOOSE RATING</t>
        </is>
      </c>
      <c r="DK63" s="40" t="inlineStr">
        <is>
          <t>CHOOSE RATING</t>
        </is>
      </c>
      <c r="DL63" s="40" t="inlineStr">
        <is>
          <t>CHOOSE RATING</t>
        </is>
      </c>
      <c r="DM63" s="40" t="inlineStr">
        <is>
          <t>CHOOSE RATING</t>
        </is>
      </c>
      <c r="DN63" s="40" t="inlineStr">
        <is>
          <t>CHOOSE RATING</t>
        </is>
      </c>
      <c r="DO63" s="40" t="inlineStr">
        <is>
          <t>CHOOSE RATING</t>
        </is>
      </c>
      <c r="DP63" s="40" t="inlineStr">
        <is>
          <t>CHOOSE RATING</t>
        </is>
      </c>
      <c r="DQ63" s="40" t="inlineStr">
        <is>
          <t>CHOOSE RATING</t>
        </is>
      </c>
      <c r="DR63" s="43" t="inlineStr">
        <is>
          <t>2024/2025</t>
        </is>
      </c>
      <c r="DS63" s="45" t="inlineStr">
        <is>
          <t>THIRD</t>
        </is>
      </c>
      <c r="DT63" s="40" t="inlineStr">
        <is>
          <t>CHOOSE RATING</t>
        </is>
      </c>
      <c r="DU63" s="40" t="inlineStr">
        <is>
          <t>CHOOSE RATING</t>
        </is>
      </c>
      <c r="DV63" s="40" t="inlineStr">
        <is>
          <t>CHOOSE RATING</t>
        </is>
      </c>
      <c r="DW63" s="40" t="inlineStr">
        <is>
          <t>CHOOSE RATING</t>
        </is>
      </c>
      <c r="DX63" s="40" t="inlineStr">
        <is>
          <t>CHOOSE RATING</t>
        </is>
      </c>
      <c r="DY63" s="40" t="inlineStr">
        <is>
          <t>CHOOSE RATING</t>
        </is>
      </c>
      <c r="DZ63" s="53" t="inlineStr">
        <is>
          <t>CHOOSE RATING</t>
        </is>
      </c>
      <c r="EA63" s="54" t="inlineStr">
        <is>
          <t>Add the Tutor's Comment . . .</t>
        </is>
      </c>
      <c r="EB63" s="55" t="inlineStr">
        <is>
          <t>Choose Principals comment</t>
        </is>
      </c>
      <c r="EC63" s="56" t="n"/>
      <c r="ED63" s="57" t="inlineStr">
        <is>
          <t>Next Term Begins on Monday, 22nd September, 2025</t>
        </is>
      </c>
    </row>
    <row r="64" ht="30.6" customHeight="1" s="6">
      <c r="A64" s="18" t="n">
        <v>61</v>
      </c>
      <c r="B64" s="19" t="n"/>
      <c r="C64" s="20" t="n"/>
      <c r="D64" s="128" t="n"/>
      <c r="E64" s="21" t="n"/>
      <c r="F64" s="22" t="n"/>
      <c r="G64" s="22" t="n"/>
      <c r="H64" s="22" t="n"/>
      <c r="I64" s="26">
        <f>G64-H64</f>
        <v/>
      </c>
      <c r="J64" s="21" t="n"/>
      <c r="K64" s="21" t="n"/>
      <c r="L64" s="27">
        <f>SUM(J64:K64)</f>
        <v/>
      </c>
      <c r="M64" s="28" t="n"/>
      <c r="N64" s="28" t="n"/>
      <c r="O64" s="29">
        <f>IF(AND(L64=0,M64=0,N64=0),0,IF(AND(L64=0,M64=0),N64/1,IF(AND(L64=0,N64=0),M64/1,IF(AND(M64=0,N64=0),L64/1,IF(L64=0,FLOOR((M64+N64)/2,0.1),IF(M64=0,(L64+N64)/2,IF(N64=0,(M64+L64)/2,FLOOR(((L64+M64+N64)/3),0.1))))))))</f>
        <v/>
      </c>
      <c r="P64" s="21" t="n"/>
      <c r="Q64" s="21" t="n"/>
      <c r="R64" s="27">
        <f>SUM(P64:Q64)</f>
        <v/>
      </c>
      <c r="S64" s="28" t="n"/>
      <c r="T64" s="28" t="n"/>
      <c r="U64" s="29">
        <f>IF(AND(R64=0,S64=0,T64=0),0,IF(AND(R64=0,S64=0),T64/1,IF(AND(R64=0,T64=0),S64/1,IF(AND(S64=0,T64=0),R64/1,IF(R64=0,FLOOR((S64+T64)/2,0.1),IF(S64=0,(R64+T64)/2,IF(T64=0,(S64+R64)/2,FLOOR(((R64+S64+T64)/3),0.1))))))))</f>
        <v/>
      </c>
      <c r="V64" s="21" t="n"/>
      <c r="W64" s="21" t="n"/>
      <c r="X64" s="27">
        <f>SUM(V64:W64)</f>
        <v/>
      </c>
      <c r="Y64" s="28" t="n"/>
      <c r="Z64" s="28" t="n"/>
      <c r="AA64" s="29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1" t="n"/>
      <c r="AC64" s="21" t="n"/>
      <c r="AD64" s="27">
        <f>SUM(AB64:AC64)</f>
        <v/>
      </c>
      <c r="AE64" s="28" t="n"/>
      <c r="AF64" s="28" t="n"/>
      <c r="AG64" s="29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1" t="n"/>
      <c r="AI64" s="21" t="n"/>
      <c r="AJ64" s="27">
        <f>SUM(AH64:AI64)</f>
        <v/>
      </c>
      <c r="AK64" s="28" t="n"/>
      <c r="AL64" s="28" t="n"/>
      <c r="AM64" s="29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1" t="n"/>
      <c r="AO64" s="21" t="n"/>
      <c r="AP64" s="27">
        <f>SUM(AN64:AO64)</f>
        <v/>
      </c>
      <c r="AQ64" s="28" t="n"/>
      <c r="AR64" s="30" t="n"/>
      <c r="AS64" s="29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1" t="n"/>
      <c r="AU64" s="21" t="n"/>
      <c r="AV64" s="27">
        <f>SUM(AT64:AU64)</f>
        <v/>
      </c>
      <c r="AW64" s="28" t="n"/>
      <c r="AX64" s="30" t="n"/>
      <c r="AY64" s="29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1" t="n"/>
      <c r="BA64" s="21" t="n"/>
      <c r="BB64" s="27">
        <f>SUM(AZ64:BA64)</f>
        <v/>
      </c>
      <c r="BC64" s="28" t="n"/>
      <c r="BD64" s="28" t="n"/>
      <c r="BE64" s="29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1" t="n"/>
      <c r="BG64" s="21" t="n"/>
      <c r="BH64" s="27">
        <f>SUM(BF64:BG64)</f>
        <v/>
      </c>
      <c r="BI64" s="28" t="n"/>
      <c r="BJ64" s="28" t="n"/>
      <c r="BK64" s="29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1" t="n"/>
      <c r="BM64" s="21" t="n"/>
      <c r="BN64" s="27">
        <f>SUM(BL64:BM64)</f>
        <v/>
      </c>
      <c r="BO64" s="28" t="n"/>
      <c r="BP64" s="31" t="n"/>
      <c r="BQ64" s="29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1" t="n"/>
      <c r="BS64" s="21" t="n"/>
      <c r="BT64" s="27">
        <f>SUM(BR64:BS64)</f>
        <v/>
      </c>
      <c r="BU64" s="28" t="n"/>
      <c r="BV64" s="31" t="n"/>
      <c r="BW64" s="29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1" t="n"/>
      <c r="BY64" s="21" t="n"/>
      <c r="BZ64" s="27">
        <f>SUM(BX64:BY64)</f>
        <v/>
      </c>
      <c r="CA64" s="28" t="n"/>
      <c r="CB64" s="31" t="n"/>
      <c r="CC64" s="29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1" t="n"/>
      <c r="CE64" s="21" t="n"/>
      <c r="CF64" s="27">
        <f>SUM(CD64:CE64)</f>
        <v/>
      </c>
      <c r="CG64" s="28" t="n"/>
      <c r="CH64" s="31" t="n"/>
      <c r="CI64" s="29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1" t="n"/>
      <c r="CK64" s="21" t="n"/>
      <c r="CL64" s="27">
        <f>SUM(CJ64:CK64)</f>
        <v/>
      </c>
      <c r="CM64" s="28" t="n"/>
      <c r="CN64" s="31" t="n"/>
      <c r="CO64" s="29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1" t="n"/>
      <c r="CQ64" s="21" t="n"/>
      <c r="CR64" s="27">
        <f>SUM(CP64:CQ64)</f>
        <v/>
      </c>
      <c r="CS64" s="28" t="n"/>
      <c r="CT64" s="31" t="n"/>
      <c r="CU64" s="29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1" t="n"/>
      <c r="CW64" s="21" t="n"/>
      <c r="CX64" s="27">
        <f>SUM(CV64:CW64)</f>
        <v/>
      </c>
      <c r="CY64" s="28" t="n"/>
      <c r="CZ64" s="31" t="n"/>
      <c r="DA64" s="29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1" t="n"/>
      <c r="DC64" s="21" t="n"/>
      <c r="DD64" s="27">
        <f>SUM(DB64:DC64)</f>
        <v/>
      </c>
      <c r="DE64" s="28" t="n"/>
      <c r="DF64" s="31" t="n"/>
      <c r="DG64" s="29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34">
        <f>SUM(O64,U64,AA64,AG64,AM64,AS64,AY64,BE64,BK64,BQ64,BW64,CC64,CI64,CO64,CU64,DA64,DG64)</f>
        <v/>
      </c>
      <c r="DI64" s="39">
        <f>RANK(DH64,DH$4:DH$503)</f>
        <v/>
      </c>
      <c r="DJ64" s="40" t="inlineStr">
        <is>
          <t>CHOOSE RATING</t>
        </is>
      </c>
      <c r="DK64" s="40" t="inlineStr">
        <is>
          <t>CHOOSE RATING</t>
        </is>
      </c>
      <c r="DL64" s="40" t="inlineStr">
        <is>
          <t>CHOOSE RATING</t>
        </is>
      </c>
      <c r="DM64" s="40" t="inlineStr">
        <is>
          <t>CHOOSE RATING</t>
        </is>
      </c>
      <c r="DN64" s="40" t="inlineStr">
        <is>
          <t>CHOOSE RATING</t>
        </is>
      </c>
      <c r="DO64" s="40" t="inlineStr">
        <is>
          <t>CHOOSE RATING</t>
        </is>
      </c>
      <c r="DP64" s="40" t="inlineStr">
        <is>
          <t>CHOOSE RATING</t>
        </is>
      </c>
      <c r="DQ64" s="40" t="inlineStr">
        <is>
          <t>CHOOSE RATING</t>
        </is>
      </c>
      <c r="DR64" s="43" t="inlineStr">
        <is>
          <t>2024/2025</t>
        </is>
      </c>
      <c r="DS64" s="45" t="inlineStr">
        <is>
          <t>THIRD</t>
        </is>
      </c>
      <c r="DT64" s="40" t="inlineStr">
        <is>
          <t>CHOOSE RATING</t>
        </is>
      </c>
      <c r="DU64" s="40" t="inlineStr">
        <is>
          <t>CHOOSE RATING</t>
        </is>
      </c>
      <c r="DV64" s="40" t="inlineStr">
        <is>
          <t>CHOOSE RATING</t>
        </is>
      </c>
      <c r="DW64" s="40" t="inlineStr">
        <is>
          <t>CHOOSE RATING</t>
        </is>
      </c>
      <c r="DX64" s="40" t="inlineStr">
        <is>
          <t>CHOOSE RATING</t>
        </is>
      </c>
      <c r="DY64" s="40" t="inlineStr">
        <is>
          <t>CHOOSE RATING</t>
        </is>
      </c>
      <c r="DZ64" s="53" t="inlineStr">
        <is>
          <t>CHOOSE RATING</t>
        </is>
      </c>
      <c r="EA64" s="54" t="inlineStr">
        <is>
          <t>Add the Tutor's Comment . . .</t>
        </is>
      </c>
      <c r="EB64" s="55" t="inlineStr">
        <is>
          <t>Choose Principals comment</t>
        </is>
      </c>
      <c r="EC64" s="56" t="n"/>
      <c r="ED64" s="57" t="inlineStr">
        <is>
          <t>Next Term Begins on Monday, 22nd September, 2025</t>
        </is>
      </c>
    </row>
    <row r="65" ht="30.6" customHeight="1" s="6">
      <c r="A65" s="18" t="n">
        <v>62</v>
      </c>
      <c r="B65" s="19" t="n"/>
      <c r="C65" s="20" t="n"/>
      <c r="D65" s="128" t="n"/>
      <c r="E65" s="21" t="n"/>
      <c r="F65" s="22" t="n"/>
      <c r="G65" s="22" t="n"/>
      <c r="H65" s="22" t="n"/>
      <c r="I65" s="26">
        <f>G65-H65</f>
        <v/>
      </c>
      <c r="J65" s="21" t="n"/>
      <c r="K65" s="21" t="n"/>
      <c r="L65" s="27">
        <f>SUM(J65:K65)</f>
        <v/>
      </c>
      <c r="M65" s="28" t="n"/>
      <c r="N65" s="28" t="n"/>
      <c r="O65" s="29">
        <f>IF(AND(L65=0,M65=0,N65=0),0,IF(AND(L65=0,M65=0),N65/1,IF(AND(L65=0,N65=0),M65/1,IF(AND(M65=0,N65=0),L65/1,IF(L65=0,FLOOR((M65+N65)/2,0.1),IF(M65=0,(L65+N65)/2,IF(N65=0,(M65+L65)/2,FLOOR(((L65+M65+N65)/3),0.1))))))))</f>
        <v/>
      </c>
      <c r="P65" s="21" t="n"/>
      <c r="Q65" s="21" t="n"/>
      <c r="R65" s="27">
        <f>SUM(P65:Q65)</f>
        <v/>
      </c>
      <c r="S65" s="28" t="n"/>
      <c r="T65" s="28" t="n"/>
      <c r="U65" s="29">
        <f>IF(AND(R65=0,S65=0,T65=0),0,IF(AND(R65=0,S65=0),T65/1,IF(AND(R65=0,T65=0),S65/1,IF(AND(S65=0,T65=0),R65/1,IF(R65=0,FLOOR((S65+T65)/2,0.1),IF(S65=0,(R65+T65)/2,IF(T65=0,(S65+R65)/2,FLOOR(((R65+S65+T65)/3),0.1))))))))</f>
        <v/>
      </c>
      <c r="V65" s="21" t="n"/>
      <c r="W65" s="21" t="n"/>
      <c r="X65" s="27">
        <f>SUM(V65:W65)</f>
        <v/>
      </c>
      <c r="Y65" s="28" t="n"/>
      <c r="Z65" s="28" t="n"/>
      <c r="AA65" s="29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1" t="n"/>
      <c r="AC65" s="21" t="n"/>
      <c r="AD65" s="27">
        <f>SUM(AB65:AC65)</f>
        <v/>
      </c>
      <c r="AE65" s="28" t="n"/>
      <c r="AF65" s="28" t="n"/>
      <c r="AG65" s="29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1" t="n"/>
      <c r="AI65" s="21" t="n"/>
      <c r="AJ65" s="27">
        <f>SUM(AH65:AI65)</f>
        <v/>
      </c>
      <c r="AK65" s="28" t="n"/>
      <c r="AL65" s="28" t="n"/>
      <c r="AM65" s="29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1" t="n"/>
      <c r="AO65" s="21" t="n"/>
      <c r="AP65" s="27">
        <f>SUM(AN65:AO65)</f>
        <v/>
      </c>
      <c r="AQ65" s="28" t="n"/>
      <c r="AR65" s="30" t="n"/>
      <c r="AS65" s="29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1" t="n"/>
      <c r="AU65" s="21" t="n"/>
      <c r="AV65" s="27">
        <f>SUM(AT65:AU65)</f>
        <v/>
      </c>
      <c r="AW65" s="28" t="n"/>
      <c r="AX65" s="30" t="n"/>
      <c r="AY65" s="29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1" t="n"/>
      <c r="BA65" s="21" t="n"/>
      <c r="BB65" s="27">
        <f>SUM(AZ65:BA65)</f>
        <v/>
      </c>
      <c r="BC65" s="28" t="n"/>
      <c r="BD65" s="28" t="n"/>
      <c r="BE65" s="29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1" t="n"/>
      <c r="BG65" s="21" t="n"/>
      <c r="BH65" s="27">
        <f>SUM(BF65:BG65)</f>
        <v/>
      </c>
      <c r="BI65" s="28" t="n"/>
      <c r="BJ65" s="28" t="n"/>
      <c r="BK65" s="29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1" t="n"/>
      <c r="BM65" s="21" t="n"/>
      <c r="BN65" s="27">
        <f>SUM(BL65:BM65)</f>
        <v/>
      </c>
      <c r="BO65" s="28" t="n"/>
      <c r="BP65" s="31" t="n"/>
      <c r="BQ65" s="29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1" t="n"/>
      <c r="BS65" s="21" t="n"/>
      <c r="BT65" s="27">
        <f>SUM(BR65:BS65)</f>
        <v/>
      </c>
      <c r="BU65" s="28" t="n"/>
      <c r="BV65" s="31" t="n"/>
      <c r="BW65" s="29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1" t="n"/>
      <c r="BY65" s="21" t="n"/>
      <c r="BZ65" s="27">
        <f>SUM(BX65:BY65)</f>
        <v/>
      </c>
      <c r="CA65" s="28" t="n"/>
      <c r="CB65" s="31" t="n"/>
      <c r="CC65" s="29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1" t="n"/>
      <c r="CE65" s="21" t="n"/>
      <c r="CF65" s="27">
        <f>SUM(CD65:CE65)</f>
        <v/>
      </c>
      <c r="CG65" s="28" t="n"/>
      <c r="CH65" s="31" t="n"/>
      <c r="CI65" s="29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1" t="n"/>
      <c r="CK65" s="21" t="n"/>
      <c r="CL65" s="27">
        <f>SUM(CJ65:CK65)</f>
        <v/>
      </c>
      <c r="CM65" s="28" t="n"/>
      <c r="CN65" s="31" t="n"/>
      <c r="CO65" s="29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1" t="n"/>
      <c r="CQ65" s="21" t="n"/>
      <c r="CR65" s="27">
        <f>SUM(CP65:CQ65)</f>
        <v/>
      </c>
      <c r="CS65" s="28" t="n"/>
      <c r="CT65" s="31" t="n"/>
      <c r="CU65" s="29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1" t="n"/>
      <c r="CW65" s="21" t="n"/>
      <c r="CX65" s="27">
        <f>SUM(CV65:CW65)</f>
        <v/>
      </c>
      <c r="CY65" s="28" t="n"/>
      <c r="CZ65" s="31" t="n"/>
      <c r="DA65" s="29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1" t="n"/>
      <c r="DC65" s="21" t="n"/>
      <c r="DD65" s="27">
        <f>SUM(DB65:DC65)</f>
        <v/>
      </c>
      <c r="DE65" s="28" t="n"/>
      <c r="DF65" s="31" t="n"/>
      <c r="DG65" s="29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34">
        <f>SUM(O65,U65,AA65,AG65,AM65,AS65,AY65,BE65,BK65,BQ65,BW65,CC65,CI65,CO65,CU65,DA65,DG65)</f>
        <v/>
      </c>
      <c r="DI65" s="39">
        <f>RANK(DH65,DH$4:DH$503)</f>
        <v/>
      </c>
      <c r="DJ65" s="40" t="inlineStr">
        <is>
          <t>CHOOSE RATING</t>
        </is>
      </c>
      <c r="DK65" s="40" t="inlineStr">
        <is>
          <t>CHOOSE RATING</t>
        </is>
      </c>
      <c r="DL65" s="40" t="inlineStr">
        <is>
          <t>CHOOSE RATING</t>
        </is>
      </c>
      <c r="DM65" s="40" t="inlineStr">
        <is>
          <t>CHOOSE RATING</t>
        </is>
      </c>
      <c r="DN65" s="40" t="inlineStr">
        <is>
          <t>CHOOSE RATING</t>
        </is>
      </c>
      <c r="DO65" s="40" t="inlineStr">
        <is>
          <t>CHOOSE RATING</t>
        </is>
      </c>
      <c r="DP65" s="40" t="inlineStr">
        <is>
          <t>CHOOSE RATING</t>
        </is>
      </c>
      <c r="DQ65" s="40" t="inlineStr">
        <is>
          <t>CHOOSE RATING</t>
        </is>
      </c>
      <c r="DR65" s="43" t="inlineStr">
        <is>
          <t>2024/2025</t>
        </is>
      </c>
      <c r="DS65" s="45" t="inlineStr">
        <is>
          <t>THIRD</t>
        </is>
      </c>
      <c r="DT65" s="40" t="inlineStr">
        <is>
          <t>CHOOSE RATING</t>
        </is>
      </c>
      <c r="DU65" s="40" t="inlineStr">
        <is>
          <t>CHOOSE RATING</t>
        </is>
      </c>
      <c r="DV65" s="40" t="inlineStr">
        <is>
          <t>CHOOSE RATING</t>
        </is>
      </c>
      <c r="DW65" s="40" t="inlineStr">
        <is>
          <t>CHOOSE RATING</t>
        </is>
      </c>
      <c r="DX65" s="40" t="inlineStr">
        <is>
          <t>CHOOSE RATING</t>
        </is>
      </c>
      <c r="DY65" s="40" t="inlineStr">
        <is>
          <t>CHOOSE RATING</t>
        </is>
      </c>
      <c r="DZ65" s="53" t="inlineStr">
        <is>
          <t>CHOOSE RATING</t>
        </is>
      </c>
      <c r="EA65" s="54" t="inlineStr">
        <is>
          <t>Add the Tutor's Comment . . .</t>
        </is>
      </c>
      <c r="EB65" s="55" t="inlineStr">
        <is>
          <t>Choose Principals comment</t>
        </is>
      </c>
      <c r="EC65" s="56" t="n"/>
      <c r="ED65" s="57" t="inlineStr">
        <is>
          <t>Next Term Begins on Monday, 22nd September, 2025</t>
        </is>
      </c>
    </row>
    <row r="66" ht="30.6" customHeight="1" s="6">
      <c r="A66" s="18" t="n">
        <v>63</v>
      </c>
      <c r="B66" s="19" t="n"/>
      <c r="C66" s="20" t="n"/>
      <c r="D66" s="128" t="n"/>
      <c r="E66" s="21" t="n"/>
      <c r="F66" s="22" t="n"/>
      <c r="G66" s="22" t="n"/>
      <c r="H66" s="22" t="n"/>
      <c r="I66" s="26">
        <f>G66-H66</f>
        <v/>
      </c>
      <c r="J66" s="21" t="n"/>
      <c r="K66" s="21" t="n"/>
      <c r="L66" s="27">
        <f>SUM(J66:K66)</f>
        <v/>
      </c>
      <c r="M66" s="28" t="n"/>
      <c r="N66" s="28" t="n"/>
      <c r="O66" s="29">
        <f>IF(AND(L66=0,M66=0,N66=0),0,IF(AND(L66=0,M66=0),N66/1,IF(AND(L66=0,N66=0),M66/1,IF(AND(M66=0,N66=0),L66/1,IF(L66=0,FLOOR((M66+N66)/2,0.1),IF(M66=0,(L66+N66)/2,IF(N66=0,(M66+L66)/2,FLOOR(((L66+M66+N66)/3),0.1))))))))</f>
        <v/>
      </c>
      <c r="P66" s="21" t="n"/>
      <c r="Q66" s="21" t="n"/>
      <c r="R66" s="27">
        <f>SUM(P66:Q66)</f>
        <v/>
      </c>
      <c r="S66" s="28" t="n"/>
      <c r="T66" s="28" t="n"/>
      <c r="U66" s="29">
        <f>IF(AND(R66=0,S66=0,T66=0),0,IF(AND(R66=0,S66=0),T66/1,IF(AND(R66=0,T66=0),S66/1,IF(AND(S66=0,T66=0),R66/1,IF(R66=0,FLOOR((S66+T66)/2,0.1),IF(S66=0,(R66+T66)/2,IF(T66=0,(S66+R66)/2,FLOOR(((R66+S66+T66)/3),0.1))))))))</f>
        <v/>
      </c>
      <c r="V66" s="21" t="n"/>
      <c r="W66" s="21" t="n"/>
      <c r="X66" s="27">
        <f>SUM(V66:W66)</f>
        <v/>
      </c>
      <c r="Y66" s="28" t="n"/>
      <c r="Z66" s="28" t="n"/>
      <c r="AA66" s="29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1" t="n"/>
      <c r="AC66" s="21" t="n"/>
      <c r="AD66" s="27">
        <f>SUM(AB66:AC66)</f>
        <v/>
      </c>
      <c r="AE66" s="28" t="n"/>
      <c r="AF66" s="28" t="n"/>
      <c r="AG66" s="29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1" t="n"/>
      <c r="AI66" s="21" t="n"/>
      <c r="AJ66" s="27">
        <f>SUM(AH66:AI66)</f>
        <v/>
      </c>
      <c r="AK66" s="28" t="n"/>
      <c r="AL66" s="28" t="n"/>
      <c r="AM66" s="29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1" t="n"/>
      <c r="AO66" s="21" t="n"/>
      <c r="AP66" s="27">
        <f>SUM(AN66:AO66)</f>
        <v/>
      </c>
      <c r="AQ66" s="28" t="n"/>
      <c r="AR66" s="30" t="n"/>
      <c r="AS66" s="29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1" t="n"/>
      <c r="AU66" s="21" t="n"/>
      <c r="AV66" s="27">
        <f>SUM(AT66:AU66)</f>
        <v/>
      </c>
      <c r="AW66" s="28" t="n"/>
      <c r="AX66" s="30" t="n"/>
      <c r="AY66" s="29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1" t="n"/>
      <c r="BA66" s="21" t="n"/>
      <c r="BB66" s="27">
        <f>SUM(AZ66:BA66)</f>
        <v/>
      </c>
      <c r="BC66" s="28" t="n"/>
      <c r="BD66" s="28" t="n"/>
      <c r="BE66" s="29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1" t="n"/>
      <c r="BG66" s="21" t="n"/>
      <c r="BH66" s="27">
        <f>SUM(BF66:BG66)</f>
        <v/>
      </c>
      <c r="BI66" s="28" t="n"/>
      <c r="BJ66" s="28" t="n"/>
      <c r="BK66" s="29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1" t="n"/>
      <c r="BM66" s="21" t="n"/>
      <c r="BN66" s="27">
        <f>SUM(BL66:BM66)</f>
        <v/>
      </c>
      <c r="BO66" s="28" t="n"/>
      <c r="BP66" s="31" t="n"/>
      <c r="BQ66" s="29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1" t="n"/>
      <c r="BS66" s="21" t="n"/>
      <c r="BT66" s="27">
        <f>SUM(BR66:BS66)</f>
        <v/>
      </c>
      <c r="BU66" s="28" t="n"/>
      <c r="BV66" s="31" t="n"/>
      <c r="BW66" s="29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1" t="n"/>
      <c r="BY66" s="21" t="n"/>
      <c r="BZ66" s="27">
        <f>SUM(BX66:BY66)</f>
        <v/>
      </c>
      <c r="CA66" s="28" t="n"/>
      <c r="CB66" s="31" t="n"/>
      <c r="CC66" s="29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1" t="n"/>
      <c r="CE66" s="21" t="n"/>
      <c r="CF66" s="27">
        <f>SUM(CD66:CE66)</f>
        <v/>
      </c>
      <c r="CG66" s="28" t="n"/>
      <c r="CH66" s="31" t="n"/>
      <c r="CI66" s="29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1" t="n"/>
      <c r="CK66" s="21" t="n"/>
      <c r="CL66" s="27">
        <f>SUM(CJ66:CK66)</f>
        <v/>
      </c>
      <c r="CM66" s="28" t="n"/>
      <c r="CN66" s="31" t="n"/>
      <c r="CO66" s="29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1" t="n"/>
      <c r="CQ66" s="21" t="n"/>
      <c r="CR66" s="27">
        <f>SUM(CP66:CQ66)</f>
        <v/>
      </c>
      <c r="CS66" s="28" t="n"/>
      <c r="CT66" s="31" t="n"/>
      <c r="CU66" s="29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1" t="n"/>
      <c r="CW66" s="21" t="n"/>
      <c r="CX66" s="27">
        <f>SUM(CV66:CW66)</f>
        <v/>
      </c>
      <c r="CY66" s="28" t="n"/>
      <c r="CZ66" s="31" t="n"/>
      <c r="DA66" s="29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1" t="n"/>
      <c r="DC66" s="21" t="n"/>
      <c r="DD66" s="27">
        <f>SUM(DB66:DC66)</f>
        <v/>
      </c>
      <c r="DE66" s="28" t="n"/>
      <c r="DF66" s="31" t="n"/>
      <c r="DG66" s="29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34">
        <f>SUM(O66,U66,AA66,AG66,AM66,AS66,AY66,BE66,BK66,BQ66,BW66,CC66,CI66,CO66,CU66,DA66,DG66)</f>
        <v/>
      </c>
      <c r="DI66" s="39">
        <f>RANK(DH66,DH$4:DH$503)</f>
        <v/>
      </c>
      <c r="DJ66" s="40" t="inlineStr">
        <is>
          <t>CHOOSE RATING</t>
        </is>
      </c>
      <c r="DK66" s="40" t="inlineStr">
        <is>
          <t>CHOOSE RATING</t>
        </is>
      </c>
      <c r="DL66" s="40" t="inlineStr">
        <is>
          <t>CHOOSE RATING</t>
        </is>
      </c>
      <c r="DM66" s="40" t="inlineStr">
        <is>
          <t>CHOOSE RATING</t>
        </is>
      </c>
      <c r="DN66" s="40" t="inlineStr">
        <is>
          <t>CHOOSE RATING</t>
        </is>
      </c>
      <c r="DO66" s="40" t="inlineStr">
        <is>
          <t>CHOOSE RATING</t>
        </is>
      </c>
      <c r="DP66" s="40" t="inlineStr">
        <is>
          <t>CHOOSE RATING</t>
        </is>
      </c>
      <c r="DQ66" s="40" t="inlineStr">
        <is>
          <t>CHOOSE RATING</t>
        </is>
      </c>
      <c r="DR66" s="43" t="inlineStr">
        <is>
          <t>2024/2025</t>
        </is>
      </c>
      <c r="DS66" s="45" t="inlineStr">
        <is>
          <t>THIRD</t>
        </is>
      </c>
      <c r="DT66" s="40" t="inlineStr">
        <is>
          <t>CHOOSE RATING</t>
        </is>
      </c>
      <c r="DU66" s="40" t="inlineStr">
        <is>
          <t>CHOOSE RATING</t>
        </is>
      </c>
      <c r="DV66" s="40" t="inlineStr">
        <is>
          <t>CHOOSE RATING</t>
        </is>
      </c>
      <c r="DW66" s="40" t="inlineStr">
        <is>
          <t>CHOOSE RATING</t>
        </is>
      </c>
      <c r="DX66" s="40" t="inlineStr">
        <is>
          <t>CHOOSE RATING</t>
        </is>
      </c>
      <c r="DY66" s="40" t="inlineStr">
        <is>
          <t>CHOOSE RATING</t>
        </is>
      </c>
      <c r="DZ66" s="53" t="inlineStr">
        <is>
          <t>CHOOSE RATING</t>
        </is>
      </c>
      <c r="EA66" s="54" t="inlineStr">
        <is>
          <t>Add the Tutor's Comment . . .</t>
        </is>
      </c>
      <c r="EB66" s="55" t="inlineStr">
        <is>
          <t>Choose Principals comment</t>
        </is>
      </c>
      <c r="EC66" s="56" t="n"/>
      <c r="ED66" s="57" t="inlineStr">
        <is>
          <t>Next Term Begins on Monday, 22nd September, 2025</t>
        </is>
      </c>
    </row>
    <row r="67" ht="30.6" customHeight="1" s="6">
      <c r="A67" s="18" t="n">
        <v>64</v>
      </c>
      <c r="B67" s="19" t="n"/>
      <c r="C67" s="20" t="n"/>
      <c r="D67" s="128" t="n"/>
      <c r="E67" s="21" t="n"/>
      <c r="F67" s="22" t="n"/>
      <c r="G67" s="22" t="n"/>
      <c r="H67" s="22" t="n"/>
      <c r="I67" s="26">
        <f>G67-H67</f>
        <v/>
      </c>
      <c r="J67" s="21" t="n"/>
      <c r="K67" s="21" t="n"/>
      <c r="L67" s="27">
        <f>SUM(J67:K67)</f>
        <v/>
      </c>
      <c r="M67" s="28" t="n"/>
      <c r="N67" s="28" t="n"/>
      <c r="O67" s="29">
        <f>IF(AND(L67=0,M67=0,N67=0),0,IF(AND(L67=0,M67=0),N67/1,IF(AND(L67=0,N67=0),M67/1,IF(AND(M67=0,N67=0),L67/1,IF(L67=0,FLOOR((M67+N67)/2,0.1),IF(M67=0,(L67+N67)/2,IF(N67=0,(M67+L67)/2,FLOOR(((L67+M67+N67)/3),0.1))))))))</f>
        <v/>
      </c>
      <c r="P67" s="21" t="n"/>
      <c r="Q67" s="21" t="n"/>
      <c r="R67" s="27">
        <f>SUM(P67:Q67)</f>
        <v/>
      </c>
      <c r="S67" s="28" t="n"/>
      <c r="T67" s="28" t="n"/>
      <c r="U67" s="29">
        <f>IF(AND(R67=0,S67=0,T67=0),0,IF(AND(R67=0,S67=0),T67/1,IF(AND(R67=0,T67=0),S67/1,IF(AND(S67=0,T67=0),R67/1,IF(R67=0,FLOOR((S67+T67)/2,0.1),IF(S67=0,(R67+T67)/2,IF(T67=0,(S67+R67)/2,FLOOR(((R67+S67+T67)/3),0.1))))))))</f>
        <v/>
      </c>
      <c r="V67" s="21" t="n"/>
      <c r="W67" s="21" t="n"/>
      <c r="X67" s="27">
        <f>SUM(V67:W67)</f>
        <v/>
      </c>
      <c r="Y67" s="28" t="n"/>
      <c r="Z67" s="28" t="n"/>
      <c r="AA67" s="29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1" t="n"/>
      <c r="AC67" s="21" t="n"/>
      <c r="AD67" s="27">
        <f>SUM(AB67:AC67)</f>
        <v/>
      </c>
      <c r="AE67" s="28" t="n"/>
      <c r="AF67" s="28" t="n"/>
      <c r="AG67" s="29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1" t="n"/>
      <c r="AI67" s="21" t="n"/>
      <c r="AJ67" s="27">
        <f>SUM(AH67:AI67)</f>
        <v/>
      </c>
      <c r="AK67" s="28" t="n"/>
      <c r="AL67" s="28" t="n"/>
      <c r="AM67" s="29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1" t="n"/>
      <c r="AO67" s="21" t="n"/>
      <c r="AP67" s="27">
        <f>SUM(AN67:AO67)</f>
        <v/>
      </c>
      <c r="AQ67" s="28" t="n"/>
      <c r="AR67" s="30" t="n"/>
      <c r="AS67" s="29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1" t="n"/>
      <c r="AU67" s="21" t="n"/>
      <c r="AV67" s="27">
        <f>SUM(AT67:AU67)</f>
        <v/>
      </c>
      <c r="AW67" s="28" t="n"/>
      <c r="AX67" s="30" t="n"/>
      <c r="AY67" s="29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1" t="n"/>
      <c r="BA67" s="21" t="n"/>
      <c r="BB67" s="27">
        <f>SUM(AZ67:BA67)</f>
        <v/>
      </c>
      <c r="BC67" s="28" t="n"/>
      <c r="BD67" s="28" t="n"/>
      <c r="BE67" s="29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1" t="n"/>
      <c r="BG67" s="21" t="n"/>
      <c r="BH67" s="27">
        <f>SUM(BF67:BG67)</f>
        <v/>
      </c>
      <c r="BI67" s="28" t="n"/>
      <c r="BJ67" s="28" t="n"/>
      <c r="BK67" s="29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1" t="n"/>
      <c r="BM67" s="21" t="n"/>
      <c r="BN67" s="27">
        <f>SUM(BL67:BM67)</f>
        <v/>
      </c>
      <c r="BO67" s="28" t="n"/>
      <c r="BP67" s="31" t="n"/>
      <c r="BQ67" s="29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1" t="n"/>
      <c r="BS67" s="21" t="n"/>
      <c r="BT67" s="27">
        <f>SUM(BR67:BS67)</f>
        <v/>
      </c>
      <c r="BU67" s="28" t="n"/>
      <c r="BV67" s="31" t="n"/>
      <c r="BW67" s="29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1" t="n"/>
      <c r="BY67" s="21" t="n"/>
      <c r="BZ67" s="27">
        <f>SUM(BX67:BY67)</f>
        <v/>
      </c>
      <c r="CA67" s="28" t="n"/>
      <c r="CB67" s="31" t="n"/>
      <c r="CC67" s="29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1" t="n"/>
      <c r="CE67" s="21" t="n"/>
      <c r="CF67" s="27">
        <f>SUM(CD67:CE67)</f>
        <v/>
      </c>
      <c r="CG67" s="28" t="n"/>
      <c r="CH67" s="31" t="n"/>
      <c r="CI67" s="29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1" t="n"/>
      <c r="CK67" s="21" t="n"/>
      <c r="CL67" s="27">
        <f>SUM(CJ67:CK67)</f>
        <v/>
      </c>
      <c r="CM67" s="28" t="n"/>
      <c r="CN67" s="31" t="n"/>
      <c r="CO67" s="29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1" t="n"/>
      <c r="CQ67" s="21" t="n"/>
      <c r="CR67" s="27">
        <f>SUM(CP67:CQ67)</f>
        <v/>
      </c>
      <c r="CS67" s="28" t="n"/>
      <c r="CT67" s="31" t="n"/>
      <c r="CU67" s="29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1" t="n"/>
      <c r="CW67" s="21" t="n"/>
      <c r="CX67" s="27">
        <f>SUM(CV67:CW67)</f>
        <v/>
      </c>
      <c r="CY67" s="28" t="n"/>
      <c r="CZ67" s="31" t="n"/>
      <c r="DA67" s="29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1" t="n"/>
      <c r="DC67" s="21" t="n"/>
      <c r="DD67" s="27">
        <f>SUM(DB67:DC67)</f>
        <v/>
      </c>
      <c r="DE67" s="28" t="n"/>
      <c r="DF67" s="31" t="n"/>
      <c r="DG67" s="29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34">
        <f>SUM(O67,U67,AA67,AG67,AM67,AS67,AY67,BE67,BK67,BQ67,BW67,CC67,CI67,CO67,CU67,DA67,DG67)</f>
        <v/>
      </c>
      <c r="DI67" s="39">
        <f>RANK(DH67,DH$4:DH$503)</f>
        <v/>
      </c>
      <c r="DJ67" s="40" t="inlineStr">
        <is>
          <t>CHOOSE RATING</t>
        </is>
      </c>
      <c r="DK67" s="40" t="inlineStr">
        <is>
          <t>CHOOSE RATING</t>
        </is>
      </c>
      <c r="DL67" s="40" t="inlineStr">
        <is>
          <t>CHOOSE RATING</t>
        </is>
      </c>
      <c r="DM67" s="40" t="inlineStr">
        <is>
          <t>CHOOSE RATING</t>
        </is>
      </c>
      <c r="DN67" s="40" t="inlineStr">
        <is>
          <t>CHOOSE RATING</t>
        </is>
      </c>
      <c r="DO67" s="40" t="inlineStr">
        <is>
          <t>CHOOSE RATING</t>
        </is>
      </c>
      <c r="DP67" s="40" t="inlineStr">
        <is>
          <t>CHOOSE RATING</t>
        </is>
      </c>
      <c r="DQ67" s="40" t="inlineStr">
        <is>
          <t>CHOOSE RATING</t>
        </is>
      </c>
      <c r="DR67" s="43" t="inlineStr">
        <is>
          <t>2024/2025</t>
        </is>
      </c>
      <c r="DS67" s="45" t="inlineStr">
        <is>
          <t>THIRD</t>
        </is>
      </c>
      <c r="DT67" s="40" t="inlineStr">
        <is>
          <t>CHOOSE RATING</t>
        </is>
      </c>
      <c r="DU67" s="40" t="inlineStr">
        <is>
          <t>CHOOSE RATING</t>
        </is>
      </c>
      <c r="DV67" s="40" t="inlineStr">
        <is>
          <t>CHOOSE RATING</t>
        </is>
      </c>
      <c r="DW67" s="40" t="inlineStr">
        <is>
          <t>CHOOSE RATING</t>
        </is>
      </c>
      <c r="DX67" s="40" t="inlineStr">
        <is>
          <t>CHOOSE RATING</t>
        </is>
      </c>
      <c r="DY67" s="40" t="inlineStr">
        <is>
          <t>CHOOSE RATING</t>
        </is>
      </c>
      <c r="DZ67" s="53" t="inlineStr">
        <is>
          <t>CHOOSE RATING</t>
        </is>
      </c>
      <c r="EA67" s="54" t="inlineStr">
        <is>
          <t>Add the Tutor's Comment . . .</t>
        </is>
      </c>
      <c r="EB67" s="55" t="inlineStr">
        <is>
          <t>Choose Principals comment</t>
        </is>
      </c>
      <c r="EC67" s="56" t="n"/>
      <c r="ED67" s="57" t="inlineStr">
        <is>
          <t>Next Term Begins on Monday, 22nd September, 2025</t>
        </is>
      </c>
    </row>
    <row r="68" ht="30.6" customHeight="1" s="6">
      <c r="A68" s="18" t="n">
        <v>65</v>
      </c>
      <c r="B68" s="19" t="n"/>
      <c r="C68" s="20" t="n"/>
      <c r="D68" s="128" t="n"/>
      <c r="E68" s="21" t="n"/>
      <c r="F68" s="22" t="n"/>
      <c r="G68" s="22" t="n"/>
      <c r="H68" s="22" t="n"/>
      <c r="I68" s="26">
        <f>G68-H68</f>
        <v/>
      </c>
      <c r="J68" s="21" t="n"/>
      <c r="K68" s="21" t="n"/>
      <c r="L68" s="27">
        <f>SUM(J68:K68)</f>
        <v/>
      </c>
      <c r="M68" s="28" t="n"/>
      <c r="N68" s="28" t="n"/>
      <c r="O68" s="29">
        <f>IF(AND(L68=0,M68=0,N68=0),0,IF(AND(L68=0,M68=0),N68/1,IF(AND(L68=0,N68=0),M68/1,IF(AND(M68=0,N68=0),L68/1,IF(L68=0,FLOOR((M68+N68)/2,0.1),IF(M68=0,(L68+N68)/2,IF(N68=0,(M68+L68)/2,FLOOR(((L68+M68+N68)/3),0.1))))))))</f>
        <v/>
      </c>
      <c r="P68" s="21" t="n"/>
      <c r="Q68" s="21" t="n"/>
      <c r="R68" s="27">
        <f>SUM(P68:Q68)</f>
        <v/>
      </c>
      <c r="S68" s="28" t="n"/>
      <c r="T68" s="28" t="n"/>
      <c r="U68" s="29">
        <f>IF(AND(R68=0,S68=0,T68=0),0,IF(AND(R68=0,S68=0),T68/1,IF(AND(R68=0,T68=0),S68/1,IF(AND(S68=0,T68=0),R68/1,IF(R68=0,FLOOR((S68+T68)/2,0.1),IF(S68=0,(R68+T68)/2,IF(T68=0,(S68+R68)/2,FLOOR(((R68+S68+T68)/3),0.1))))))))</f>
        <v/>
      </c>
      <c r="V68" s="21" t="n"/>
      <c r="W68" s="21" t="n"/>
      <c r="X68" s="27">
        <f>SUM(V68:W68)</f>
        <v/>
      </c>
      <c r="Y68" s="28" t="n"/>
      <c r="Z68" s="28" t="n"/>
      <c r="AA68" s="29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1" t="n"/>
      <c r="AC68" s="21" t="n"/>
      <c r="AD68" s="27">
        <f>SUM(AB68:AC68)</f>
        <v/>
      </c>
      <c r="AE68" s="28" t="n"/>
      <c r="AF68" s="28" t="n"/>
      <c r="AG68" s="29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1" t="n"/>
      <c r="AI68" s="21" t="n"/>
      <c r="AJ68" s="27">
        <f>SUM(AH68:AI68)</f>
        <v/>
      </c>
      <c r="AK68" s="28" t="n"/>
      <c r="AL68" s="28" t="n"/>
      <c r="AM68" s="29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1" t="n"/>
      <c r="AO68" s="21" t="n"/>
      <c r="AP68" s="27">
        <f>SUM(AN68:AO68)</f>
        <v/>
      </c>
      <c r="AQ68" s="28" t="n"/>
      <c r="AR68" s="30" t="n"/>
      <c r="AS68" s="29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1" t="n"/>
      <c r="AU68" s="21" t="n"/>
      <c r="AV68" s="27">
        <f>SUM(AT68:AU68)</f>
        <v/>
      </c>
      <c r="AW68" s="28" t="n"/>
      <c r="AX68" s="30" t="n"/>
      <c r="AY68" s="29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1" t="n"/>
      <c r="BA68" s="21" t="n"/>
      <c r="BB68" s="27">
        <f>SUM(AZ68:BA68)</f>
        <v/>
      </c>
      <c r="BC68" s="28" t="n"/>
      <c r="BD68" s="28" t="n"/>
      <c r="BE68" s="29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1" t="n"/>
      <c r="BG68" s="21" t="n"/>
      <c r="BH68" s="27">
        <f>SUM(BF68:BG68)</f>
        <v/>
      </c>
      <c r="BI68" s="28" t="n"/>
      <c r="BJ68" s="28" t="n"/>
      <c r="BK68" s="29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1" t="n"/>
      <c r="BM68" s="21" t="n"/>
      <c r="BN68" s="27">
        <f>SUM(BL68:BM68)</f>
        <v/>
      </c>
      <c r="BO68" s="28" t="n"/>
      <c r="BP68" s="31" t="n"/>
      <c r="BQ68" s="29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1" t="n"/>
      <c r="BS68" s="21" t="n"/>
      <c r="BT68" s="27">
        <f>SUM(BR68:BS68)</f>
        <v/>
      </c>
      <c r="BU68" s="28" t="n"/>
      <c r="BV68" s="31" t="n"/>
      <c r="BW68" s="29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1" t="n"/>
      <c r="BY68" s="21" t="n"/>
      <c r="BZ68" s="27">
        <f>SUM(BX68:BY68)</f>
        <v/>
      </c>
      <c r="CA68" s="28" t="n"/>
      <c r="CB68" s="31" t="n"/>
      <c r="CC68" s="29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1" t="n"/>
      <c r="CE68" s="21" t="n"/>
      <c r="CF68" s="27">
        <f>SUM(CD68:CE68)</f>
        <v/>
      </c>
      <c r="CG68" s="28" t="n"/>
      <c r="CH68" s="31" t="n"/>
      <c r="CI68" s="29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1" t="n"/>
      <c r="CK68" s="21" t="n"/>
      <c r="CL68" s="27">
        <f>SUM(CJ68:CK68)</f>
        <v/>
      </c>
      <c r="CM68" s="28" t="n"/>
      <c r="CN68" s="31" t="n"/>
      <c r="CO68" s="29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1" t="n"/>
      <c r="CQ68" s="21" t="n"/>
      <c r="CR68" s="27">
        <f>SUM(CP68:CQ68)</f>
        <v/>
      </c>
      <c r="CS68" s="28" t="n"/>
      <c r="CT68" s="31" t="n"/>
      <c r="CU68" s="29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1" t="n"/>
      <c r="CW68" s="21" t="n"/>
      <c r="CX68" s="27">
        <f>SUM(CV68:CW68)</f>
        <v/>
      </c>
      <c r="CY68" s="28" t="n"/>
      <c r="CZ68" s="31" t="n"/>
      <c r="DA68" s="29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1" t="n"/>
      <c r="DC68" s="21" t="n"/>
      <c r="DD68" s="27">
        <f>SUM(DB68:DC68)</f>
        <v/>
      </c>
      <c r="DE68" s="28" t="n"/>
      <c r="DF68" s="31" t="n"/>
      <c r="DG68" s="29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34">
        <f>SUM(O68,U68,AA68,AG68,AM68,AS68,AY68,BE68,BK68,BQ68,BW68,CC68,CI68,CO68,CU68,DA68,DG68)</f>
        <v/>
      </c>
      <c r="DI68" s="39">
        <f>RANK(DH68,DH$4:DH$503)</f>
        <v/>
      </c>
      <c r="DJ68" s="40" t="inlineStr">
        <is>
          <t>CHOOSE RATING</t>
        </is>
      </c>
      <c r="DK68" s="40" t="inlineStr">
        <is>
          <t>CHOOSE RATING</t>
        </is>
      </c>
      <c r="DL68" s="40" t="inlineStr">
        <is>
          <t>CHOOSE RATING</t>
        </is>
      </c>
      <c r="DM68" s="40" t="inlineStr">
        <is>
          <t>CHOOSE RATING</t>
        </is>
      </c>
      <c r="DN68" s="40" t="inlineStr">
        <is>
          <t>CHOOSE RATING</t>
        </is>
      </c>
      <c r="DO68" s="40" t="inlineStr">
        <is>
          <t>CHOOSE RATING</t>
        </is>
      </c>
      <c r="DP68" s="40" t="inlineStr">
        <is>
          <t>CHOOSE RATING</t>
        </is>
      </c>
      <c r="DQ68" s="40" t="inlineStr">
        <is>
          <t>CHOOSE RATING</t>
        </is>
      </c>
      <c r="DR68" s="43" t="inlineStr">
        <is>
          <t>2024/2025</t>
        </is>
      </c>
      <c r="DS68" s="45" t="inlineStr">
        <is>
          <t>THIRD</t>
        </is>
      </c>
      <c r="DT68" s="40" t="inlineStr">
        <is>
          <t>CHOOSE RATING</t>
        </is>
      </c>
      <c r="DU68" s="40" t="inlineStr">
        <is>
          <t>CHOOSE RATING</t>
        </is>
      </c>
      <c r="DV68" s="40" t="inlineStr">
        <is>
          <t>CHOOSE RATING</t>
        </is>
      </c>
      <c r="DW68" s="40" t="inlineStr">
        <is>
          <t>CHOOSE RATING</t>
        </is>
      </c>
      <c r="DX68" s="40" t="inlineStr">
        <is>
          <t>CHOOSE RATING</t>
        </is>
      </c>
      <c r="DY68" s="40" t="inlineStr">
        <is>
          <t>CHOOSE RATING</t>
        </is>
      </c>
      <c r="DZ68" s="53" t="inlineStr">
        <is>
          <t>CHOOSE RATING</t>
        </is>
      </c>
      <c r="EA68" s="54" t="inlineStr">
        <is>
          <t>Add the Tutor's Comment . . .</t>
        </is>
      </c>
      <c r="EB68" s="55" t="inlineStr">
        <is>
          <t>Choose Principals comment</t>
        </is>
      </c>
      <c r="EC68" s="56" t="n"/>
      <c r="ED68" s="57" t="inlineStr">
        <is>
          <t>Next Term Begins on Monday, 22nd September, 2025</t>
        </is>
      </c>
    </row>
    <row r="69" ht="30.6" customHeight="1" s="6">
      <c r="A69" s="18" t="n">
        <v>66</v>
      </c>
      <c r="B69" s="19" t="n"/>
      <c r="C69" s="20" t="n"/>
      <c r="D69" s="128" t="n"/>
      <c r="E69" s="21" t="n"/>
      <c r="F69" s="22" t="n"/>
      <c r="G69" s="22" t="n"/>
      <c r="H69" s="22" t="n"/>
      <c r="I69" s="26">
        <f>G69-H69</f>
        <v/>
      </c>
      <c r="J69" s="21" t="n"/>
      <c r="K69" s="21" t="n"/>
      <c r="L69" s="27">
        <f>SUM(J69:K69)</f>
        <v/>
      </c>
      <c r="M69" s="28" t="n"/>
      <c r="N69" s="28" t="n"/>
      <c r="O69" s="29">
        <f>IF(AND(L69=0,M69=0,N69=0),0,IF(AND(L69=0,M69=0),N69/1,IF(AND(L69=0,N69=0),M69/1,IF(AND(M69=0,N69=0),L69/1,IF(L69=0,FLOOR((M69+N69)/2,0.1),IF(M69=0,(L69+N69)/2,IF(N69=0,(M69+L69)/2,FLOOR(((L69+M69+N69)/3),0.1))))))))</f>
        <v/>
      </c>
      <c r="P69" s="21" t="n"/>
      <c r="Q69" s="21" t="n"/>
      <c r="R69" s="27">
        <f>SUM(P69:Q69)</f>
        <v/>
      </c>
      <c r="S69" s="28" t="n"/>
      <c r="T69" s="28" t="n"/>
      <c r="U69" s="29">
        <f>IF(AND(R69=0,S69=0,T69=0),0,IF(AND(R69=0,S69=0),T69/1,IF(AND(R69=0,T69=0),S69/1,IF(AND(S69=0,T69=0),R69/1,IF(R69=0,FLOOR((S69+T69)/2,0.1),IF(S69=0,(R69+T69)/2,IF(T69=0,(S69+R69)/2,FLOOR(((R69+S69+T69)/3),0.1))))))))</f>
        <v/>
      </c>
      <c r="V69" s="21" t="n"/>
      <c r="W69" s="21" t="n"/>
      <c r="X69" s="27">
        <f>SUM(V69:W69)</f>
        <v/>
      </c>
      <c r="Y69" s="28" t="n"/>
      <c r="Z69" s="28" t="n"/>
      <c r="AA69" s="29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1" t="n"/>
      <c r="AC69" s="21" t="n"/>
      <c r="AD69" s="27">
        <f>SUM(AB69:AC69)</f>
        <v/>
      </c>
      <c r="AE69" s="28" t="n"/>
      <c r="AF69" s="28" t="n"/>
      <c r="AG69" s="29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1" t="n"/>
      <c r="AI69" s="21" t="n"/>
      <c r="AJ69" s="27">
        <f>SUM(AH69:AI69)</f>
        <v/>
      </c>
      <c r="AK69" s="28" t="n"/>
      <c r="AL69" s="28" t="n"/>
      <c r="AM69" s="29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1" t="n"/>
      <c r="AO69" s="21" t="n"/>
      <c r="AP69" s="27">
        <f>SUM(AN69:AO69)</f>
        <v/>
      </c>
      <c r="AQ69" s="28" t="n"/>
      <c r="AR69" s="30" t="n"/>
      <c r="AS69" s="29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1" t="n"/>
      <c r="AU69" s="21" t="n"/>
      <c r="AV69" s="27">
        <f>SUM(AT69:AU69)</f>
        <v/>
      </c>
      <c r="AW69" s="28" t="n"/>
      <c r="AX69" s="30" t="n"/>
      <c r="AY69" s="29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1" t="n"/>
      <c r="BA69" s="21" t="n"/>
      <c r="BB69" s="27">
        <f>SUM(AZ69:BA69)</f>
        <v/>
      </c>
      <c r="BC69" s="28" t="n"/>
      <c r="BD69" s="28" t="n"/>
      <c r="BE69" s="29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1" t="n"/>
      <c r="BG69" s="21" t="n"/>
      <c r="BH69" s="27">
        <f>SUM(BF69:BG69)</f>
        <v/>
      </c>
      <c r="BI69" s="28" t="n"/>
      <c r="BJ69" s="28" t="n"/>
      <c r="BK69" s="29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1" t="n"/>
      <c r="BM69" s="21" t="n"/>
      <c r="BN69" s="27">
        <f>SUM(BL69:BM69)</f>
        <v/>
      </c>
      <c r="BO69" s="28" t="n"/>
      <c r="BP69" s="31" t="n"/>
      <c r="BQ69" s="29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1" t="n"/>
      <c r="BS69" s="21" t="n"/>
      <c r="BT69" s="27">
        <f>SUM(BR69:BS69)</f>
        <v/>
      </c>
      <c r="BU69" s="28" t="n"/>
      <c r="BV69" s="31" t="n"/>
      <c r="BW69" s="29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1" t="n"/>
      <c r="BY69" s="21" t="n"/>
      <c r="BZ69" s="27">
        <f>SUM(BX69:BY69)</f>
        <v/>
      </c>
      <c r="CA69" s="28" t="n"/>
      <c r="CB69" s="31" t="n"/>
      <c r="CC69" s="29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1" t="n"/>
      <c r="CE69" s="21" t="n"/>
      <c r="CF69" s="27">
        <f>SUM(CD69:CE69)</f>
        <v/>
      </c>
      <c r="CG69" s="28" t="n"/>
      <c r="CH69" s="31" t="n"/>
      <c r="CI69" s="29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1" t="n"/>
      <c r="CK69" s="21" t="n"/>
      <c r="CL69" s="27">
        <f>SUM(CJ69:CK69)</f>
        <v/>
      </c>
      <c r="CM69" s="28" t="n"/>
      <c r="CN69" s="31" t="n"/>
      <c r="CO69" s="29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1" t="n"/>
      <c r="CQ69" s="21" t="n"/>
      <c r="CR69" s="27">
        <f>SUM(CP69:CQ69)</f>
        <v/>
      </c>
      <c r="CS69" s="28" t="n"/>
      <c r="CT69" s="31" t="n"/>
      <c r="CU69" s="29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1" t="n"/>
      <c r="CW69" s="21" t="n"/>
      <c r="CX69" s="27">
        <f>SUM(CV69:CW69)</f>
        <v/>
      </c>
      <c r="CY69" s="28" t="n"/>
      <c r="CZ69" s="31" t="n"/>
      <c r="DA69" s="29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1" t="n"/>
      <c r="DC69" s="21" t="n"/>
      <c r="DD69" s="27">
        <f>SUM(DB69:DC69)</f>
        <v/>
      </c>
      <c r="DE69" s="28" t="n"/>
      <c r="DF69" s="31" t="n"/>
      <c r="DG69" s="29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34">
        <f>SUM(O69,U69,AA69,AG69,AM69,AS69,AY69,BE69,BK69,BQ69,BW69,CC69,CI69,CO69,CU69,DA69,DG69)</f>
        <v/>
      </c>
      <c r="DI69" s="39">
        <f>RANK(DH69,DH$4:DH$503)</f>
        <v/>
      </c>
      <c r="DJ69" s="40" t="inlineStr">
        <is>
          <t>CHOOSE RATING</t>
        </is>
      </c>
      <c r="DK69" s="40" t="inlineStr">
        <is>
          <t>CHOOSE RATING</t>
        </is>
      </c>
      <c r="DL69" s="40" t="inlineStr">
        <is>
          <t>CHOOSE RATING</t>
        </is>
      </c>
      <c r="DM69" s="40" t="inlineStr">
        <is>
          <t>CHOOSE RATING</t>
        </is>
      </c>
      <c r="DN69" s="40" t="inlineStr">
        <is>
          <t>CHOOSE RATING</t>
        </is>
      </c>
      <c r="DO69" s="40" t="inlineStr">
        <is>
          <t>CHOOSE RATING</t>
        </is>
      </c>
      <c r="DP69" s="40" t="inlineStr">
        <is>
          <t>CHOOSE RATING</t>
        </is>
      </c>
      <c r="DQ69" s="40" t="inlineStr">
        <is>
          <t>CHOOSE RATING</t>
        </is>
      </c>
      <c r="DR69" s="43" t="inlineStr">
        <is>
          <t>2024/2025</t>
        </is>
      </c>
      <c r="DS69" s="45" t="inlineStr">
        <is>
          <t>THIRD</t>
        </is>
      </c>
      <c r="DT69" s="40" t="inlineStr">
        <is>
          <t>CHOOSE RATING</t>
        </is>
      </c>
      <c r="DU69" s="40" t="inlineStr">
        <is>
          <t>CHOOSE RATING</t>
        </is>
      </c>
      <c r="DV69" s="40" t="inlineStr">
        <is>
          <t>CHOOSE RATING</t>
        </is>
      </c>
      <c r="DW69" s="40" t="inlineStr">
        <is>
          <t>CHOOSE RATING</t>
        </is>
      </c>
      <c r="DX69" s="40" t="inlineStr">
        <is>
          <t>CHOOSE RATING</t>
        </is>
      </c>
      <c r="DY69" s="40" t="inlineStr">
        <is>
          <t>CHOOSE RATING</t>
        </is>
      </c>
      <c r="DZ69" s="53" t="inlineStr">
        <is>
          <t>CHOOSE RATING</t>
        </is>
      </c>
      <c r="EA69" s="54" t="inlineStr">
        <is>
          <t>Add the Tutor's Comment . . .</t>
        </is>
      </c>
      <c r="EB69" s="55" t="inlineStr">
        <is>
          <t>Choose Principals comment</t>
        </is>
      </c>
      <c r="EC69" s="56" t="n"/>
      <c r="ED69" s="57" t="inlineStr">
        <is>
          <t>Next Term Begins on Monday, 22nd September, 2025</t>
        </is>
      </c>
    </row>
    <row r="70" ht="30.6" customHeight="1" s="6">
      <c r="A70" s="18" t="n">
        <v>67</v>
      </c>
      <c r="B70" s="19" t="n"/>
      <c r="C70" s="20" t="n"/>
      <c r="D70" s="128" t="n"/>
      <c r="E70" s="21" t="n"/>
      <c r="F70" s="22" t="n"/>
      <c r="G70" s="22" t="n"/>
      <c r="H70" s="22" t="n"/>
      <c r="I70" s="26">
        <f>G70-H70</f>
        <v/>
      </c>
      <c r="J70" s="21" t="n"/>
      <c r="K70" s="21" t="n"/>
      <c r="L70" s="27">
        <f>SUM(J70:K70)</f>
        <v/>
      </c>
      <c r="M70" s="28" t="n"/>
      <c r="N70" s="28" t="n"/>
      <c r="O70" s="29">
        <f>IF(AND(L70=0,M70=0,N70=0),0,IF(AND(L70=0,M70=0),N70/1,IF(AND(L70=0,N70=0),M70/1,IF(AND(M70=0,N70=0),L70/1,IF(L70=0,FLOOR((M70+N70)/2,0.1),IF(M70=0,(L70+N70)/2,IF(N70=0,(M70+L70)/2,FLOOR(((L70+M70+N70)/3),0.1))))))))</f>
        <v/>
      </c>
      <c r="P70" s="21" t="n"/>
      <c r="Q70" s="21" t="n"/>
      <c r="R70" s="27">
        <f>SUM(P70:Q70)</f>
        <v/>
      </c>
      <c r="S70" s="28" t="n"/>
      <c r="T70" s="28" t="n"/>
      <c r="U70" s="29">
        <f>IF(AND(R70=0,S70=0,T70=0),0,IF(AND(R70=0,S70=0),T70/1,IF(AND(R70=0,T70=0),S70/1,IF(AND(S70=0,T70=0),R70/1,IF(R70=0,FLOOR((S70+T70)/2,0.1),IF(S70=0,(R70+T70)/2,IF(T70=0,(S70+R70)/2,FLOOR(((R70+S70+T70)/3),0.1))))))))</f>
        <v/>
      </c>
      <c r="V70" s="21" t="n"/>
      <c r="W70" s="21" t="n"/>
      <c r="X70" s="27">
        <f>SUM(V70:W70)</f>
        <v/>
      </c>
      <c r="Y70" s="28" t="n"/>
      <c r="Z70" s="28" t="n"/>
      <c r="AA70" s="29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1" t="n"/>
      <c r="AC70" s="21" t="n"/>
      <c r="AD70" s="27">
        <f>SUM(AB70:AC70)</f>
        <v/>
      </c>
      <c r="AE70" s="28" t="n"/>
      <c r="AF70" s="28" t="n"/>
      <c r="AG70" s="29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1" t="n"/>
      <c r="AI70" s="21" t="n"/>
      <c r="AJ70" s="27">
        <f>SUM(AH70:AI70)</f>
        <v/>
      </c>
      <c r="AK70" s="28" t="n"/>
      <c r="AL70" s="28" t="n"/>
      <c r="AM70" s="29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1" t="n"/>
      <c r="AO70" s="21" t="n"/>
      <c r="AP70" s="27">
        <f>SUM(AN70:AO70)</f>
        <v/>
      </c>
      <c r="AQ70" s="28" t="n"/>
      <c r="AR70" s="30" t="n"/>
      <c r="AS70" s="29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1" t="n"/>
      <c r="AU70" s="21" t="n"/>
      <c r="AV70" s="27">
        <f>SUM(AT70:AU70)</f>
        <v/>
      </c>
      <c r="AW70" s="28" t="n"/>
      <c r="AX70" s="30" t="n"/>
      <c r="AY70" s="29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1" t="n"/>
      <c r="BA70" s="21" t="n"/>
      <c r="BB70" s="27">
        <f>SUM(AZ70:BA70)</f>
        <v/>
      </c>
      <c r="BC70" s="28" t="n"/>
      <c r="BD70" s="28" t="n"/>
      <c r="BE70" s="29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1" t="n"/>
      <c r="BG70" s="21" t="n"/>
      <c r="BH70" s="27">
        <f>SUM(BF70:BG70)</f>
        <v/>
      </c>
      <c r="BI70" s="28" t="n"/>
      <c r="BJ70" s="28" t="n"/>
      <c r="BK70" s="29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1" t="n"/>
      <c r="BM70" s="21" t="n"/>
      <c r="BN70" s="27">
        <f>SUM(BL70:BM70)</f>
        <v/>
      </c>
      <c r="BO70" s="28" t="n"/>
      <c r="BP70" s="31" t="n"/>
      <c r="BQ70" s="29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1" t="n"/>
      <c r="BS70" s="21" t="n"/>
      <c r="BT70" s="27">
        <f>SUM(BR70:BS70)</f>
        <v/>
      </c>
      <c r="BU70" s="28" t="n"/>
      <c r="BV70" s="31" t="n"/>
      <c r="BW70" s="29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1" t="n"/>
      <c r="BY70" s="21" t="n"/>
      <c r="BZ70" s="27">
        <f>SUM(BX70:BY70)</f>
        <v/>
      </c>
      <c r="CA70" s="28" t="n"/>
      <c r="CB70" s="31" t="n"/>
      <c r="CC70" s="29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1" t="n"/>
      <c r="CE70" s="21" t="n"/>
      <c r="CF70" s="27">
        <f>SUM(CD70:CE70)</f>
        <v/>
      </c>
      <c r="CG70" s="28" t="n"/>
      <c r="CH70" s="31" t="n"/>
      <c r="CI70" s="29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1" t="n"/>
      <c r="CK70" s="21" t="n"/>
      <c r="CL70" s="27">
        <f>SUM(CJ70:CK70)</f>
        <v/>
      </c>
      <c r="CM70" s="28" t="n"/>
      <c r="CN70" s="31" t="n"/>
      <c r="CO70" s="29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1" t="n"/>
      <c r="CQ70" s="21" t="n"/>
      <c r="CR70" s="27">
        <f>SUM(CP70:CQ70)</f>
        <v/>
      </c>
      <c r="CS70" s="28" t="n"/>
      <c r="CT70" s="31" t="n"/>
      <c r="CU70" s="29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1" t="n"/>
      <c r="CW70" s="21" t="n"/>
      <c r="CX70" s="27">
        <f>SUM(CV70:CW70)</f>
        <v/>
      </c>
      <c r="CY70" s="28" t="n"/>
      <c r="CZ70" s="31" t="n"/>
      <c r="DA70" s="29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1" t="n"/>
      <c r="DC70" s="21" t="n"/>
      <c r="DD70" s="27">
        <f>SUM(DB70:DC70)</f>
        <v/>
      </c>
      <c r="DE70" s="28" t="n"/>
      <c r="DF70" s="31" t="n"/>
      <c r="DG70" s="29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34">
        <f>SUM(O70,U70,AA70,AG70,AM70,AS70,AY70,BE70,BK70,BQ70,BW70,CC70,CI70,CO70,CU70,DA70,DG70)</f>
        <v/>
      </c>
      <c r="DI70" s="39">
        <f>RANK(DH70,DH$4:DH$503)</f>
        <v/>
      </c>
      <c r="DJ70" s="40" t="inlineStr">
        <is>
          <t>CHOOSE RATING</t>
        </is>
      </c>
      <c r="DK70" s="40" t="inlineStr">
        <is>
          <t>CHOOSE RATING</t>
        </is>
      </c>
      <c r="DL70" s="40" t="inlineStr">
        <is>
          <t>CHOOSE RATING</t>
        </is>
      </c>
      <c r="DM70" s="40" t="inlineStr">
        <is>
          <t>CHOOSE RATING</t>
        </is>
      </c>
      <c r="DN70" s="40" t="inlineStr">
        <is>
          <t>CHOOSE RATING</t>
        </is>
      </c>
      <c r="DO70" s="40" t="inlineStr">
        <is>
          <t>CHOOSE RATING</t>
        </is>
      </c>
      <c r="DP70" s="40" t="inlineStr">
        <is>
          <t>CHOOSE RATING</t>
        </is>
      </c>
      <c r="DQ70" s="40" t="inlineStr">
        <is>
          <t>CHOOSE RATING</t>
        </is>
      </c>
      <c r="DR70" s="43" t="inlineStr">
        <is>
          <t>2024/2025</t>
        </is>
      </c>
      <c r="DS70" s="45" t="inlineStr">
        <is>
          <t>THIRD</t>
        </is>
      </c>
      <c r="DT70" s="40" t="inlineStr">
        <is>
          <t>CHOOSE RATING</t>
        </is>
      </c>
      <c r="DU70" s="40" t="inlineStr">
        <is>
          <t>CHOOSE RATING</t>
        </is>
      </c>
      <c r="DV70" s="40" t="inlineStr">
        <is>
          <t>CHOOSE RATING</t>
        </is>
      </c>
      <c r="DW70" s="40" t="inlineStr">
        <is>
          <t>CHOOSE RATING</t>
        </is>
      </c>
      <c r="DX70" s="40" t="inlineStr">
        <is>
          <t>CHOOSE RATING</t>
        </is>
      </c>
      <c r="DY70" s="40" t="inlineStr">
        <is>
          <t>CHOOSE RATING</t>
        </is>
      </c>
      <c r="DZ70" s="53" t="inlineStr">
        <is>
          <t>CHOOSE RATING</t>
        </is>
      </c>
      <c r="EA70" s="54" t="inlineStr">
        <is>
          <t>Add the Tutor's Comment . . .</t>
        </is>
      </c>
      <c r="EB70" s="55" t="inlineStr">
        <is>
          <t>Choose Principals comment</t>
        </is>
      </c>
      <c r="EC70" s="56" t="n"/>
      <c r="ED70" s="57" t="inlineStr">
        <is>
          <t>Next Term Begins on Monday, 22nd September, 2025</t>
        </is>
      </c>
    </row>
    <row r="71" ht="30.6" customHeight="1" s="6">
      <c r="A71" s="18" t="n">
        <v>68</v>
      </c>
      <c r="B71" s="19" t="n"/>
      <c r="C71" s="20" t="n"/>
      <c r="D71" s="128" t="n"/>
      <c r="E71" s="21" t="n"/>
      <c r="F71" s="22" t="n"/>
      <c r="G71" s="22" t="n"/>
      <c r="H71" s="22" t="n"/>
      <c r="I71" s="26">
        <f>G71-H71</f>
        <v/>
      </c>
      <c r="J71" s="21" t="n"/>
      <c r="K71" s="21" t="n"/>
      <c r="L71" s="27">
        <f>SUM(J71:K71)</f>
        <v/>
      </c>
      <c r="M71" s="28" t="n"/>
      <c r="N71" s="28" t="n"/>
      <c r="O71" s="29">
        <f>IF(AND(L71=0,M71=0,N71=0),0,IF(AND(L71=0,M71=0),N71/1,IF(AND(L71=0,N71=0),M71/1,IF(AND(M71=0,N71=0),L71/1,IF(L71=0,FLOOR((M71+N71)/2,0.1),IF(M71=0,(L71+N71)/2,IF(N71=0,(M71+L71)/2,FLOOR(((L71+M71+N71)/3),0.1))))))))</f>
        <v/>
      </c>
      <c r="P71" s="21" t="n"/>
      <c r="Q71" s="21" t="n"/>
      <c r="R71" s="27">
        <f>SUM(P71:Q71)</f>
        <v/>
      </c>
      <c r="S71" s="28" t="n"/>
      <c r="T71" s="28" t="n"/>
      <c r="U71" s="29">
        <f>IF(AND(R71=0,S71=0,T71=0),0,IF(AND(R71=0,S71=0),T71/1,IF(AND(R71=0,T71=0),S71/1,IF(AND(S71=0,T71=0),R71/1,IF(R71=0,FLOOR((S71+T71)/2,0.1),IF(S71=0,(R71+T71)/2,IF(T71=0,(S71+R71)/2,FLOOR(((R71+S71+T71)/3),0.1))))))))</f>
        <v/>
      </c>
      <c r="V71" s="21" t="n"/>
      <c r="W71" s="21" t="n"/>
      <c r="X71" s="27">
        <f>SUM(V71:W71)</f>
        <v/>
      </c>
      <c r="Y71" s="28" t="n"/>
      <c r="Z71" s="28" t="n"/>
      <c r="AA71" s="29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1" t="n"/>
      <c r="AC71" s="21" t="n"/>
      <c r="AD71" s="27">
        <f>SUM(AB71:AC71)</f>
        <v/>
      </c>
      <c r="AE71" s="28" t="n"/>
      <c r="AF71" s="28" t="n"/>
      <c r="AG71" s="29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1" t="n"/>
      <c r="AI71" s="21" t="n"/>
      <c r="AJ71" s="27">
        <f>SUM(AH71:AI71)</f>
        <v/>
      </c>
      <c r="AK71" s="28" t="n"/>
      <c r="AL71" s="28" t="n"/>
      <c r="AM71" s="29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1" t="n"/>
      <c r="AO71" s="21" t="n"/>
      <c r="AP71" s="27">
        <f>SUM(AN71:AO71)</f>
        <v/>
      </c>
      <c r="AQ71" s="28" t="n"/>
      <c r="AR71" s="30" t="n"/>
      <c r="AS71" s="29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1" t="n"/>
      <c r="AU71" s="21" t="n"/>
      <c r="AV71" s="27">
        <f>SUM(AT71:AU71)</f>
        <v/>
      </c>
      <c r="AW71" s="28" t="n"/>
      <c r="AX71" s="30" t="n"/>
      <c r="AY71" s="29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1" t="n"/>
      <c r="BA71" s="21" t="n"/>
      <c r="BB71" s="27">
        <f>SUM(AZ71:BA71)</f>
        <v/>
      </c>
      <c r="BC71" s="28" t="n"/>
      <c r="BD71" s="28" t="n"/>
      <c r="BE71" s="29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1" t="n"/>
      <c r="BG71" s="21" t="n"/>
      <c r="BH71" s="27">
        <f>SUM(BF71:BG71)</f>
        <v/>
      </c>
      <c r="BI71" s="28" t="n"/>
      <c r="BJ71" s="28" t="n"/>
      <c r="BK71" s="29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1" t="n"/>
      <c r="BM71" s="21" t="n"/>
      <c r="BN71" s="27">
        <f>SUM(BL71:BM71)</f>
        <v/>
      </c>
      <c r="BO71" s="28" t="n"/>
      <c r="BP71" s="31" t="n"/>
      <c r="BQ71" s="29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1" t="n"/>
      <c r="BS71" s="21" t="n"/>
      <c r="BT71" s="27">
        <f>SUM(BR71:BS71)</f>
        <v/>
      </c>
      <c r="BU71" s="28" t="n"/>
      <c r="BV71" s="31" t="n"/>
      <c r="BW71" s="29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1" t="n"/>
      <c r="BY71" s="21" t="n"/>
      <c r="BZ71" s="27">
        <f>SUM(BX71:BY71)</f>
        <v/>
      </c>
      <c r="CA71" s="28" t="n"/>
      <c r="CB71" s="31" t="n"/>
      <c r="CC71" s="29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1" t="n"/>
      <c r="CE71" s="21" t="n"/>
      <c r="CF71" s="27">
        <f>SUM(CD71:CE71)</f>
        <v/>
      </c>
      <c r="CG71" s="28" t="n"/>
      <c r="CH71" s="31" t="n"/>
      <c r="CI71" s="29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1" t="n"/>
      <c r="CK71" s="21" t="n"/>
      <c r="CL71" s="27">
        <f>SUM(CJ71:CK71)</f>
        <v/>
      </c>
      <c r="CM71" s="28" t="n"/>
      <c r="CN71" s="31" t="n"/>
      <c r="CO71" s="29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1" t="n"/>
      <c r="CQ71" s="21" t="n"/>
      <c r="CR71" s="27">
        <f>SUM(CP71:CQ71)</f>
        <v/>
      </c>
      <c r="CS71" s="28" t="n"/>
      <c r="CT71" s="31" t="n"/>
      <c r="CU71" s="29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1" t="n"/>
      <c r="CW71" s="21" t="n"/>
      <c r="CX71" s="27">
        <f>SUM(CV71:CW71)</f>
        <v/>
      </c>
      <c r="CY71" s="28" t="n"/>
      <c r="CZ71" s="31" t="n"/>
      <c r="DA71" s="29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1" t="n"/>
      <c r="DC71" s="21" t="n"/>
      <c r="DD71" s="27">
        <f>SUM(DB71:DC71)</f>
        <v/>
      </c>
      <c r="DE71" s="28" t="n"/>
      <c r="DF71" s="31" t="n"/>
      <c r="DG71" s="29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34">
        <f>SUM(O71,U71,AA71,AG71,AM71,AS71,AY71,BE71,BK71,BQ71,BW71,CC71,CI71,CO71,CU71,DA71,DG71)</f>
        <v/>
      </c>
      <c r="DI71" s="39">
        <f>RANK(DH71,DH$4:DH$503)</f>
        <v/>
      </c>
      <c r="DJ71" s="40" t="inlineStr">
        <is>
          <t>CHOOSE RATING</t>
        </is>
      </c>
      <c r="DK71" s="40" t="inlineStr">
        <is>
          <t>CHOOSE RATING</t>
        </is>
      </c>
      <c r="DL71" s="40" t="inlineStr">
        <is>
          <t>CHOOSE RATING</t>
        </is>
      </c>
      <c r="DM71" s="40" t="inlineStr">
        <is>
          <t>CHOOSE RATING</t>
        </is>
      </c>
      <c r="DN71" s="40" t="inlineStr">
        <is>
          <t>CHOOSE RATING</t>
        </is>
      </c>
      <c r="DO71" s="40" t="inlineStr">
        <is>
          <t>CHOOSE RATING</t>
        </is>
      </c>
      <c r="DP71" s="40" t="inlineStr">
        <is>
          <t>CHOOSE RATING</t>
        </is>
      </c>
      <c r="DQ71" s="40" t="inlineStr">
        <is>
          <t>CHOOSE RATING</t>
        </is>
      </c>
      <c r="DR71" s="43" t="inlineStr">
        <is>
          <t>2024/2025</t>
        </is>
      </c>
      <c r="DS71" s="45" t="inlineStr">
        <is>
          <t>THIRD</t>
        </is>
      </c>
      <c r="DT71" s="40" t="inlineStr">
        <is>
          <t>CHOOSE RATING</t>
        </is>
      </c>
      <c r="DU71" s="40" t="inlineStr">
        <is>
          <t>CHOOSE RATING</t>
        </is>
      </c>
      <c r="DV71" s="40" t="inlineStr">
        <is>
          <t>CHOOSE RATING</t>
        </is>
      </c>
      <c r="DW71" s="40" t="inlineStr">
        <is>
          <t>CHOOSE RATING</t>
        </is>
      </c>
      <c r="DX71" s="40" t="inlineStr">
        <is>
          <t>CHOOSE RATING</t>
        </is>
      </c>
      <c r="DY71" s="40" t="inlineStr">
        <is>
          <t>CHOOSE RATING</t>
        </is>
      </c>
      <c r="DZ71" s="53" t="inlineStr">
        <is>
          <t>CHOOSE RATING</t>
        </is>
      </c>
      <c r="EA71" s="54" t="inlineStr">
        <is>
          <t>Add the Tutor's Comment . . .</t>
        </is>
      </c>
      <c r="EB71" s="55" t="inlineStr">
        <is>
          <t>Choose Principals comment</t>
        </is>
      </c>
      <c r="EC71" s="56" t="n"/>
      <c r="ED71" s="57" t="inlineStr">
        <is>
          <t>Next Term Begins on Monday, 22nd September, 2025</t>
        </is>
      </c>
    </row>
    <row r="72" ht="30.6" customHeight="1" s="6">
      <c r="A72" s="18" t="n">
        <v>69</v>
      </c>
      <c r="B72" s="19" t="n"/>
      <c r="C72" s="20" t="n"/>
      <c r="D72" s="128" t="n"/>
      <c r="E72" s="21" t="n"/>
      <c r="F72" s="22" t="n"/>
      <c r="G72" s="22" t="n"/>
      <c r="H72" s="22" t="n"/>
      <c r="I72" s="26">
        <f>G72-H72</f>
        <v/>
      </c>
      <c r="J72" s="21" t="n"/>
      <c r="K72" s="21" t="n"/>
      <c r="L72" s="27">
        <f>SUM(J72:K72)</f>
        <v/>
      </c>
      <c r="M72" s="28" t="n"/>
      <c r="N72" s="28" t="n"/>
      <c r="O72" s="29">
        <f>IF(AND(L72=0,M72=0,N72=0),0,IF(AND(L72=0,M72=0),N72/1,IF(AND(L72=0,N72=0),M72/1,IF(AND(M72=0,N72=0),L72/1,IF(L72=0,FLOOR((M72+N72)/2,0.1),IF(M72=0,(L72+N72)/2,IF(N72=0,(M72+L72)/2,FLOOR(((L72+M72+N72)/3),0.1))))))))</f>
        <v/>
      </c>
      <c r="P72" s="21" t="n"/>
      <c r="Q72" s="21" t="n"/>
      <c r="R72" s="27">
        <f>SUM(P72:Q72)</f>
        <v/>
      </c>
      <c r="S72" s="28" t="n"/>
      <c r="T72" s="28" t="n"/>
      <c r="U72" s="29">
        <f>IF(AND(R72=0,S72=0,T72=0),0,IF(AND(R72=0,S72=0),T72/1,IF(AND(R72=0,T72=0),S72/1,IF(AND(S72=0,T72=0),R72/1,IF(R72=0,FLOOR((S72+T72)/2,0.1),IF(S72=0,(R72+T72)/2,IF(T72=0,(S72+R72)/2,FLOOR(((R72+S72+T72)/3),0.1))))))))</f>
        <v/>
      </c>
      <c r="V72" s="21" t="n"/>
      <c r="W72" s="21" t="n"/>
      <c r="X72" s="27">
        <f>SUM(V72:W72)</f>
        <v/>
      </c>
      <c r="Y72" s="28" t="n"/>
      <c r="Z72" s="28" t="n"/>
      <c r="AA72" s="29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1" t="n"/>
      <c r="AC72" s="21" t="n"/>
      <c r="AD72" s="27">
        <f>SUM(AB72:AC72)</f>
        <v/>
      </c>
      <c r="AE72" s="28" t="n"/>
      <c r="AF72" s="28" t="n"/>
      <c r="AG72" s="29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1" t="n"/>
      <c r="AI72" s="21" t="n"/>
      <c r="AJ72" s="27">
        <f>SUM(AH72:AI72)</f>
        <v/>
      </c>
      <c r="AK72" s="28" t="n"/>
      <c r="AL72" s="28" t="n"/>
      <c r="AM72" s="29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1" t="n"/>
      <c r="AO72" s="21" t="n"/>
      <c r="AP72" s="27">
        <f>SUM(AN72:AO72)</f>
        <v/>
      </c>
      <c r="AQ72" s="28" t="n"/>
      <c r="AR72" s="30" t="n"/>
      <c r="AS72" s="29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1" t="n"/>
      <c r="AU72" s="21" t="n"/>
      <c r="AV72" s="27">
        <f>SUM(AT72:AU72)</f>
        <v/>
      </c>
      <c r="AW72" s="28" t="n"/>
      <c r="AX72" s="30" t="n"/>
      <c r="AY72" s="29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1" t="n"/>
      <c r="BA72" s="21" t="n"/>
      <c r="BB72" s="27">
        <f>SUM(AZ72:BA72)</f>
        <v/>
      </c>
      <c r="BC72" s="28" t="n"/>
      <c r="BD72" s="28" t="n"/>
      <c r="BE72" s="29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1" t="n"/>
      <c r="BG72" s="21" t="n"/>
      <c r="BH72" s="27">
        <f>SUM(BF72:BG72)</f>
        <v/>
      </c>
      <c r="BI72" s="28" t="n"/>
      <c r="BJ72" s="28" t="n"/>
      <c r="BK72" s="29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1" t="n"/>
      <c r="BM72" s="21" t="n"/>
      <c r="BN72" s="27">
        <f>SUM(BL72:BM72)</f>
        <v/>
      </c>
      <c r="BO72" s="28" t="n"/>
      <c r="BP72" s="31" t="n"/>
      <c r="BQ72" s="29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1" t="n"/>
      <c r="BS72" s="21" t="n"/>
      <c r="BT72" s="27">
        <f>SUM(BR72:BS72)</f>
        <v/>
      </c>
      <c r="BU72" s="28" t="n"/>
      <c r="BV72" s="31" t="n"/>
      <c r="BW72" s="29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1" t="n"/>
      <c r="BY72" s="21" t="n"/>
      <c r="BZ72" s="27">
        <f>SUM(BX72:BY72)</f>
        <v/>
      </c>
      <c r="CA72" s="28" t="n"/>
      <c r="CB72" s="31" t="n"/>
      <c r="CC72" s="29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1" t="n"/>
      <c r="CE72" s="21" t="n"/>
      <c r="CF72" s="27">
        <f>SUM(CD72:CE72)</f>
        <v/>
      </c>
      <c r="CG72" s="28" t="n"/>
      <c r="CH72" s="31" t="n"/>
      <c r="CI72" s="29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1" t="n"/>
      <c r="CK72" s="21" t="n"/>
      <c r="CL72" s="27">
        <f>SUM(CJ72:CK72)</f>
        <v/>
      </c>
      <c r="CM72" s="28" t="n"/>
      <c r="CN72" s="31" t="n"/>
      <c r="CO72" s="29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1" t="n"/>
      <c r="CQ72" s="21" t="n"/>
      <c r="CR72" s="27">
        <f>SUM(CP72:CQ72)</f>
        <v/>
      </c>
      <c r="CS72" s="28" t="n"/>
      <c r="CT72" s="31" t="n"/>
      <c r="CU72" s="29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1" t="n"/>
      <c r="CW72" s="21" t="n"/>
      <c r="CX72" s="27">
        <f>SUM(CV72:CW72)</f>
        <v/>
      </c>
      <c r="CY72" s="28" t="n"/>
      <c r="CZ72" s="31" t="n"/>
      <c r="DA72" s="29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1" t="n"/>
      <c r="DC72" s="21" t="n"/>
      <c r="DD72" s="27">
        <f>SUM(DB72:DC72)</f>
        <v/>
      </c>
      <c r="DE72" s="28" t="n"/>
      <c r="DF72" s="31" t="n"/>
      <c r="DG72" s="29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34">
        <f>SUM(O72,U72,AA72,AG72,AM72,AS72,AY72,BE72,BK72,BQ72,BW72,CC72,CI72,CO72,CU72,DA72,DG72)</f>
        <v/>
      </c>
      <c r="DI72" s="39">
        <f>RANK(DH72,DH$4:DH$503)</f>
        <v/>
      </c>
      <c r="DJ72" s="40" t="inlineStr">
        <is>
          <t>CHOOSE RATING</t>
        </is>
      </c>
      <c r="DK72" s="40" t="inlineStr">
        <is>
          <t>CHOOSE RATING</t>
        </is>
      </c>
      <c r="DL72" s="40" t="inlineStr">
        <is>
          <t>CHOOSE RATING</t>
        </is>
      </c>
      <c r="DM72" s="40" t="inlineStr">
        <is>
          <t>CHOOSE RATING</t>
        </is>
      </c>
      <c r="DN72" s="40" t="inlineStr">
        <is>
          <t>CHOOSE RATING</t>
        </is>
      </c>
      <c r="DO72" s="40" t="inlineStr">
        <is>
          <t>CHOOSE RATING</t>
        </is>
      </c>
      <c r="DP72" s="40" t="inlineStr">
        <is>
          <t>CHOOSE RATING</t>
        </is>
      </c>
      <c r="DQ72" s="40" t="inlineStr">
        <is>
          <t>CHOOSE RATING</t>
        </is>
      </c>
      <c r="DR72" s="43" t="inlineStr">
        <is>
          <t>2024/2025</t>
        </is>
      </c>
      <c r="DS72" s="45" t="inlineStr">
        <is>
          <t>THIRD</t>
        </is>
      </c>
      <c r="DT72" s="40" t="inlineStr">
        <is>
          <t>CHOOSE RATING</t>
        </is>
      </c>
      <c r="DU72" s="40" t="inlineStr">
        <is>
          <t>CHOOSE RATING</t>
        </is>
      </c>
      <c r="DV72" s="40" t="inlineStr">
        <is>
          <t>CHOOSE RATING</t>
        </is>
      </c>
      <c r="DW72" s="40" t="inlineStr">
        <is>
          <t>CHOOSE RATING</t>
        </is>
      </c>
      <c r="DX72" s="40" t="inlineStr">
        <is>
          <t>CHOOSE RATING</t>
        </is>
      </c>
      <c r="DY72" s="40" t="inlineStr">
        <is>
          <t>CHOOSE RATING</t>
        </is>
      </c>
      <c r="DZ72" s="53" t="inlineStr">
        <is>
          <t>CHOOSE RATING</t>
        </is>
      </c>
      <c r="EA72" s="54" t="inlineStr">
        <is>
          <t>Add the Tutor's Comment . . .</t>
        </is>
      </c>
      <c r="EB72" s="55" t="inlineStr">
        <is>
          <t>Choose Principals comment</t>
        </is>
      </c>
      <c r="EC72" s="56" t="n"/>
      <c r="ED72" s="57" t="inlineStr">
        <is>
          <t>Next Term Begins on Monday, 22nd September, 2025</t>
        </is>
      </c>
    </row>
    <row r="73" ht="30.6" customHeight="1" s="6">
      <c r="A73" s="18" t="n">
        <v>70</v>
      </c>
      <c r="B73" s="19" t="n"/>
      <c r="C73" s="20" t="n"/>
      <c r="D73" s="128" t="n"/>
      <c r="E73" s="21" t="n"/>
      <c r="F73" s="22" t="n"/>
      <c r="G73" s="22" t="n"/>
      <c r="H73" s="22" t="n"/>
      <c r="I73" s="26">
        <f>G73-H73</f>
        <v/>
      </c>
      <c r="J73" s="21" t="n"/>
      <c r="K73" s="21" t="n"/>
      <c r="L73" s="27">
        <f>SUM(J73:K73)</f>
        <v/>
      </c>
      <c r="M73" s="28" t="n"/>
      <c r="N73" s="28" t="n"/>
      <c r="O73" s="29">
        <f>IF(AND(L73=0,M73=0,N73=0),0,IF(AND(L73=0,M73=0),N73/1,IF(AND(L73=0,N73=0),M73/1,IF(AND(M73=0,N73=0),L73/1,IF(L73=0,FLOOR((M73+N73)/2,0.1),IF(M73=0,(L73+N73)/2,IF(N73=0,(M73+L73)/2,FLOOR(((L73+M73+N73)/3),0.1))))))))</f>
        <v/>
      </c>
      <c r="P73" s="21" t="n"/>
      <c r="Q73" s="21" t="n"/>
      <c r="R73" s="27">
        <f>SUM(P73:Q73)</f>
        <v/>
      </c>
      <c r="S73" s="28" t="n"/>
      <c r="T73" s="28" t="n"/>
      <c r="U73" s="29">
        <f>IF(AND(R73=0,S73=0,T73=0),0,IF(AND(R73=0,S73=0),T73/1,IF(AND(R73=0,T73=0),S73/1,IF(AND(S73=0,T73=0),R73/1,IF(R73=0,FLOOR((S73+T73)/2,0.1),IF(S73=0,(R73+T73)/2,IF(T73=0,(S73+R73)/2,FLOOR(((R73+S73+T73)/3),0.1))))))))</f>
        <v/>
      </c>
      <c r="V73" s="21" t="n"/>
      <c r="W73" s="21" t="n"/>
      <c r="X73" s="27">
        <f>SUM(V73:W73)</f>
        <v/>
      </c>
      <c r="Y73" s="28" t="n"/>
      <c r="Z73" s="28" t="n"/>
      <c r="AA73" s="29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1" t="n"/>
      <c r="AC73" s="21" t="n"/>
      <c r="AD73" s="27">
        <f>SUM(AB73:AC73)</f>
        <v/>
      </c>
      <c r="AE73" s="28" t="n"/>
      <c r="AF73" s="28" t="n"/>
      <c r="AG73" s="29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1" t="n"/>
      <c r="AI73" s="21" t="n"/>
      <c r="AJ73" s="27">
        <f>SUM(AH73:AI73)</f>
        <v/>
      </c>
      <c r="AK73" s="28" t="n"/>
      <c r="AL73" s="28" t="n"/>
      <c r="AM73" s="29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1" t="n"/>
      <c r="AO73" s="21" t="n"/>
      <c r="AP73" s="27">
        <f>SUM(AN73:AO73)</f>
        <v/>
      </c>
      <c r="AQ73" s="28" t="n"/>
      <c r="AR73" s="30" t="n"/>
      <c r="AS73" s="29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1" t="n"/>
      <c r="AU73" s="21" t="n"/>
      <c r="AV73" s="27">
        <f>SUM(AT73:AU73)</f>
        <v/>
      </c>
      <c r="AW73" s="28" t="n"/>
      <c r="AX73" s="30" t="n"/>
      <c r="AY73" s="29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1" t="n"/>
      <c r="BA73" s="21" t="n"/>
      <c r="BB73" s="27">
        <f>SUM(AZ73:BA73)</f>
        <v/>
      </c>
      <c r="BC73" s="28" t="n"/>
      <c r="BD73" s="28" t="n"/>
      <c r="BE73" s="29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1" t="n"/>
      <c r="BG73" s="21" t="n"/>
      <c r="BH73" s="27">
        <f>SUM(BF73:BG73)</f>
        <v/>
      </c>
      <c r="BI73" s="28" t="n"/>
      <c r="BJ73" s="28" t="n"/>
      <c r="BK73" s="29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1" t="n"/>
      <c r="BM73" s="21" t="n"/>
      <c r="BN73" s="27">
        <f>SUM(BL73:BM73)</f>
        <v/>
      </c>
      <c r="BO73" s="28" t="n"/>
      <c r="BP73" s="31" t="n"/>
      <c r="BQ73" s="29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1" t="n"/>
      <c r="BS73" s="21" t="n"/>
      <c r="BT73" s="27">
        <f>SUM(BR73:BS73)</f>
        <v/>
      </c>
      <c r="BU73" s="28" t="n"/>
      <c r="BV73" s="31" t="n"/>
      <c r="BW73" s="29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1" t="n"/>
      <c r="BY73" s="21" t="n"/>
      <c r="BZ73" s="27">
        <f>SUM(BX73:BY73)</f>
        <v/>
      </c>
      <c r="CA73" s="28" t="n"/>
      <c r="CB73" s="31" t="n"/>
      <c r="CC73" s="29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1" t="n"/>
      <c r="CE73" s="21" t="n"/>
      <c r="CF73" s="27">
        <f>SUM(CD73:CE73)</f>
        <v/>
      </c>
      <c r="CG73" s="28" t="n"/>
      <c r="CH73" s="31" t="n"/>
      <c r="CI73" s="29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1" t="n"/>
      <c r="CK73" s="21" t="n"/>
      <c r="CL73" s="27">
        <f>SUM(CJ73:CK73)</f>
        <v/>
      </c>
      <c r="CM73" s="28" t="n"/>
      <c r="CN73" s="31" t="n"/>
      <c r="CO73" s="29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1" t="n"/>
      <c r="CQ73" s="21" t="n"/>
      <c r="CR73" s="27">
        <f>SUM(CP73:CQ73)</f>
        <v/>
      </c>
      <c r="CS73" s="28" t="n"/>
      <c r="CT73" s="31" t="n"/>
      <c r="CU73" s="29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1" t="n"/>
      <c r="CW73" s="21" t="n"/>
      <c r="CX73" s="27">
        <f>SUM(CV73:CW73)</f>
        <v/>
      </c>
      <c r="CY73" s="28" t="n"/>
      <c r="CZ73" s="31" t="n"/>
      <c r="DA73" s="29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1" t="n"/>
      <c r="DC73" s="21" t="n"/>
      <c r="DD73" s="27">
        <f>SUM(DB73:DC73)</f>
        <v/>
      </c>
      <c r="DE73" s="28" t="n"/>
      <c r="DF73" s="31" t="n"/>
      <c r="DG73" s="29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34">
        <f>SUM(O73,U73,AA73,AG73,AM73,AS73,AY73,BE73,BK73,BQ73,BW73,CC73,CI73,CO73,CU73,DA73,DG73)</f>
        <v/>
      </c>
      <c r="DI73" s="39">
        <f>RANK(DH73,DH$4:DH$503)</f>
        <v/>
      </c>
      <c r="DJ73" s="40" t="inlineStr">
        <is>
          <t>CHOOSE RATING</t>
        </is>
      </c>
      <c r="DK73" s="40" t="inlineStr">
        <is>
          <t>CHOOSE RATING</t>
        </is>
      </c>
      <c r="DL73" s="40" t="inlineStr">
        <is>
          <t>CHOOSE RATING</t>
        </is>
      </c>
      <c r="DM73" s="40" t="inlineStr">
        <is>
          <t>CHOOSE RATING</t>
        </is>
      </c>
      <c r="DN73" s="40" t="inlineStr">
        <is>
          <t>CHOOSE RATING</t>
        </is>
      </c>
      <c r="DO73" s="40" t="inlineStr">
        <is>
          <t>CHOOSE RATING</t>
        </is>
      </c>
      <c r="DP73" s="40" t="inlineStr">
        <is>
          <t>CHOOSE RATING</t>
        </is>
      </c>
      <c r="DQ73" s="40" t="inlineStr">
        <is>
          <t>CHOOSE RATING</t>
        </is>
      </c>
      <c r="DR73" s="43" t="inlineStr">
        <is>
          <t>2024/2025</t>
        </is>
      </c>
      <c r="DS73" s="45" t="inlineStr">
        <is>
          <t>THIRD</t>
        </is>
      </c>
      <c r="DT73" s="40" t="inlineStr">
        <is>
          <t>CHOOSE RATING</t>
        </is>
      </c>
      <c r="DU73" s="40" t="inlineStr">
        <is>
          <t>CHOOSE RATING</t>
        </is>
      </c>
      <c r="DV73" s="40" t="inlineStr">
        <is>
          <t>CHOOSE RATING</t>
        </is>
      </c>
      <c r="DW73" s="40" t="inlineStr">
        <is>
          <t>CHOOSE RATING</t>
        </is>
      </c>
      <c r="DX73" s="40" t="inlineStr">
        <is>
          <t>CHOOSE RATING</t>
        </is>
      </c>
      <c r="DY73" s="40" t="inlineStr">
        <is>
          <t>CHOOSE RATING</t>
        </is>
      </c>
      <c r="DZ73" s="53" t="inlineStr">
        <is>
          <t>CHOOSE RATING</t>
        </is>
      </c>
      <c r="EA73" s="54" t="inlineStr">
        <is>
          <t>Add the Tutor's Comment . . .</t>
        </is>
      </c>
      <c r="EB73" s="55" t="inlineStr">
        <is>
          <t>Choose Principals comment</t>
        </is>
      </c>
      <c r="EC73" s="56" t="n"/>
      <c r="ED73" s="57" t="inlineStr">
        <is>
          <t>Next Term Begins on Monday, 22nd September, 2025</t>
        </is>
      </c>
    </row>
    <row r="74" ht="30.6" customHeight="1" s="6">
      <c r="A74" s="18" t="n">
        <v>71</v>
      </c>
      <c r="B74" s="19" t="n"/>
      <c r="C74" s="20" t="n"/>
      <c r="D74" s="128" t="n"/>
      <c r="E74" s="21" t="n"/>
      <c r="F74" s="22" t="n"/>
      <c r="G74" s="22" t="n"/>
      <c r="H74" s="22" t="n"/>
      <c r="I74" s="26">
        <f>G74-H74</f>
        <v/>
      </c>
      <c r="J74" s="21" t="n"/>
      <c r="K74" s="21" t="n"/>
      <c r="L74" s="27">
        <f>SUM(J74:K74)</f>
        <v/>
      </c>
      <c r="M74" s="28" t="n"/>
      <c r="N74" s="28" t="n"/>
      <c r="O74" s="29">
        <f>IF(AND(L74=0,M74=0,N74=0),0,IF(AND(L74=0,M74=0),N74/1,IF(AND(L74=0,N74=0),M74/1,IF(AND(M74=0,N74=0),L74/1,IF(L74=0,FLOOR((M74+N74)/2,0.1),IF(M74=0,(L74+N74)/2,IF(N74=0,(M74+L74)/2,FLOOR(((L74+M74+N74)/3),0.1))))))))</f>
        <v/>
      </c>
      <c r="P74" s="21" t="n"/>
      <c r="Q74" s="21" t="n"/>
      <c r="R74" s="27">
        <f>SUM(P74:Q74)</f>
        <v/>
      </c>
      <c r="S74" s="28" t="n"/>
      <c r="T74" s="28" t="n"/>
      <c r="U74" s="29">
        <f>IF(AND(R74=0,S74=0,T74=0),0,IF(AND(R74=0,S74=0),T74/1,IF(AND(R74=0,T74=0),S74/1,IF(AND(S74=0,T74=0),R74/1,IF(R74=0,FLOOR((S74+T74)/2,0.1),IF(S74=0,(R74+T74)/2,IF(T74=0,(S74+R74)/2,FLOOR(((R74+S74+T74)/3),0.1))))))))</f>
        <v/>
      </c>
      <c r="V74" s="21" t="n"/>
      <c r="W74" s="21" t="n"/>
      <c r="X74" s="27">
        <f>SUM(V74:W74)</f>
        <v/>
      </c>
      <c r="Y74" s="28" t="n"/>
      <c r="Z74" s="28" t="n"/>
      <c r="AA74" s="29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1" t="n"/>
      <c r="AC74" s="21" t="n"/>
      <c r="AD74" s="27">
        <f>SUM(AB74:AC74)</f>
        <v/>
      </c>
      <c r="AE74" s="28" t="n"/>
      <c r="AF74" s="28" t="n"/>
      <c r="AG74" s="29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1" t="n"/>
      <c r="AI74" s="21" t="n"/>
      <c r="AJ74" s="27">
        <f>SUM(AH74:AI74)</f>
        <v/>
      </c>
      <c r="AK74" s="28" t="n"/>
      <c r="AL74" s="28" t="n"/>
      <c r="AM74" s="29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1" t="n"/>
      <c r="AO74" s="21" t="n"/>
      <c r="AP74" s="27">
        <f>SUM(AN74:AO74)</f>
        <v/>
      </c>
      <c r="AQ74" s="28" t="n"/>
      <c r="AR74" s="30" t="n"/>
      <c r="AS74" s="29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1" t="n"/>
      <c r="AU74" s="21" t="n"/>
      <c r="AV74" s="27">
        <f>SUM(AT74:AU74)</f>
        <v/>
      </c>
      <c r="AW74" s="28" t="n"/>
      <c r="AX74" s="30" t="n"/>
      <c r="AY74" s="29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1" t="n"/>
      <c r="BA74" s="21" t="n"/>
      <c r="BB74" s="27">
        <f>SUM(AZ74:BA74)</f>
        <v/>
      </c>
      <c r="BC74" s="28" t="n"/>
      <c r="BD74" s="28" t="n"/>
      <c r="BE74" s="29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1" t="n"/>
      <c r="BG74" s="21" t="n"/>
      <c r="BH74" s="27">
        <f>SUM(BF74:BG74)</f>
        <v/>
      </c>
      <c r="BI74" s="28" t="n"/>
      <c r="BJ74" s="28" t="n"/>
      <c r="BK74" s="29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1" t="n"/>
      <c r="BM74" s="21" t="n"/>
      <c r="BN74" s="27">
        <f>SUM(BL74:BM74)</f>
        <v/>
      </c>
      <c r="BO74" s="28" t="n"/>
      <c r="BP74" s="31" t="n"/>
      <c r="BQ74" s="29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1" t="n"/>
      <c r="BS74" s="21" t="n"/>
      <c r="BT74" s="27">
        <f>SUM(BR74:BS74)</f>
        <v/>
      </c>
      <c r="BU74" s="28" t="n"/>
      <c r="BV74" s="31" t="n"/>
      <c r="BW74" s="29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1" t="n"/>
      <c r="BY74" s="21" t="n"/>
      <c r="BZ74" s="27">
        <f>SUM(BX74:BY74)</f>
        <v/>
      </c>
      <c r="CA74" s="28" t="n"/>
      <c r="CB74" s="31" t="n"/>
      <c r="CC74" s="29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1" t="n"/>
      <c r="CE74" s="21" t="n"/>
      <c r="CF74" s="27">
        <f>SUM(CD74:CE74)</f>
        <v/>
      </c>
      <c r="CG74" s="28" t="n"/>
      <c r="CH74" s="31" t="n"/>
      <c r="CI74" s="29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1" t="n"/>
      <c r="CK74" s="21" t="n"/>
      <c r="CL74" s="27">
        <f>SUM(CJ74:CK74)</f>
        <v/>
      </c>
      <c r="CM74" s="28" t="n"/>
      <c r="CN74" s="31" t="n"/>
      <c r="CO74" s="29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1" t="n"/>
      <c r="CQ74" s="21" t="n"/>
      <c r="CR74" s="27">
        <f>SUM(CP74:CQ74)</f>
        <v/>
      </c>
      <c r="CS74" s="28" t="n"/>
      <c r="CT74" s="31" t="n"/>
      <c r="CU74" s="29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1" t="n"/>
      <c r="CW74" s="21" t="n"/>
      <c r="CX74" s="27">
        <f>SUM(CV74:CW74)</f>
        <v/>
      </c>
      <c r="CY74" s="28" t="n"/>
      <c r="CZ74" s="31" t="n"/>
      <c r="DA74" s="29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1" t="n"/>
      <c r="DC74" s="21" t="n"/>
      <c r="DD74" s="27">
        <f>SUM(DB74:DC74)</f>
        <v/>
      </c>
      <c r="DE74" s="28" t="n"/>
      <c r="DF74" s="31" t="n"/>
      <c r="DG74" s="29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34">
        <f>SUM(O74,U74,AA74,AG74,AM74,AS74,AY74,BE74,BK74,BQ74,BW74,CC74,CI74,CO74,CU74,DA74,DG74)</f>
        <v/>
      </c>
      <c r="DI74" s="39">
        <f>RANK(DH74,DH$4:DH$503)</f>
        <v/>
      </c>
      <c r="DJ74" s="40" t="inlineStr">
        <is>
          <t>CHOOSE RATING</t>
        </is>
      </c>
      <c r="DK74" s="40" t="inlineStr">
        <is>
          <t>CHOOSE RATING</t>
        </is>
      </c>
      <c r="DL74" s="40" t="inlineStr">
        <is>
          <t>CHOOSE RATING</t>
        </is>
      </c>
      <c r="DM74" s="40" t="inlineStr">
        <is>
          <t>CHOOSE RATING</t>
        </is>
      </c>
      <c r="DN74" s="40" t="inlineStr">
        <is>
          <t>CHOOSE RATING</t>
        </is>
      </c>
      <c r="DO74" s="40" t="inlineStr">
        <is>
          <t>CHOOSE RATING</t>
        </is>
      </c>
      <c r="DP74" s="40" t="inlineStr">
        <is>
          <t>CHOOSE RATING</t>
        </is>
      </c>
      <c r="DQ74" s="40" t="inlineStr">
        <is>
          <t>CHOOSE RATING</t>
        </is>
      </c>
      <c r="DR74" s="43" t="inlineStr">
        <is>
          <t>2024/2025</t>
        </is>
      </c>
      <c r="DS74" s="45" t="inlineStr">
        <is>
          <t>THIRD</t>
        </is>
      </c>
      <c r="DT74" s="40" t="inlineStr">
        <is>
          <t>CHOOSE RATING</t>
        </is>
      </c>
      <c r="DU74" s="40" t="inlineStr">
        <is>
          <t>CHOOSE RATING</t>
        </is>
      </c>
      <c r="DV74" s="40" t="inlineStr">
        <is>
          <t>CHOOSE RATING</t>
        </is>
      </c>
      <c r="DW74" s="40" t="inlineStr">
        <is>
          <t>CHOOSE RATING</t>
        </is>
      </c>
      <c r="DX74" s="40" t="inlineStr">
        <is>
          <t>CHOOSE RATING</t>
        </is>
      </c>
      <c r="DY74" s="40" t="inlineStr">
        <is>
          <t>CHOOSE RATING</t>
        </is>
      </c>
      <c r="DZ74" s="53" t="inlineStr">
        <is>
          <t>CHOOSE RATING</t>
        </is>
      </c>
      <c r="EA74" s="54" t="inlineStr">
        <is>
          <t>Add the Tutor's Comment . . .</t>
        </is>
      </c>
      <c r="EB74" s="55" t="inlineStr">
        <is>
          <t>Choose Principals comment</t>
        </is>
      </c>
      <c r="EC74" s="56" t="n"/>
      <c r="ED74" s="57" t="inlineStr">
        <is>
          <t>Next Term Begins on Monday, 22nd September, 2025</t>
        </is>
      </c>
    </row>
    <row r="75" ht="30.6" customHeight="1" s="6">
      <c r="A75" s="18" t="n">
        <v>72</v>
      </c>
      <c r="B75" s="19" t="n"/>
      <c r="C75" s="20" t="n"/>
      <c r="D75" s="128" t="n"/>
      <c r="E75" s="21" t="n"/>
      <c r="F75" s="22" t="n"/>
      <c r="G75" s="22" t="n"/>
      <c r="H75" s="22" t="n"/>
      <c r="I75" s="26">
        <f>G75-H75</f>
        <v/>
      </c>
      <c r="J75" s="21" t="n"/>
      <c r="K75" s="21" t="n"/>
      <c r="L75" s="27">
        <f>SUM(J75:K75)</f>
        <v/>
      </c>
      <c r="M75" s="28" t="n"/>
      <c r="N75" s="28" t="n"/>
      <c r="O75" s="29">
        <f>IF(AND(L75=0,M75=0,N75=0),0,IF(AND(L75=0,M75=0),N75/1,IF(AND(L75=0,N75=0),M75/1,IF(AND(M75=0,N75=0),L75/1,IF(L75=0,FLOOR((M75+N75)/2,0.1),IF(M75=0,(L75+N75)/2,IF(N75=0,(M75+L75)/2,FLOOR(((L75+M75+N75)/3),0.1))))))))</f>
        <v/>
      </c>
      <c r="P75" s="21" t="n"/>
      <c r="Q75" s="21" t="n"/>
      <c r="R75" s="27">
        <f>SUM(P75:Q75)</f>
        <v/>
      </c>
      <c r="S75" s="28" t="n"/>
      <c r="T75" s="28" t="n"/>
      <c r="U75" s="29">
        <f>IF(AND(R75=0,S75=0,T75=0),0,IF(AND(R75=0,S75=0),T75/1,IF(AND(R75=0,T75=0),S75/1,IF(AND(S75=0,T75=0),R75/1,IF(R75=0,FLOOR((S75+T75)/2,0.1),IF(S75=0,(R75+T75)/2,IF(T75=0,(S75+R75)/2,FLOOR(((R75+S75+T75)/3),0.1))))))))</f>
        <v/>
      </c>
      <c r="V75" s="21" t="n"/>
      <c r="W75" s="21" t="n"/>
      <c r="X75" s="27">
        <f>SUM(V75:W75)</f>
        <v/>
      </c>
      <c r="Y75" s="28" t="n"/>
      <c r="Z75" s="28" t="n"/>
      <c r="AA75" s="29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1" t="n"/>
      <c r="AC75" s="21" t="n"/>
      <c r="AD75" s="27">
        <f>SUM(AB75:AC75)</f>
        <v/>
      </c>
      <c r="AE75" s="28" t="n"/>
      <c r="AF75" s="28" t="n"/>
      <c r="AG75" s="29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1" t="n"/>
      <c r="AI75" s="21" t="n"/>
      <c r="AJ75" s="27">
        <f>SUM(AH75:AI75)</f>
        <v/>
      </c>
      <c r="AK75" s="28" t="n"/>
      <c r="AL75" s="28" t="n"/>
      <c r="AM75" s="29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1" t="n"/>
      <c r="AO75" s="21" t="n"/>
      <c r="AP75" s="27">
        <f>SUM(AN75:AO75)</f>
        <v/>
      </c>
      <c r="AQ75" s="28" t="n"/>
      <c r="AR75" s="30" t="n"/>
      <c r="AS75" s="29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1" t="n"/>
      <c r="AU75" s="21" t="n"/>
      <c r="AV75" s="27">
        <f>SUM(AT75:AU75)</f>
        <v/>
      </c>
      <c r="AW75" s="28" t="n"/>
      <c r="AX75" s="30" t="n"/>
      <c r="AY75" s="29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1" t="n"/>
      <c r="BA75" s="21" t="n"/>
      <c r="BB75" s="27">
        <f>SUM(AZ75:BA75)</f>
        <v/>
      </c>
      <c r="BC75" s="28" t="n"/>
      <c r="BD75" s="28" t="n"/>
      <c r="BE75" s="29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1" t="n"/>
      <c r="BG75" s="21" t="n"/>
      <c r="BH75" s="27">
        <f>SUM(BF75:BG75)</f>
        <v/>
      </c>
      <c r="BI75" s="28" t="n"/>
      <c r="BJ75" s="28" t="n"/>
      <c r="BK75" s="29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1" t="n"/>
      <c r="BM75" s="21" t="n"/>
      <c r="BN75" s="27">
        <f>SUM(BL75:BM75)</f>
        <v/>
      </c>
      <c r="BO75" s="28" t="n"/>
      <c r="BP75" s="31" t="n"/>
      <c r="BQ75" s="29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1" t="n"/>
      <c r="BS75" s="21" t="n"/>
      <c r="BT75" s="27">
        <f>SUM(BR75:BS75)</f>
        <v/>
      </c>
      <c r="BU75" s="28" t="n"/>
      <c r="BV75" s="31" t="n"/>
      <c r="BW75" s="29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1" t="n"/>
      <c r="BY75" s="21" t="n"/>
      <c r="BZ75" s="27">
        <f>SUM(BX75:BY75)</f>
        <v/>
      </c>
      <c r="CA75" s="28" t="n"/>
      <c r="CB75" s="31" t="n"/>
      <c r="CC75" s="29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1" t="n"/>
      <c r="CE75" s="21" t="n"/>
      <c r="CF75" s="27">
        <f>SUM(CD75:CE75)</f>
        <v/>
      </c>
      <c r="CG75" s="28" t="n"/>
      <c r="CH75" s="31" t="n"/>
      <c r="CI75" s="29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1" t="n"/>
      <c r="CK75" s="21" t="n"/>
      <c r="CL75" s="27">
        <f>SUM(CJ75:CK75)</f>
        <v/>
      </c>
      <c r="CM75" s="28" t="n"/>
      <c r="CN75" s="31" t="n"/>
      <c r="CO75" s="29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1" t="n"/>
      <c r="CQ75" s="21" t="n"/>
      <c r="CR75" s="27">
        <f>SUM(CP75:CQ75)</f>
        <v/>
      </c>
      <c r="CS75" s="28" t="n"/>
      <c r="CT75" s="31" t="n"/>
      <c r="CU75" s="29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1" t="n"/>
      <c r="CW75" s="21" t="n"/>
      <c r="CX75" s="27">
        <f>SUM(CV75:CW75)</f>
        <v/>
      </c>
      <c r="CY75" s="28" t="n"/>
      <c r="CZ75" s="31" t="n"/>
      <c r="DA75" s="29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1" t="n"/>
      <c r="DC75" s="21" t="n"/>
      <c r="DD75" s="27">
        <f>SUM(DB75:DC75)</f>
        <v/>
      </c>
      <c r="DE75" s="28" t="n"/>
      <c r="DF75" s="31" t="n"/>
      <c r="DG75" s="29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34">
        <f>SUM(O75,U75,AA75,AG75,AM75,AS75,AY75,BE75,BK75,BQ75,BW75,CC75,CI75,CO75,CU75,DA75,DG75)</f>
        <v/>
      </c>
      <c r="DI75" s="39">
        <f>RANK(DH75,DH$4:DH$503)</f>
        <v/>
      </c>
      <c r="DJ75" s="40" t="inlineStr">
        <is>
          <t>CHOOSE RATING</t>
        </is>
      </c>
      <c r="DK75" s="40" t="inlineStr">
        <is>
          <t>CHOOSE RATING</t>
        </is>
      </c>
      <c r="DL75" s="40" t="inlineStr">
        <is>
          <t>CHOOSE RATING</t>
        </is>
      </c>
      <c r="DM75" s="40" t="inlineStr">
        <is>
          <t>CHOOSE RATING</t>
        </is>
      </c>
      <c r="DN75" s="40" t="inlineStr">
        <is>
          <t>CHOOSE RATING</t>
        </is>
      </c>
      <c r="DO75" s="40" t="inlineStr">
        <is>
          <t>CHOOSE RATING</t>
        </is>
      </c>
      <c r="DP75" s="40" t="inlineStr">
        <is>
          <t>CHOOSE RATING</t>
        </is>
      </c>
      <c r="DQ75" s="40" t="inlineStr">
        <is>
          <t>CHOOSE RATING</t>
        </is>
      </c>
      <c r="DR75" s="43" t="inlineStr">
        <is>
          <t>2024/2025</t>
        </is>
      </c>
      <c r="DS75" s="45" t="inlineStr">
        <is>
          <t>THIRD</t>
        </is>
      </c>
      <c r="DT75" s="40" t="inlineStr">
        <is>
          <t>CHOOSE RATING</t>
        </is>
      </c>
      <c r="DU75" s="40" t="inlineStr">
        <is>
          <t>CHOOSE RATING</t>
        </is>
      </c>
      <c r="DV75" s="40" t="inlineStr">
        <is>
          <t>CHOOSE RATING</t>
        </is>
      </c>
      <c r="DW75" s="40" t="inlineStr">
        <is>
          <t>CHOOSE RATING</t>
        </is>
      </c>
      <c r="DX75" s="40" t="inlineStr">
        <is>
          <t>CHOOSE RATING</t>
        </is>
      </c>
      <c r="DY75" s="40" t="inlineStr">
        <is>
          <t>CHOOSE RATING</t>
        </is>
      </c>
      <c r="DZ75" s="53" t="inlineStr">
        <is>
          <t>CHOOSE RATING</t>
        </is>
      </c>
      <c r="EA75" s="54" t="inlineStr">
        <is>
          <t>Add the Tutor's Comment . . .</t>
        </is>
      </c>
      <c r="EB75" s="55" t="inlineStr">
        <is>
          <t>Choose Principals comment</t>
        </is>
      </c>
      <c r="EC75" s="56" t="n"/>
      <c r="ED75" s="57" t="inlineStr">
        <is>
          <t>Next Term Begins on Monday, 22nd September, 2025</t>
        </is>
      </c>
    </row>
    <row r="76" ht="30.6" customHeight="1" s="6">
      <c r="A76" s="18" t="n">
        <v>73</v>
      </c>
      <c r="B76" s="19" t="n"/>
      <c r="C76" s="20" t="n"/>
      <c r="D76" s="128" t="n"/>
      <c r="E76" s="21" t="n"/>
      <c r="F76" s="22" t="n"/>
      <c r="G76" s="22" t="n"/>
      <c r="H76" s="22" t="n"/>
      <c r="I76" s="26">
        <f>G76-H76</f>
        <v/>
      </c>
      <c r="J76" s="21" t="n"/>
      <c r="K76" s="21" t="n"/>
      <c r="L76" s="27">
        <f>SUM(J76:K76)</f>
        <v/>
      </c>
      <c r="M76" s="28" t="n"/>
      <c r="N76" s="28" t="n"/>
      <c r="O76" s="29">
        <f>IF(AND(L76=0,M76=0,N76=0),0,IF(AND(L76=0,M76=0),N76/1,IF(AND(L76=0,N76=0),M76/1,IF(AND(M76=0,N76=0),L76/1,IF(L76=0,FLOOR((M76+N76)/2,0.1),IF(M76=0,(L76+N76)/2,IF(N76=0,(M76+L76)/2,FLOOR(((L76+M76+N76)/3),0.1))))))))</f>
        <v/>
      </c>
      <c r="P76" s="21" t="n"/>
      <c r="Q76" s="21" t="n"/>
      <c r="R76" s="27">
        <f>SUM(P76:Q76)</f>
        <v/>
      </c>
      <c r="S76" s="28" t="n"/>
      <c r="T76" s="28" t="n"/>
      <c r="U76" s="29">
        <f>IF(AND(R76=0,S76=0,T76=0),0,IF(AND(R76=0,S76=0),T76/1,IF(AND(R76=0,T76=0),S76/1,IF(AND(S76=0,T76=0),R76/1,IF(R76=0,FLOOR((S76+T76)/2,0.1),IF(S76=0,(R76+T76)/2,IF(T76=0,(S76+R76)/2,FLOOR(((R76+S76+T76)/3),0.1))))))))</f>
        <v/>
      </c>
      <c r="V76" s="21" t="n"/>
      <c r="W76" s="21" t="n"/>
      <c r="X76" s="27">
        <f>SUM(V76:W76)</f>
        <v/>
      </c>
      <c r="Y76" s="28" t="n"/>
      <c r="Z76" s="28" t="n"/>
      <c r="AA76" s="29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1" t="n"/>
      <c r="AC76" s="21" t="n"/>
      <c r="AD76" s="27">
        <f>SUM(AB76:AC76)</f>
        <v/>
      </c>
      <c r="AE76" s="28" t="n"/>
      <c r="AF76" s="28" t="n"/>
      <c r="AG76" s="29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1" t="n"/>
      <c r="AI76" s="21" t="n"/>
      <c r="AJ76" s="27">
        <f>SUM(AH76:AI76)</f>
        <v/>
      </c>
      <c r="AK76" s="28" t="n"/>
      <c r="AL76" s="28" t="n"/>
      <c r="AM76" s="29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1" t="n"/>
      <c r="AO76" s="21" t="n"/>
      <c r="AP76" s="27">
        <f>SUM(AN76:AO76)</f>
        <v/>
      </c>
      <c r="AQ76" s="28" t="n"/>
      <c r="AR76" s="30" t="n"/>
      <c r="AS76" s="29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1" t="n"/>
      <c r="AU76" s="21" t="n"/>
      <c r="AV76" s="27">
        <f>SUM(AT76:AU76)</f>
        <v/>
      </c>
      <c r="AW76" s="28" t="n"/>
      <c r="AX76" s="30" t="n"/>
      <c r="AY76" s="29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1" t="n"/>
      <c r="BA76" s="21" t="n"/>
      <c r="BB76" s="27">
        <f>SUM(AZ76:BA76)</f>
        <v/>
      </c>
      <c r="BC76" s="28" t="n"/>
      <c r="BD76" s="28" t="n"/>
      <c r="BE76" s="29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1" t="n"/>
      <c r="BG76" s="21" t="n"/>
      <c r="BH76" s="27">
        <f>SUM(BF76:BG76)</f>
        <v/>
      </c>
      <c r="BI76" s="28" t="n"/>
      <c r="BJ76" s="28" t="n"/>
      <c r="BK76" s="29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1" t="n"/>
      <c r="BM76" s="21" t="n"/>
      <c r="BN76" s="27">
        <f>SUM(BL76:BM76)</f>
        <v/>
      </c>
      <c r="BO76" s="28" t="n"/>
      <c r="BP76" s="31" t="n"/>
      <c r="BQ76" s="29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1" t="n"/>
      <c r="BS76" s="21" t="n"/>
      <c r="BT76" s="27">
        <f>SUM(BR76:BS76)</f>
        <v/>
      </c>
      <c r="BU76" s="28" t="n"/>
      <c r="BV76" s="31" t="n"/>
      <c r="BW76" s="29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1" t="n"/>
      <c r="BY76" s="21" t="n"/>
      <c r="BZ76" s="27">
        <f>SUM(BX76:BY76)</f>
        <v/>
      </c>
      <c r="CA76" s="28" t="n"/>
      <c r="CB76" s="31" t="n"/>
      <c r="CC76" s="29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1" t="n"/>
      <c r="CE76" s="21" t="n"/>
      <c r="CF76" s="27">
        <f>SUM(CD76:CE76)</f>
        <v/>
      </c>
      <c r="CG76" s="28" t="n"/>
      <c r="CH76" s="31" t="n"/>
      <c r="CI76" s="29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1" t="n"/>
      <c r="CK76" s="21" t="n"/>
      <c r="CL76" s="27">
        <f>SUM(CJ76:CK76)</f>
        <v/>
      </c>
      <c r="CM76" s="28" t="n"/>
      <c r="CN76" s="31" t="n"/>
      <c r="CO76" s="29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1" t="n"/>
      <c r="CQ76" s="21" t="n"/>
      <c r="CR76" s="27">
        <f>SUM(CP76:CQ76)</f>
        <v/>
      </c>
      <c r="CS76" s="28" t="n"/>
      <c r="CT76" s="31" t="n"/>
      <c r="CU76" s="29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1" t="n"/>
      <c r="CW76" s="21" t="n"/>
      <c r="CX76" s="27">
        <f>SUM(CV76:CW76)</f>
        <v/>
      </c>
      <c r="CY76" s="28" t="n"/>
      <c r="CZ76" s="31" t="n"/>
      <c r="DA76" s="29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1" t="n"/>
      <c r="DC76" s="21" t="n"/>
      <c r="DD76" s="27">
        <f>SUM(DB76:DC76)</f>
        <v/>
      </c>
      <c r="DE76" s="28" t="n"/>
      <c r="DF76" s="31" t="n"/>
      <c r="DG76" s="29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34">
        <f>SUM(O76,U76,AA76,AG76,AM76,AS76,AY76,BE76,BK76,BQ76,BW76,CC76,CI76,CO76,CU76,DA76,DG76)</f>
        <v/>
      </c>
      <c r="DI76" s="39">
        <f>RANK(DH76,DH$4:DH$503)</f>
        <v/>
      </c>
      <c r="DJ76" s="40" t="inlineStr">
        <is>
          <t>CHOOSE RATING</t>
        </is>
      </c>
      <c r="DK76" s="40" t="inlineStr">
        <is>
          <t>CHOOSE RATING</t>
        </is>
      </c>
      <c r="DL76" s="40" t="inlineStr">
        <is>
          <t>CHOOSE RATING</t>
        </is>
      </c>
      <c r="DM76" s="40" t="inlineStr">
        <is>
          <t>CHOOSE RATING</t>
        </is>
      </c>
      <c r="DN76" s="40" t="inlineStr">
        <is>
          <t>CHOOSE RATING</t>
        </is>
      </c>
      <c r="DO76" s="40" t="inlineStr">
        <is>
          <t>CHOOSE RATING</t>
        </is>
      </c>
      <c r="DP76" s="40" t="inlineStr">
        <is>
          <t>CHOOSE RATING</t>
        </is>
      </c>
      <c r="DQ76" s="40" t="inlineStr">
        <is>
          <t>CHOOSE RATING</t>
        </is>
      </c>
      <c r="DR76" s="43" t="inlineStr">
        <is>
          <t>2024/2025</t>
        </is>
      </c>
      <c r="DS76" s="45" t="inlineStr">
        <is>
          <t>THIRD</t>
        </is>
      </c>
      <c r="DT76" s="40" t="inlineStr">
        <is>
          <t>CHOOSE RATING</t>
        </is>
      </c>
      <c r="DU76" s="40" t="inlineStr">
        <is>
          <t>CHOOSE RATING</t>
        </is>
      </c>
      <c r="DV76" s="40" t="inlineStr">
        <is>
          <t>CHOOSE RATING</t>
        </is>
      </c>
      <c r="DW76" s="40" t="inlineStr">
        <is>
          <t>CHOOSE RATING</t>
        </is>
      </c>
      <c r="DX76" s="40" t="inlineStr">
        <is>
          <t>CHOOSE RATING</t>
        </is>
      </c>
      <c r="DY76" s="40" t="inlineStr">
        <is>
          <t>CHOOSE RATING</t>
        </is>
      </c>
      <c r="DZ76" s="53" t="inlineStr">
        <is>
          <t>CHOOSE RATING</t>
        </is>
      </c>
      <c r="EA76" s="54" t="inlineStr">
        <is>
          <t>Add the Tutor's Comment . . .</t>
        </is>
      </c>
      <c r="EB76" s="55" t="inlineStr">
        <is>
          <t>Choose Principals comment</t>
        </is>
      </c>
      <c r="EC76" s="56" t="n"/>
      <c r="ED76" s="57" t="inlineStr">
        <is>
          <t>Next Term Begins on Monday, 22nd September, 2025</t>
        </is>
      </c>
    </row>
    <row r="77" ht="30.6" customHeight="1" s="6">
      <c r="A77" s="18" t="n">
        <v>74</v>
      </c>
      <c r="B77" s="19" t="n"/>
      <c r="C77" s="20" t="n"/>
      <c r="D77" s="128" t="n"/>
      <c r="E77" s="21" t="n"/>
      <c r="F77" s="22" t="n"/>
      <c r="G77" s="22" t="n"/>
      <c r="H77" s="22" t="n"/>
      <c r="I77" s="26">
        <f>G77-H77</f>
        <v/>
      </c>
      <c r="J77" s="21" t="n"/>
      <c r="K77" s="21" t="n"/>
      <c r="L77" s="27">
        <f>SUM(J77:K77)</f>
        <v/>
      </c>
      <c r="M77" s="28" t="n"/>
      <c r="N77" s="28" t="n"/>
      <c r="O77" s="29">
        <f>IF(AND(L77=0,M77=0,N77=0),0,IF(AND(L77=0,M77=0),N77/1,IF(AND(L77=0,N77=0),M77/1,IF(AND(M77=0,N77=0),L77/1,IF(L77=0,FLOOR((M77+N77)/2,0.1),IF(M77=0,(L77+N77)/2,IF(N77=0,(M77+L77)/2,FLOOR(((L77+M77+N77)/3),0.1))))))))</f>
        <v/>
      </c>
      <c r="P77" s="21" t="n"/>
      <c r="Q77" s="21" t="n"/>
      <c r="R77" s="27">
        <f>SUM(P77:Q77)</f>
        <v/>
      </c>
      <c r="S77" s="28" t="n"/>
      <c r="T77" s="28" t="n"/>
      <c r="U77" s="29">
        <f>IF(AND(R77=0,S77=0,T77=0),0,IF(AND(R77=0,S77=0),T77/1,IF(AND(R77=0,T77=0),S77/1,IF(AND(S77=0,T77=0),R77/1,IF(R77=0,FLOOR((S77+T77)/2,0.1),IF(S77=0,(R77+T77)/2,IF(T77=0,(S77+R77)/2,FLOOR(((R77+S77+T77)/3),0.1))))))))</f>
        <v/>
      </c>
      <c r="V77" s="21" t="n"/>
      <c r="W77" s="21" t="n"/>
      <c r="X77" s="27">
        <f>SUM(V77:W77)</f>
        <v/>
      </c>
      <c r="Y77" s="28" t="n"/>
      <c r="Z77" s="28" t="n"/>
      <c r="AA77" s="29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1" t="n"/>
      <c r="AC77" s="21" t="n"/>
      <c r="AD77" s="27">
        <f>SUM(AB77:AC77)</f>
        <v/>
      </c>
      <c r="AE77" s="28" t="n"/>
      <c r="AF77" s="28" t="n"/>
      <c r="AG77" s="29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1" t="n"/>
      <c r="AI77" s="21" t="n"/>
      <c r="AJ77" s="27">
        <f>SUM(AH77:AI77)</f>
        <v/>
      </c>
      <c r="AK77" s="28" t="n"/>
      <c r="AL77" s="28" t="n"/>
      <c r="AM77" s="29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1" t="n"/>
      <c r="AO77" s="21" t="n"/>
      <c r="AP77" s="27">
        <f>SUM(AN77:AO77)</f>
        <v/>
      </c>
      <c r="AQ77" s="28" t="n"/>
      <c r="AR77" s="30" t="n"/>
      <c r="AS77" s="29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1" t="n"/>
      <c r="AU77" s="21" t="n"/>
      <c r="AV77" s="27">
        <f>SUM(AT77:AU77)</f>
        <v/>
      </c>
      <c r="AW77" s="28" t="n"/>
      <c r="AX77" s="30" t="n"/>
      <c r="AY77" s="29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1" t="n"/>
      <c r="BA77" s="21" t="n"/>
      <c r="BB77" s="27">
        <f>SUM(AZ77:BA77)</f>
        <v/>
      </c>
      <c r="BC77" s="28" t="n"/>
      <c r="BD77" s="28" t="n"/>
      <c r="BE77" s="29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1" t="n"/>
      <c r="BG77" s="21" t="n"/>
      <c r="BH77" s="27">
        <f>SUM(BF77:BG77)</f>
        <v/>
      </c>
      <c r="BI77" s="28" t="n"/>
      <c r="BJ77" s="28" t="n"/>
      <c r="BK77" s="29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1" t="n"/>
      <c r="BM77" s="21" t="n"/>
      <c r="BN77" s="27">
        <f>SUM(BL77:BM77)</f>
        <v/>
      </c>
      <c r="BO77" s="28" t="n"/>
      <c r="BP77" s="31" t="n"/>
      <c r="BQ77" s="29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1" t="n"/>
      <c r="BS77" s="21" t="n"/>
      <c r="BT77" s="27">
        <f>SUM(BR77:BS77)</f>
        <v/>
      </c>
      <c r="BU77" s="28" t="n"/>
      <c r="BV77" s="31" t="n"/>
      <c r="BW77" s="29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1" t="n"/>
      <c r="BY77" s="21" t="n"/>
      <c r="BZ77" s="27">
        <f>SUM(BX77:BY77)</f>
        <v/>
      </c>
      <c r="CA77" s="28" t="n"/>
      <c r="CB77" s="31" t="n"/>
      <c r="CC77" s="29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1" t="n"/>
      <c r="CE77" s="21" t="n"/>
      <c r="CF77" s="27">
        <f>SUM(CD77:CE77)</f>
        <v/>
      </c>
      <c r="CG77" s="28" t="n"/>
      <c r="CH77" s="31" t="n"/>
      <c r="CI77" s="29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1" t="n"/>
      <c r="CK77" s="21" t="n"/>
      <c r="CL77" s="27">
        <f>SUM(CJ77:CK77)</f>
        <v/>
      </c>
      <c r="CM77" s="28" t="n"/>
      <c r="CN77" s="31" t="n"/>
      <c r="CO77" s="29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1" t="n"/>
      <c r="CQ77" s="21" t="n"/>
      <c r="CR77" s="27">
        <f>SUM(CP77:CQ77)</f>
        <v/>
      </c>
      <c r="CS77" s="28" t="n"/>
      <c r="CT77" s="31" t="n"/>
      <c r="CU77" s="29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1" t="n"/>
      <c r="CW77" s="21" t="n"/>
      <c r="CX77" s="27">
        <f>SUM(CV77:CW77)</f>
        <v/>
      </c>
      <c r="CY77" s="28" t="n"/>
      <c r="CZ77" s="31" t="n"/>
      <c r="DA77" s="29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1" t="n"/>
      <c r="DC77" s="21" t="n"/>
      <c r="DD77" s="27">
        <f>SUM(DB77:DC77)</f>
        <v/>
      </c>
      <c r="DE77" s="28" t="n"/>
      <c r="DF77" s="31" t="n"/>
      <c r="DG77" s="29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34">
        <f>SUM(O77,U77,AA77,AG77,AM77,AS77,AY77,BE77,BK77,BQ77,BW77,CC77,CI77,CO77,CU77,DA77,DG77)</f>
        <v/>
      </c>
      <c r="DI77" s="39">
        <f>RANK(DH77,DH$4:DH$503)</f>
        <v/>
      </c>
      <c r="DJ77" s="40" t="inlineStr">
        <is>
          <t>CHOOSE RATING</t>
        </is>
      </c>
      <c r="DK77" s="40" t="inlineStr">
        <is>
          <t>CHOOSE RATING</t>
        </is>
      </c>
      <c r="DL77" s="40" t="inlineStr">
        <is>
          <t>CHOOSE RATING</t>
        </is>
      </c>
      <c r="DM77" s="40" t="inlineStr">
        <is>
          <t>CHOOSE RATING</t>
        </is>
      </c>
      <c r="DN77" s="40" t="inlineStr">
        <is>
          <t>CHOOSE RATING</t>
        </is>
      </c>
      <c r="DO77" s="40" t="inlineStr">
        <is>
          <t>CHOOSE RATING</t>
        </is>
      </c>
      <c r="DP77" s="40" t="inlineStr">
        <is>
          <t>CHOOSE RATING</t>
        </is>
      </c>
      <c r="DQ77" s="40" t="inlineStr">
        <is>
          <t>CHOOSE RATING</t>
        </is>
      </c>
      <c r="DR77" s="43" t="inlineStr">
        <is>
          <t>2024/2025</t>
        </is>
      </c>
      <c r="DS77" s="45" t="inlineStr">
        <is>
          <t>THIRD</t>
        </is>
      </c>
      <c r="DT77" s="40" t="inlineStr">
        <is>
          <t>CHOOSE RATING</t>
        </is>
      </c>
      <c r="DU77" s="40" t="inlineStr">
        <is>
          <t>CHOOSE RATING</t>
        </is>
      </c>
      <c r="DV77" s="40" t="inlineStr">
        <is>
          <t>CHOOSE RATING</t>
        </is>
      </c>
      <c r="DW77" s="40" t="inlineStr">
        <is>
          <t>CHOOSE RATING</t>
        </is>
      </c>
      <c r="DX77" s="40" t="inlineStr">
        <is>
          <t>CHOOSE RATING</t>
        </is>
      </c>
      <c r="DY77" s="40" t="inlineStr">
        <is>
          <t>CHOOSE RATING</t>
        </is>
      </c>
      <c r="DZ77" s="53" t="inlineStr">
        <is>
          <t>CHOOSE RATING</t>
        </is>
      </c>
      <c r="EA77" s="54" t="inlineStr">
        <is>
          <t>Add the Tutor's Comment . . .</t>
        </is>
      </c>
      <c r="EB77" s="55" t="inlineStr">
        <is>
          <t>Choose Principals comment</t>
        </is>
      </c>
      <c r="EC77" s="56" t="n"/>
      <c r="ED77" s="57" t="inlineStr">
        <is>
          <t>Next Term Begins on Monday, 22nd September, 2025</t>
        </is>
      </c>
    </row>
    <row r="78" ht="30.6" customHeight="1" s="6">
      <c r="A78" s="18" t="n">
        <v>75</v>
      </c>
      <c r="B78" s="19" t="n"/>
      <c r="C78" s="20" t="n"/>
      <c r="D78" s="128" t="n"/>
      <c r="E78" s="21" t="n"/>
      <c r="F78" s="22" t="n"/>
      <c r="G78" s="22" t="n"/>
      <c r="H78" s="22" t="n"/>
      <c r="I78" s="26">
        <f>G78-H78</f>
        <v/>
      </c>
      <c r="J78" s="21" t="n"/>
      <c r="K78" s="21" t="n"/>
      <c r="L78" s="27">
        <f>SUM(J78:K78)</f>
        <v/>
      </c>
      <c r="M78" s="28" t="n"/>
      <c r="N78" s="28" t="n"/>
      <c r="O78" s="29">
        <f>IF(AND(L78=0,M78=0,N78=0),0,IF(AND(L78=0,M78=0),N78/1,IF(AND(L78=0,N78=0),M78/1,IF(AND(M78=0,N78=0),L78/1,IF(L78=0,FLOOR((M78+N78)/2,0.1),IF(M78=0,(L78+N78)/2,IF(N78=0,(M78+L78)/2,FLOOR(((L78+M78+N78)/3),0.1))))))))</f>
        <v/>
      </c>
      <c r="P78" s="21" t="n"/>
      <c r="Q78" s="21" t="n"/>
      <c r="R78" s="27">
        <f>SUM(P78:Q78)</f>
        <v/>
      </c>
      <c r="S78" s="28" t="n"/>
      <c r="T78" s="28" t="n"/>
      <c r="U78" s="29">
        <f>IF(AND(R78=0,S78=0,T78=0),0,IF(AND(R78=0,S78=0),T78/1,IF(AND(R78=0,T78=0),S78/1,IF(AND(S78=0,T78=0),R78/1,IF(R78=0,FLOOR((S78+T78)/2,0.1),IF(S78=0,(R78+T78)/2,IF(T78=0,(S78+R78)/2,FLOOR(((R78+S78+T78)/3),0.1))))))))</f>
        <v/>
      </c>
      <c r="V78" s="21" t="n"/>
      <c r="W78" s="21" t="n"/>
      <c r="X78" s="27">
        <f>SUM(V78:W78)</f>
        <v/>
      </c>
      <c r="Y78" s="28" t="n"/>
      <c r="Z78" s="28" t="n"/>
      <c r="AA78" s="29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1" t="n"/>
      <c r="AC78" s="21" t="n"/>
      <c r="AD78" s="27">
        <f>SUM(AB78:AC78)</f>
        <v/>
      </c>
      <c r="AE78" s="28" t="n"/>
      <c r="AF78" s="28" t="n"/>
      <c r="AG78" s="29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1" t="n"/>
      <c r="AI78" s="21" t="n"/>
      <c r="AJ78" s="27">
        <f>SUM(AH78:AI78)</f>
        <v/>
      </c>
      <c r="AK78" s="28" t="n"/>
      <c r="AL78" s="28" t="n"/>
      <c r="AM78" s="29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1" t="n"/>
      <c r="AO78" s="21" t="n"/>
      <c r="AP78" s="27">
        <f>SUM(AN78:AO78)</f>
        <v/>
      </c>
      <c r="AQ78" s="28" t="n"/>
      <c r="AR78" s="30" t="n"/>
      <c r="AS78" s="29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1" t="n"/>
      <c r="AU78" s="21" t="n"/>
      <c r="AV78" s="27">
        <f>SUM(AT78:AU78)</f>
        <v/>
      </c>
      <c r="AW78" s="28" t="n"/>
      <c r="AX78" s="30" t="n"/>
      <c r="AY78" s="29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1" t="n"/>
      <c r="BA78" s="21" t="n"/>
      <c r="BB78" s="27">
        <f>SUM(AZ78:BA78)</f>
        <v/>
      </c>
      <c r="BC78" s="28" t="n"/>
      <c r="BD78" s="28" t="n"/>
      <c r="BE78" s="29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1" t="n"/>
      <c r="BG78" s="21" t="n"/>
      <c r="BH78" s="27">
        <f>SUM(BF78:BG78)</f>
        <v/>
      </c>
      <c r="BI78" s="28" t="n"/>
      <c r="BJ78" s="28" t="n"/>
      <c r="BK78" s="29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1" t="n"/>
      <c r="BM78" s="21" t="n"/>
      <c r="BN78" s="27">
        <f>SUM(BL78:BM78)</f>
        <v/>
      </c>
      <c r="BO78" s="28" t="n"/>
      <c r="BP78" s="31" t="n"/>
      <c r="BQ78" s="29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1" t="n"/>
      <c r="BS78" s="21" t="n"/>
      <c r="BT78" s="27">
        <f>SUM(BR78:BS78)</f>
        <v/>
      </c>
      <c r="BU78" s="28" t="n"/>
      <c r="BV78" s="31" t="n"/>
      <c r="BW78" s="29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1" t="n"/>
      <c r="BY78" s="21" t="n"/>
      <c r="BZ78" s="27">
        <f>SUM(BX78:BY78)</f>
        <v/>
      </c>
      <c r="CA78" s="28" t="n"/>
      <c r="CB78" s="31" t="n"/>
      <c r="CC78" s="29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1" t="n"/>
      <c r="CE78" s="21" t="n"/>
      <c r="CF78" s="27">
        <f>SUM(CD78:CE78)</f>
        <v/>
      </c>
      <c r="CG78" s="28" t="n"/>
      <c r="CH78" s="31" t="n"/>
      <c r="CI78" s="29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1" t="n"/>
      <c r="CK78" s="21" t="n"/>
      <c r="CL78" s="27">
        <f>SUM(CJ78:CK78)</f>
        <v/>
      </c>
      <c r="CM78" s="28" t="n"/>
      <c r="CN78" s="31" t="n"/>
      <c r="CO78" s="29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1" t="n"/>
      <c r="CQ78" s="21" t="n"/>
      <c r="CR78" s="27">
        <f>SUM(CP78:CQ78)</f>
        <v/>
      </c>
      <c r="CS78" s="28" t="n"/>
      <c r="CT78" s="31" t="n"/>
      <c r="CU78" s="29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1" t="n"/>
      <c r="CW78" s="21" t="n"/>
      <c r="CX78" s="27">
        <f>SUM(CV78:CW78)</f>
        <v/>
      </c>
      <c r="CY78" s="28" t="n"/>
      <c r="CZ78" s="31" t="n"/>
      <c r="DA78" s="29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1" t="n"/>
      <c r="DC78" s="21" t="n"/>
      <c r="DD78" s="27">
        <f>SUM(DB78:DC78)</f>
        <v/>
      </c>
      <c r="DE78" s="28" t="n"/>
      <c r="DF78" s="31" t="n"/>
      <c r="DG78" s="29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34">
        <f>SUM(O78,U78,AA78,AG78,AM78,AS78,AY78,BE78,BK78,BQ78,BW78,CC78,CI78,CO78,CU78,DA78,DG78)</f>
        <v/>
      </c>
      <c r="DI78" s="39">
        <f>RANK(DH78,DH$4:DH$503)</f>
        <v/>
      </c>
      <c r="DJ78" s="40" t="inlineStr">
        <is>
          <t>CHOOSE RATING</t>
        </is>
      </c>
      <c r="DK78" s="40" t="inlineStr">
        <is>
          <t>CHOOSE RATING</t>
        </is>
      </c>
      <c r="DL78" s="40" t="inlineStr">
        <is>
          <t>CHOOSE RATING</t>
        </is>
      </c>
      <c r="DM78" s="40" t="inlineStr">
        <is>
          <t>CHOOSE RATING</t>
        </is>
      </c>
      <c r="DN78" s="40" t="inlineStr">
        <is>
          <t>CHOOSE RATING</t>
        </is>
      </c>
      <c r="DO78" s="40" t="inlineStr">
        <is>
          <t>CHOOSE RATING</t>
        </is>
      </c>
      <c r="DP78" s="40" t="inlineStr">
        <is>
          <t>CHOOSE RATING</t>
        </is>
      </c>
      <c r="DQ78" s="40" t="inlineStr">
        <is>
          <t>CHOOSE RATING</t>
        </is>
      </c>
      <c r="DR78" s="43" t="inlineStr">
        <is>
          <t>2024/2025</t>
        </is>
      </c>
      <c r="DS78" s="45" t="inlineStr">
        <is>
          <t>THIRD</t>
        </is>
      </c>
      <c r="DT78" s="40" t="inlineStr">
        <is>
          <t>CHOOSE RATING</t>
        </is>
      </c>
      <c r="DU78" s="40" t="inlineStr">
        <is>
          <t>CHOOSE RATING</t>
        </is>
      </c>
      <c r="DV78" s="40" t="inlineStr">
        <is>
          <t>CHOOSE RATING</t>
        </is>
      </c>
      <c r="DW78" s="40" t="inlineStr">
        <is>
          <t>CHOOSE RATING</t>
        </is>
      </c>
      <c r="DX78" s="40" t="inlineStr">
        <is>
          <t>CHOOSE RATING</t>
        </is>
      </c>
      <c r="DY78" s="40" t="inlineStr">
        <is>
          <t>CHOOSE RATING</t>
        </is>
      </c>
      <c r="DZ78" s="53" t="inlineStr">
        <is>
          <t>CHOOSE RATING</t>
        </is>
      </c>
      <c r="EA78" s="54" t="inlineStr">
        <is>
          <t>Add the Tutor's Comment . . .</t>
        </is>
      </c>
      <c r="EB78" s="55" t="inlineStr">
        <is>
          <t>Choose Principals comment</t>
        </is>
      </c>
      <c r="EC78" s="56" t="n"/>
      <c r="ED78" s="57" t="inlineStr">
        <is>
          <t>Next Term Begins on Monday, 22nd September, 2025</t>
        </is>
      </c>
    </row>
    <row r="79" ht="30.6" customHeight="1" s="6">
      <c r="A79" s="18" t="n">
        <v>76</v>
      </c>
      <c r="B79" s="19" t="n"/>
      <c r="C79" s="20" t="n"/>
      <c r="D79" s="128" t="n"/>
      <c r="E79" s="21" t="n"/>
      <c r="F79" s="22" t="n"/>
      <c r="G79" s="22" t="n"/>
      <c r="H79" s="22" t="n"/>
      <c r="I79" s="26">
        <f>G79-H79</f>
        <v/>
      </c>
      <c r="J79" s="21" t="n"/>
      <c r="K79" s="21" t="n"/>
      <c r="L79" s="27">
        <f>SUM(J79:K79)</f>
        <v/>
      </c>
      <c r="M79" s="28" t="n"/>
      <c r="N79" s="28" t="n"/>
      <c r="O79" s="29">
        <f>IF(AND(L79=0,M79=0,N79=0),0,IF(AND(L79=0,M79=0),N79/1,IF(AND(L79=0,N79=0),M79/1,IF(AND(M79=0,N79=0),L79/1,IF(L79=0,FLOOR((M79+N79)/2,0.1),IF(M79=0,(L79+N79)/2,IF(N79=0,(M79+L79)/2,FLOOR(((L79+M79+N79)/3),0.1))))))))</f>
        <v/>
      </c>
      <c r="P79" s="21" t="n"/>
      <c r="Q79" s="21" t="n"/>
      <c r="R79" s="27">
        <f>SUM(P79:Q79)</f>
        <v/>
      </c>
      <c r="S79" s="28" t="n"/>
      <c r="T79" s="28" t="n"/>
      <c r="U79" s="29">
        <f>IF(AND(R79=0,S79=0,T79=0),0,IF(AND(R79=0,S79=0),T79/1,IF(AND(R79=0,T79=0),S79/1,IF(AND(S79=0,T79=0),R79/1,IF(R79=0,FLOOR((S79+T79)/2,0.1),IF(S79=0,(R79+T79)/2,IF(T79=0,(S79+R79)/2,FLOOR(((R79+S79+T79)/3),0.1))))))))</f>
        <v/>
      </c>
      <c r="V79" s="21" t="n"/>
      <c r="W79" s="21" t="n"/>
      <c r="X79" s="27">
        <f>SUM(V79:W79)</f>
        <v/>
      </c>
      <c r="Y79" s="28" t="n"/>
      <c r="Z79" s="28" t="n"/>
      <c r="AA79" s="29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1" t="n"/>
      <c r="AC79" s="21" t="n"/>
      <c r="AD79" s="27">
        <f>SUM(AB79:AC79)</f>
        <v/>
      </c>
      <c r="AE79" s="28" t="n"/>
      <c r="AF79" s="28" t="n"/>
      <c r="AG79" s="29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1" t="n"/>
      <c r="AI79" s="21" t="n"/>
      <c r="AJ79" s="27">
        <f>SUM(AH79:AI79)</f>
        <v/>
      </c>
      <c r="AK79" s="28" t="n"/>
      <c r="AL79" s="28" t="n"/>
      <c r="AM79" s="29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1" t="n"/>
      <c r="AO79" s="21" t="n"/>
      <c r="AP79" s="27">
        <f>SUM(AN79:AO79)</f>
        <v/>
      </c>
      <c r="AQ79" s="28" t="n"/>
      <c r="AR79" s="30" t="n"/>
      <c r="AS79" s="29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1" t="n"/>
      <c r="AU79" s="21" t="n"/>
      <c r="AV79" s="27">
        <f>SUM(AT79:AU79)</f>
        <v/>
      </c>
      <c r="AW79" s="28" t="n"/>
      <c r="AX79" s="30" t="n"/>
      <c r="AY79" s="29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1" t="n"/>
      <c r="BA79" s="21" t="n"/>
      <c r="BB79" s="27">
        <f>SUM(AZ79:BA79)</f>
        <v/>
      </c>
      <c r="BC79" s="28" t="n"/>
      <c r="BD79" s="28" t="n"/>
      <c r="BE79" s="29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1" t="n"/>
      <c r="BG79" s="21" t="n"/>
      <c r="BH79" s="27">
        <f>SUM(BF79:BG79)</f>
        <v/>
      </c>
      <c r="BI79" s="28" t="n"/>
      <c r="BJ79" s="28" t="n"/>
      <c r="BK79" s="29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1" t="n"/>
      <c r="BM79" s="21" t="n"/>
      <c r="BN79" s="27">
        <f>SUM(BL79:BM79)</f>
        <v/>
      </c>
      <c r="BO79" s="28" t="n"/>
      <c r="BP79" s="31" t="n"/>
      <c r="BQ79" s="29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1" t="n"/>
      <c r="BS79" s="21" t="n"/>
      <c r="BT79" s="27">
        <f>SUM(BR79:BS79)</f>
        <v/>
      </c>
      <c r="BU79" s="28" t="n"/>
      <c r="BV79" s="31" t="n"/>
      <c r="BW79" s="29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1" t="n"/>
      <c r="BY79" s="21" t="n"/>
      <c r="BZ79" s="27">
        <f>SUM(BX79:BY79)</f>
        <v/>
      </c>
      <c r="CA79" s="28" t="n"/>
      <c r="CB79" s="31" t="n"/>
      <c r="CC79" s="29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1" t="n"/>
      <c r="CE79" s="21" t="n"/>
      <c r="CF79" s="27">
        <f>SUM(CD79:CE79)</f>
        <v/>
      </c>
      <c r="CG79" s="28" t="n"/>
      <c r="CH79" s="31" t="n"/>
      <c r="CI79" s="29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1" t="n"/>
      <c r="CK79" s="21" t="n"/>
      <c r="CL79" s="27">
        <f>SUM(CJ79:CK79)</f>
        <v/>
      </c>
      <c r="CM79" s="28" t="n"/>
      <c r="CN79" s="31" t="n"/>
      <c r="CO79" s="29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1" t="n"/>
      <c r="CQ79" s="21" t="n"/>
      <c r="CR79" s="27">
        <f>SUM(CP79:CQ79)</f>
        <v/>
      </c>
      <c r="CS79" s="28" t="n"/>
      <c r="CT79" s="31" t="n"/>
      <c r="CU79" s="29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1" t="n"/>
      <c r="CW79" s="21" t="n"/>
      <c r="CX79" s="27">
        <f>SUM(CV79:CW79)</f>
        <v/>
      </c>
      <c r="CY79" s="28" t="n"/>
      <c r="CZ79" s="31" t="n"/>
      <c r="DA79" s="29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1" t="n"/>
      <c r="DC79" s="21" t="n"/>
      <c r="DD79" s="27">
        <f>SUM(DB79:DC79)</f>
        <v/>
      </c>
      <c r="DE79" s="28" t="n"/>
      <c r="DF79" s="31" t="n"/>
      <c r="DG79" s="29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34">
        <f>SUM(O79,U79,AA79,AG79,AM79,AS79,AY79,BE79,BK79,BQ79,BW79,CC79,CI79,CO79,CU79,DA79,DG79)</f>
        <v/>
      </c>
      <c r="DI79" s="39">
        <f>RANK(DH79,DH$4:DH$503)</f>
        <v/>
      </c>
      <c r="DJ79" s="40" t="inlineStr">
        <is>
          <t>CHOOSE RATING</t>
        </is>
      </c>
      <c r="DK79" s="40" t="inlineStr">
        <is>
          <t>CHOOSE RATING</t>
        </is>
      </c>
      <c r="DL79" s="40" t="inlineStr">
        <is>
          <t>CHOOSE RATING</t>
        </is>
      </c>
      <c r="DM79" s="40" t="inlineStr">
        <is>
          <t>CHOOSE RATING</t>
        </is>
      </c>
      <c r="DN79" s="40" t="inlineStr">
        <is>
          <t>CHOOSE RATING</t>
        </is>
      </c>
      <c r="DO79" s="40" t="inlineStr">
        <is>
          <t>CHOOSE RATING</t>
        </is>
      </c>
      <c r="DP79" s="40" t="inlineStr">
        <is>
          <t>CHOOSE RATING</t>
        </is>
      </c>
      <c r="DQ79" s="40" t="inlineStr">
        <is>
          <t>CHOOSE RATING</t>
        </is>
      </c>
      <c r="DR79" s="43" t="inlineStr">
        <is>
          <t>2024/2025</t>
        </is>
      </c>
      <c r="DS79" s="45" t="inlineStr">
        <is>
          <t>THIRD</t>
        </is>
      </c>
      <c r="DT79" s="40" t="inlineStr">
        <is>
          <t>CHOOSE RATING</t>
        </is>
      </c>
      <c r="DU79" s="40" t="inlineStr">
        <is>
          <t>CHOOSE RATING</t>
        </is>
      </c>
      <c r="DV79" s="40" t="inlineStr">
        <is>
          <t>CHOOSE RATING</t>
        </is>
      </c>
      <c r="DW79" s="40" t="inlineStr">
        <is>
          <t>CHOOSE RATING</t>
        </is>
      </c>
      <c r="DX79" s="40" t="inlineStr">
        <is>
          <t>CHOOSE RATING</t>
        </is>
      </c>
      <c r="DY79" s="40" t="inlineStr">
        <is>
          <t>CHOOSE RATING</t>
        </is>
      </c>
      <c r="DZ79" s="53" t="inlineStr">
        <is>
          <t>CHOOSE RATING</t>
        </is>
      </c>
      <c r="EA79" s="54" t="inlineStr">
        <is>
          <t>Add the Tutor's Comment . . .</t>
        </is>
      </c>
      <c r="EB79" s="55" t="inlineStr">
        <is>
          <t>Choose Principals comment</t>
        </is>
      </c>
      <c r="EC79" s="56" t="n"/>
      <c r="ED79" s="57" t="inlineStr">
        <is>
          <t>Next Term Begins on Monday, 22nd September, 2025</t>
        </is>
      </c>
    </row>
    <row r="80" ht="30.6" customHeight="1" s="6">
      <c r="A80" s="18" t="n">
        <v>77</v>
      </c>
      <c r="B80" s="19" t="n"/>
      <c r="C80" s="20" t="n"/>
      <c r="D80" s="128" t="n"/>
      <c r="E80" s="21" t="n"/>
      <c r="F80" s="22" t="n"/>
      <c r="G80" s="22" t="n"/>
      <c r="H80" s="22" t="n"/>
      <c r="I80" s="26">
        <f>G80-H80</f>
        <v/>
      </c>
      <c r="J80" s="21" t="n"/>
      <c r="K80" s="21" t="n"/>
      <c r="L80" s="27">
        <f>SUM(J80:K80)</f>
        <v/>
      </c>
      <c r="M80" s="28" t="n"/>
      <c r="N80" s="28" t="n"/>
      <c r="O80" s="29">
        <f>IF(AND(L80=0,M80=0,N80=0),0,IF(AND(L80=0,M80=0),N80/1,IF(AND(L80=0,N80=0),M80/1,IF(AND(M80=0,N80=0),L80/1,IF(L80=0,FLOOR((M80+N80)/2,0.1),IF(M80=0,(L80+N80)/2,IF(N80=0,(M80+L80)/2,FLOOR(((L80+M80+N80)/3),0.1))))))))</f>
        <v/>
      </c>
      <c r="P80" s="21" t="n"/>
      <c r="Q80" s="21" t="n"/>
      <c r="R80" s="27">
        <f>SUM(P80:Q80)</f>
        <v/>
      </c>
      <c r="S80" s="28" t="n"/>
      <c r="T80" s="28" t="n"/>
      <c r="U80" s="29">
        <f>IF(AND(R80=0,S80=0,T80=0),0,IF(AND(R80=0,S80=0),T80/1,IF(AND(R80=0,T80=0),S80/1,IF(AND(S80=0,T80=0),R80/1,IF(R80=0,FLOOR((S80+T80)/2,0.1),IF(S80=0,(R80+T80)/2,IF(T80=0,(S80+R80)/2,FLOOR(((R80+S80+T80)/3),0.1))))))))</f>
        <v/>
      </c>
      <c r="V80" s="21" t="n"/>
      <c r="W80" s="21" t="n"/>
      <c r="X80" s="27">
        <f>SUM(V80:W80)</f>
        <v/>
      </c>
      <c r="Y80" s="28" t="n"/>
      <c r="Z80" s="28" t="n"/>
      <c r="AA80" s="29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1" t="n"/>
      <c r="AC80" s="21" t="n"/>
      <c r="AD80" s="27">
        <f>SUM(AB80:AC80)</f>
        <v/>
      </c>
      <c r="AE80" s="28" t="n"/>
      <c r="AF80" s="28" t="n"/>
      <c r="AG80" s="29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1" t="n"/>
      <c r="AI80" s="21" t="n"/>
      <c r="AJ80" s="27">
        <f>SUM(AH80:AI80)</f>
        <v/>
      </c>
      <c r="AK80" s="28" t="n"/>
      <c r="AL80" s="28" t="n"/>
      <c r="AM80" s="29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1" t="n"/>
      <c r="AO80" s="21" t="n"/>
      <c r="AP80" s="27">
        <f>SUM(AN80:AO80)</f>
        <v/>
      </c>
      <c r="AQ80" s="28" t="n"/>
      <c r="AR80" s="30" t="n"/>
      <c r="AS80" s="29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1" t="n"/>
      <c r="AU80" s="21" t="n"/>
      <c r="AV80" s="27">
        <f>SUM(AT80:AU80)</f>
        <v/>
      </c>
      <c r="AW80" s="28" t="n"/>
      <c r="AX80" s="30" t="n"/>
      <c r="AY80" s="29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1" t="n"/>
      <c r="BA80" s="21" t="n"/>
      <c r="BB80" s="27">
        <f>SUM(AZ80:BA80)</f>
        <v/>
      </c>
      <c r="BC80" s="28" t="n"/>
      <c r="BD80" s="28" t="n"/>
      <c r="BE80" s="29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1" t="n"/>
      <c r="BG80" s="21" t="n"/>
      <c r="BH80" s="27">
        <f>SUM(BF80:BG80)</f>
        <v/>
      </c>
      <c r="BI80" s="28" t="n"/>
      <c r="BJ80" s="28" t="n"/>
      <c r="BK80" s="29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1" t="n"/>
      <c r="BM80" s="21" t="n"/>
      <c r="BN80" s="27">
        <f>SUM(BL80:BM80)</f>
        <v/>
      </c>
      <c r="BO80" s="28" t="n"/>
      <c r="BP80" s="31" t="n"/>
      <c r="BQ80" s="29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1" t="n"/>
      <c r="BS80" s="21" t="n"/>
      <c r="BT80" s="27">
        <f>SUM(BR80:BS80)</f>
        <v/>
      </c>
      <c r="BU80" s="28" t="n"/>
      <c r="BV80" s="31" t="n"/>
      <c r="BW80" s="29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1" t="n"/>
      <c r="BY80" s="21" t="n"/>
      <c r="BZ80" s="27">
        <f>SUM(BX80:BY80)</f>
        <v/>
      </c>
      <c r="CA80" s="28" t="n"/>
      <c r="CB80" s="31" t="n"/>
      <c r="CC80" s="29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1" t="n"/>
      <c r="CE80" s="21" t="n"/>
      <c r="CF80" s="27">
        <f>SUM(CD80:CE80)</f>
        <v/>
      </c>
      <c r="CG80" s="28" t="n"/>
      <c r="CH80" s="31" t="n"/>
      <c r="CI80" s="29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1" t="n"/>
      <c r="CK80" s="21" t="n"/>
      <c r="CL80" s="27">
        <f>SUM(CJ80:CK80)</f>
        <v/>
      </c>
      <c r="CM80" s="28" t="n"/>
      <c r="CN80" s="31" t="n"/>
      <c r="CO80" s="29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1" t="n"/>
      <c r="CQ80" s="21" t="n"/>
      <c r="CR80" s="27">
        <f>SUM(CP80:CQ80)</f>
        <v/>
      </c>
      <c r="CS80" s="28" t="n"/>
      <c r="CT80" s="31" t="n"/>
      <c r="CU80" s="29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1" t="n"/>
      <c r="CW80" s="21" t="n"/>
      <c r="CX80" s="27">
        <f>SUM(CV80:CW80)</f>
        <v/>
      </c>
      <c r="CY80" s="28" t="n"/>
      <c r="CZ80" s="31" t="n"/>
      <c r="DA80" s="29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1" t="n"/>
      <c r="DC80" s="21" t="n"/>
      <c r="DD80" s="27">
        <f>SUM(DB80:DC80)</f>
        <v/>
      </c>
      <c r="DE80" s="28" t="n"/>
      <c r="DF80" s="31" t="n"/>
      <c r="DG80" s="29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34">
        <f>SUM(O80,U80,AA80,AG80,AM80,AS80,AY80,BE80,BK80,BQ80,BW80,CC80,CI80,CO80,CU80,DA80,DG80)</f>
        <v/>
      </c>
      <c r="DI80" s="39">
        <f>RANK(DH80,DH$4:DH$503)</f>
        <v/>
      </c>
      <c r="DJ80" s="40" t="inlineStr">
        <is>
          <t>CHOOSE RATING</t>
        </is>
      </c>
      <c r="DK80" s="40" t="inlineStr">
        <is>
          <t>CHOOSE RATING</t>
        </is>
      </c>
      <c r="DL80" s="40" t="inlineStr">
        <is>
          <t>CHOOSE RATING</t>
        </is>
      </c>
      <c r="DM80" s="40" t="inlineStr">
        <is>
          <t>CHOOSE RATING</t>
        </is>
      </c>
      <c r="DN80" s="40" t="inlineStr">
        <is>
          <t>CHOOSE RATING</t>
        </is>
      </c>
      <c r="DO80" s="40" t="inlineStr">
        <is>
          <t>CHOOSE RATING</t>
        </is>
      </c>
      <c r="DP80" s="40" t="inlineStr">
        <is>
          <t>CHOOSE RATING</t>
        </is>
      </c>
      <c r="DQ80" s="40" t="inlineStr">
        <is>
          <t>CHOOSE RATING</t>
        </is>
      </c>
      <c r="DR80" s="43" t="inlineStr">
        <is>
          <t>2024/2025</t>
        </is>
      </c>
      <c r="DS80" s="45" t="inlineStr">
        <is>
          <t>THIRD</t>
        </is>
      </c>
      <c r="DT80" s="40" t="inlineStr">
        <is>
          <t>CHOOSE RATING</t>
        </is>
      </c>
      <c r="DU80" s="40" t="inlineStr">
        <is>
          <t>CHOOSE RATING</t>
        </is>
      </c>
      <c r="DV80" s="40" t="inlineStr">
        <is>
          <t>CHOOSE RATING</t>
        </is>
      </c>
      <c r="DW80" s="40" t="inlineStr">
        <is>
          <t>CHOOSE RATING</t>
        </is>
      </c>
      <c r="DX80" s="40" t="inlineStr">
        <is>
          <t>CHOOSE RATING</t>
        </is>
      </c>
      <c r="DY80" s="40" t="inlineStr">
        <is>
          <t>CHOOSE RATING</t>
        </is>
      </c>
      <c r="DZ80" s="53" t="inlineStr">
        <is>
          <t>CHOOSE RATING</t>
        </is>
      </c>
      <c r="EA80" s="54" t="inlineStr">
        <is>
          <t>Add the Tutor's Comment . . .</t>
        </is>
      </c>
      <c r="EB80" s="55" t="inlineStr">
        <is>
          <t>Choose Principals comment</t>
        </is>
      </c>
      <c r="EC80" s="56" t="n"/>
      <c r="ED80" s="57" t="inlineStr">
        <is>
          <t>Next Term Begins on Monday, 22nd September, 2025</t>
        </is>
      </c>
    </row>
    <row r="81" ht="30.6" customHeight="1" s="6">
      <c r="A81" s="18" t="n">
        <v>78</v>
      </c>
      <c r="B81" s="19" t="n"/>
      <c r="C81" s="20" t="n"/>
      <c r="D81" s="128" t="n"/>
      <c r="E81" s="21" t="n"/>
      <c r="F81" s="22" t="n"/>
      <c r="G81" s="22" t="n"/>
      <c r="H81" s="22" t="n"/>
      <c r="I81" s="26">
        <f>G81-H81</f>
        <v/>
      </c>
      <c r="J81" s="21" t="n"/>
      <c r="K81" s="21" t="n"/>
      <c r="L81" s="27">
        <f>SUM(J81:K81)</f>
        <v/>
      </c>
      <c r="M81" s="28" t="n"/>
      <c r="N81" s="28" t="n"/>
      <c r="O81" s="29">
        <f>IF(AND(L81=0,M81=0,N81=0),0,IF(AND(L81=0,M81=0),N81/1,IF(AND(L81=0,N81=0),M81/1,IF(AND(M81=0,N81=0),L81/1,IF(L81=0,FLOOR((M81+N81)/2,0.1),IF(M81=0,(L81+N81)/2,IF(N81=0,(M81+L81)/2,FLOOR(((L81+M81+N81)/3),0.1))))))))</f>
        <v/>
      </c>
      <c r="P81" s="21" t="n"/>
      <c r="Q81" s="21" t="n"/>
      <c r="R81" s="27">
        <f>SUM(P81:Q81)</f>
        <v/>
      </c>
      <c r="S81" s="28" t="n"/>
      <c r="T81" s="28" t="n"/>
      <c r="U81" s="29">
        <f>IF(AND(R81=0,S81=0,T81=0),0,IF(AND(R81=0,S81=0),T81/1,IF(AND(R81=0,T81=0),S81/1,IF(AND(S81=0,T81=0),R81/1,IF(R81=0,FLOOR((S81+T81)/2,0.1),IF(S81=0,(R81+T81)/2,IF(T81=0,(S81+R81)/2,FLOOR(((R81+S81+T81)/3),0.1))))))))</f>
        <v/>
      </c>
      <c r="V81" s="21" t="n"/>
      <c r="W81" s="21" t="n"/>
      <c r="X81" s="27">
        <f>SUM(V81:W81)</f>
        <v/>
      </c>
      <c r="Y81" s="28" t="n"/>
      <c r="Z81" s="28" t="n"/>
      <c r="AA81" s="29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1" t="n"/>
      <c r="AC81" s="21" t="n"/>
      <c r="AD81" s="27">
        <f>SUM(AB81:AC81)</f>
        <v/>
      </c>
      <c r="AE81" s="28" t="n"/>
      <c r="AF81" s="28" t="n"/>
      <c r="AG81" s="29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1" t="n"/>
      <c r="AI81" s="21" t="n"/>
      <c r="AJ81" s="27">
        <f>SUM(AH81:AI81)</f>
        <v/>
      </c>
      <c r="AK81" s="28" t="n"/>
      <c r="AL81" s="28" t="n"/>
      <c r="AM81" s="29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1" t="n"/>
      <c r="AO81" s="21" t="n"/>
      <c r="AP81" s="27">
        <f>SUM(AN81:AO81)</f>
        <v/>
      </c>
      <c r="AQ81" s="28" t="n"/>
      <c r="AR81" s="30" t="n"/>
      <c r="AS81" s="29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1" t="n"/>
      <c r="AU81" s="21" t="n"/>
      <c r="AV81" s="27">
        <f>SUM(AT81:AU81)</f>
        <v/>
      </c>
      <c r="AW81" s="28" t="n"/>
      <c r="AX81" s="30" t="n"/>
      <c r="AY81" s="29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1" t="n"/>
      <c r="BA81" s="21" t="n"/>
      <c r="BB81" s="27">
        <f>SUM(AZ81:BA81)</f>
        <v/>
      </c>
      <c r="BC81" s="28" t="n"/>
      <c r="BD81" s="28" t="n"/>
      <c r="BE81" s="29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1" t="n"/>
      <c r="BG81" s="21" t="n"/>
      <c r="BH81" s="27">
        <f>SUM(BF81:BG81)</f>
        <v/>
      </c>
      <c r="BI81" s="28" t="n"/>
      <c r="BJ81" s="28" t="n"/>
      <c r="BK81" s="29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1" t="n"/>
      <c r="BM81" s="21" t="n"/>
      <c r="BN81" s="27">
        <f>SUM(BL81:BM81)</f>
        <v/>
      </c>
      <c r="BO81" s="28" t="n"/>
      <c r="BP81" s="31" t="n"/>
      <c r="BQ81" s="29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1" t="n"/>
      <c r="BS81" s="21" t="n"/>
      <c r="BT81" s="27">
        <f>SUM(BR81:BS81)</f>
        <v/>
      </c>
      <c r="BU81" s="28" t="n"/>
      <c r="BV81" s="31" t="n"/>
      <c r="BW81" s="29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1" t="n"/>
      <c r="BY81" s="21" t="n"/>
      <c r="BZ81" s="27">
        <f>SUM(BX81:BY81)</f>
        <v/>
      </c>
      <c r="CA81" s="28" t="n"/>
      <c r="CB81" s="31" t="n"/>
      <c r="CC81" s="29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1" t="n"/>
      <c r="CE81" s="21" t="n"/>
      <c r="CF81" s="27">
        <f>SUM(CD81:CE81)</f>
        <v/>
      </c>
      <c r="CG81" s="28" t="n"/>
      <c r="CH81" s="31" t="n"/>
      <c r="CI81" s="29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1" t="n"/>
      <c r="CK81" s="21" t="n"/>
      <c r="CL81" s="27">
        <f>SUM(CJ81:CK81)</f>
        <v/>
      </c>
      <c r="CM81" s="28" t="n"/>
      <c r="CN81" s="31" t="n"/>
      <c r="CO81" s="29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1" t="n"/>
      <c r="CQ81" s="21" t="n"/>
      <c r="CR81" s="27">
        <f>SUM(CP81:CQ81)</f>
        <v/>
      </c>
      <c r="CS81" s="28" t="n"/>
      <c r="CT81" s="31" t="n"/>
      <c r="CU81" s="29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1" t="n"/>
      <c r="CW81" s="21" t="n"/>
      <c r="CX81" s="27">
        <f>SUM(CV81:CW81)</f>
        <v/>
      </c>
      <c r="CY81" s="28" t="n"/>
      <c r="CZ81" s="31" t="n"/>
      <c r="DA81" s="29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1" t="n"/>
      <c r="DC81" s="21" t="n"/>
      <c r="DD81" s="27">
        <f>SUM(DB81:DC81)</f>
        <v/>
      </c>
      <c r="DE81" s="28" t="n"/>
      <c r="DF81" s="31" t="n"/>
      <c r="DG81" s="29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34">
        <f>SUM(O81,U81,AA81,AG81,AM81,AS81,AY81,BE81,BK81,BQ81,BW81,CC81,CI81,CO81,CU81,DA81,DG81)</f>
        <v/>
      </c>
      <c r="DI81" s="39">
        <f>RANK(DH81,DH$4:DH$503)</f>
        <v/>
      </c>
      <c r="DJ81" s="40" t="inlineStr">
        <is>
          <t>CHOOSE RATING</t>
        </is>
      </c>
      <c r="DK81" s="40" t="inlineStr">
        <is>
          <t>CHOOSE RATING</t>
        </is>
      </c>
      <c r="DL81" s="40" t="inlineStr">
        <is>
          <t>CHOOSE RATING</t>
        </is>
      </c>
      <c r="DM81" s="40" t="inlineStr">
        <is>
          <t>CHOOSE RATING</t>
        </is>
      </c>
      <c r="DN81" s="40" t="inlineStr">
        <is>
          <t>CHOOSE RATING</t>
        </is>
      </c>
      <c r="DO81" s="40" t="inlineStr">
        <is>
          <t>CHOOSE RATING</t>
        </is>
      </c>
      <c r="DP81" s="40" t="inlineStr">
        <is>
          <t>CHOOSE RATING</t>
        </is>
      </c>
      <c r="DQ81" s="40" t="inlineStr">
        <is>
          <t>CHOOSE RATING</t>
        </is>
      </c>
      <c r="DR81" s="43" t="inlineStr">
        <is>
          <t>2024/2025</t>
        </is>
      </c>
      <c r="DS81" s="45" t="inlineStr">
        <is>
          <t>THIRD</t>
        </is>
      </c>
      <c r="DT81" s="40" t="inlineStr">
        <is>
          <t>CHOOSE RATING</t>
        </is>
      </c>
      <c r="DU81" s="40" t="inlineStr">
        <is>
          <t>CHOOSE RATING</t>
        </is>
      </c>
      <c r="DV81" s="40" t="inlineStr">
        <is>
          <t>CHOOSE RATING</t>
        </is>
      </c>
      <c r="DW81" s="40" t="inlineStr">
        <is>
          <t>CHOOSE RATING</t>
        </is>
      </c>
      <c r="DX81" s="40" t="inlineStr">
        <is>
          <t>CHOOSE RATING</t>
        </is>
      </c>
      <c r="DY81" s="40" t="inlineStr">
        <is>
          <t>CHOOSE RATING</t>
        </is>
      </c>
      <c r="DZ81" s="53" t="inlineStr">
        <is>
          <t>CHOOSE RATING</t>
        </is>
      </c>
      <c r="EA81" s="54" t="inlineStr">
        <is>
          <t>Add the Tutor's Comment . . .</t>
        </is>
      </c>
      <c r="EB81" s="55" t="inlineStr">
        <is>
          <t>Choose Principals comment</t>
        </is>
      </c>
      <c r="EC81" s="56" t="n"/>
      <c r="ED81" s="57" t="inlineStr">
        <is>
          <t>Next Term Begins on Monday, 22nd September, 2025</t>
        </is>
      </c>
    </row>
    <row r="82" ht="30.6" customHeight="1" s="6">
      <c r="A82" s="18" t="n">
        <v>79</v>
      </c>
      <c r="B82" s="19" t="n"/>
      <c r="C82" s="20" t="n"/>
      <c r="D82" s="128" t="n"/>
      <c r="E82" s="21" t="n"/>
      <c r="F82" s="22" t="n"/>
      <c r="G82" s="22" t="n"/>
      <c r="H82" s="22" t="n"/>
      <c r="I82" s="26">
        <f>G82-H82</f>
        <v/>
      </c>
      <c r="J82" s="21" t="n"/>
      <c r="K82" s="21" t="n"/>
      <c r="L82" s="27">
        <f>SUM(J82:K82)</f>
        <v/>
      </c>
      <c r="M82" s="28" t="n"/>
      <c r="N82" s="28" t="n"/>
      <c r="O82" s="29">
        <f>IF(AND(L82=0,M82=0,N82=0),0,IF(AND(L82=0,M82=0),N82/1,IF(AND(L82=0,N82=0),M82/1,IF(AND(M82=0,N82=0),L82/1,IF(L82=0,FLOOR((M82+N82)/2,0.1),IF(M82=0,(L82+N82)/2,IF(N82=0,(M82+L82)/2,FLOOR(((L82+M82+N82)/3),0.1))))))))</f>
        <v/>
      </c>
      <c r="P82" s="21" t="n"/>
      <c r="Q82" s="21" t="n"/>
      <c r="R82" s="27">
        <f>SUM(P82:Q82)</f>
        <v/>
      </c>
      <c r="S82" s="28" t="n"/>
      <c r="T82" s="28" t="n"/>
      <c r="U82" s="29">
        <f>IF(AND(R82=0,S82=0,T82=0),0,IF(AND(R82=0,S82=0),T82/1,IF(AND(R82=0,T82=0),S82/1,IF(AND(S82=0,T82=0),R82/1,IF(R82=0,FLOOR((S82+T82)/2,0.1),IF(S82=0,(R82+T82)/2,IF(T82=0,(S82+R82)/2,FLOOR(((R82+S82+T82)/3),0.1))))))))</f>
        <v/>
      </c>
      <c r="V82" s="21" t="n"/>
      <c r="W82" s="21" t="n"/>
      <c r="X82" s="27">
        <f>SUM(V82:W82)</f>
        <v/>
      </c>
      <c r="Y82" s="28" t="n"/>
      <c r="Z82" s="28" t="n"/>
      <c r="AA82" s="29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1" t="n"/>
      <c r="AC82" s="21" t="n"/>
      <c r="AD82" s="27">
        <f>SUM(AB82:AC82)</f>
        <v/>
      </c>
      <c r="AE82" s="28" t="n"/>
      <c r="AF82" s="28" t="n"/>
      <c r="AG82" s="29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1" t="n"/>
      <c r="AI82" s="21" t="n"/>
      <c r="AJ82" s="27">
        <f>SUM(AH82:AI82)</f>
        <v/>
      </c>
      <c r="AK82" s="28" t="n"/>
      <c r="AL82" s="28" t="n"/>
      <c r="AM82" s="29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1" t="n"/>
      <c r="AO82" s="21" t="n"/>
      <c r="AP82" s="27">
        <f>SUM(AN82:AO82)</f>
        <v/>
      </c>
      <c r="AQ82" s="28" t="n"/>
      <c r="AR82" s="30" t="n"/>
      <c r="AS82" s="29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1" t="n"/>
      <c r="AU82" s="21" t="n"/>
      <c r="AV82" s="27">
        <f>SUM(AT82:AU82)</f>
        <v/>
      </c>
      <c r="AW82" s="28" t="n"/>
      <c r="AX82" s="30" t="n"/>
      <c r="AY82" s="29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1" t="n"/>
      <c r="BA82" s="21" t="n"/>
      <c r="BB82" s="27">
        <f>SUM(AZ82:BA82)</f>
        <v/>
      </c>
      <c r="BC82" s="28" t="n"/>
      <c r="BD82" s="28" t="n"/>
      <c r="BE82" s="29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1" t="n"/>
      <c r="BG82" s="21" t="n"/>
      <c r="BH82" s="27">
        <f>SUM(BF82:BG82)</f>
        <v/>
      </c>
      <c r="BI82" s="28" t="n"/>
      <c r="BJ82" s="28" t="n"/>
      <c r="BK82" s="29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1" t="n"/>
      <c r="BM82" s="21" t="n"/>
      <c r="BN82" s="27">
        <f>SUM(BL82:BM82)</f>
        <v/>
      </c>
      <c r="BO82" s="28" t="n"/>
      <c r="BP82" s="31" t="n"/>
      <c r="BQ82" s="29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1" t="n"/>
      <c r="BS82" s="21" t="n"/>
      <c r="BT82" s="27">
        <f>SUM(BR82:BS82)</f>
        <v/>
      </c>
      <c r="BU82" s="28" t="n"/>
      <c r="BV82" s="31" t="n"/>
      <c r="BW82" s="29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1" t="n"/>
      <c r="BY82" s="21" t="n"/>
      <c r="BZ82" s="27">
        <f>SUM(BX82:BY82)</f>
        <v/>
      </c>
      <c r="CA82" s="28" t="n"/>
      <c r="CB82" s="31" t="n"/>
      <c r="CC82" s="29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1" t="n"/>
      <c r="CE82" s="21" t="n"/>
      <c r="CF82" s="27">
        <f>SUM(CD82:CE82)</f>
        <v/>
      </c>
      <c r="CG82" s="28" t="n"/>
      <c r="CH82" s="31" t="n"/>
      <c r="CI82" s="29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1" t="n"/>
      <c r="CK82" s="21" t="n"/>
      <c r="CL82" s="27">
        <f>SUM(CJ82:CK82)</f>
        <v/>
      </c>
      <c r="CM82" s="28" t="n"/>
      <c r="CN82" s="31" t="n"/>
      <c r="CO82" s="29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1" t="n"/>
      <c r="CQ82" s="21" t="n"/>
      <c r="CR82" s="27">
        <f>SUM(CP82:CQ82)</f>
        <v/>
      </c>
      <c r="CS82" s="28" t="n"/>
      <c r="CT82" s="31" t="n"/>
      <c r="CU82" s="29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1" t="n"/>
      <c r="CW82" s="21" t="n"/>
      <c r="CX82" s="27">
        <f>SUM(CV82:CW82)</f>
        <v/>
      </c>
      <c r="CY82" s="28" t="n"/>
      <c r="CZ82" s="31" t="n"/>
      <c r="DA82" s="29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1" t="n"/>
      <c r="DC82" s="21" t="n"/>
      <c r="DD82" s="27">
        <f>SUM(DB82:DC82)</f>
        <v/>
      </c>
      <c r="DE82" s="28" t="n"/>
      <c r="DF82" s="31" t="n"/>
      <c r="DG82" s="29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34">
        <f>SUM(O82,U82,AA82,AG82,AM82,AS82,AY82,BE82,BK82,BQ82,BW82,CC82,CI82,CO82,CU82,DA82,DG82)</f>
        <v/>
      </c>
      <c r="DI82" s="39">
        <f>RANK(DH82,DH$4:DH$503)</f>
        <v/>
      </c>
      <c r="DJ82" s="40" t="inlineStr">
        <is>
          <t>CHOOSE RATING</t>
        </is>
      </c>
      <c r="DK82" s="40" t="inlineStr">
        <is>
          <t>CHOOSE RATING</t>
        </is>
      </c>
      <c r="DL82" s="40" t="inlineStr">
        <is>
          <t>CHOOSE RATING</t>
        </is>
      </c>
      <c r="DM82" s="40" t="inlineStr">
        <is>
          <t>CHOOSE RATING</t>
        </is>
      </c>
      <c r="DN82" s="40" t="inlineStr">
        <is>
          <t>CHOOSE RATING</t>
        </is>
      </c>
      <c r="DO82" s="40" t="inlineStr">
        <is>
          <t>CHOOSE RATING</t>
        </is>
      </c>
      <c r="DP82" s="40" t="inlineStr">
        <is>
          <t>CHOOSE RATING</t>
        </is>
      </c>
      <c r="DQ82" s="40" t="inlineStr">
        <is>
          <t>CHOOSE RATING</t>
        </is>
      </c>
      <c r="DR82" s="43" t="inlineStr">
        <is>
          <t>2024/2025</t>
        </is>
      </c>
      <c r="DS82" s="45" t="inlineStr">
        <is>
          <t>THIRD</t>
        </is>
      </c>
      <c r="DT82" s="40" t="inlineStr">
        <is>
          <t>CHOOSE RATING</t>
        </is>
      </c>
      <c r="DU82" s="40" t="inlineStr">
        <is>
          <t>CHOOSE RATING</t>
        </is>
      </c>
      <c r="DV82" s="40" t="inlineStr">
        <is>
          <t>CHOOSE RATING</t>
        </is>
      </c>
      <c r="DW82" s="40" t="inlineStr">
        <is>
          <t>CHOOSE RATING</t>
        </is>
      </c>
      <c r="DX82" s="40" t="inlineStr">
        <is>
          <t>CHOOSE RATING</t>
        </is>
      </c>
      <c r="DY82" s="40" t="inlineStr">
        <is>
          <t>CHOOSE RATING</t>
        </is>
      </c>
      <c r="DZ82" s="53" t="inlineStr">
        <is>
          <t>CHOOSE RATING</t>
        </is>
      </c>
      <c r="EA82" s="54" t="inlineStr">
        <is>
          <t>Add the Tutor's Comment . . .</t>
        </is>
      </c>
      <c r="EB82" s="55" t="inlineStr">
        <is>
          <t>Choose Principals comment</t>
        </is>
      </c>
      <c r="EC82" s="56" t="n"/>
      <c r="ED82" s="57" t="inlineStr">
        <is>
          <t>Next Term Begins on Monday, 22nd September, 2025</t>
        </is>
      </c>
    </row>
    <row r="83" ht="30.6" customHeight="1" s="6">
      <c r="A83" s="18" t="n">
        <v>80</v>
      </c>
      <c r="B83" s="19" t="n"/>
      <c r="C83" s="20" t="n"/>
      <c r="D83" s="128" t="n"/>
      <c r="E83" s="21" t="n"/>
      <c r="F83" s="22" t="n"/>
      <c r="G83" s="22" t="n"/>
      <c r="H83" s="22" t="n"/>
      <c r="I83" s="26">
        <f>G83-H83</f>
        <v/>
      </c>
      <c r="J83" s="21" t="n"/>
      <c r="K83" s="21" t="n"/>
      <c r="L83" s="27">
        <f>SUM(J83:K83)</f>
        <v/>
      </c>
      <c r="M83" s="28" t="n"/>
      <c r="N83" s="28" t="n"/>
      <c r="O83" s="29">
        <f>IF(AND(L83=0,M83=0,N83=0),0,IF(AND(L83=0,M83=0),N83/1,IF(AND(L83=0,N83=0),M83/1,IF(AND(M83=0,N83=0),L83/1,IF(L83=0,FLOOR((M83+N83)/2,0.1),IF(M83=0,(L83+N83)/2,IF(N83=0,(M83+L83)/2,FLOOR(((L83+M83+N83)/3),0.1))))))))</f>
        <v/>
      </c>
      <c r="P83" s="21" t="n"/>
      <c r="Q83" s="21" t="n"/>
      <c r="R83" s="27">
        <f>SUM(P83:Q83)</f>
        <v/>
      </c>
      <c r="S83" s="28" t="n"/>
      <c r="T83" s="28" t="n"/>
      <c r="U83" s="29">
        <f>IF(AND(R83=0,S83=0,T83=0),0,IF(AND(R83=0,S83=0),T83/1,IF(AND(R83=0,T83=0),S83/1,IF(AND(S83=0,T83=0),R83/1,IF(R83=0,FLOOR((S83+T83)/2,0.1),IF(S83=0,(R83+T83)/2,IF(T83=0,(S83+R83)/2,FLOOR(((R83+S83+T83)/3),0.1))))))))</f>
        <v/>
      </c>
      <c r="V83" s="21" t="n"/>
      <c r="W83" s="21" t="n"/>
      <c r="X83" s="27">
        <f>SUM(V83:W83)</f>
        <v/>
      </c>
      <c r="Y83" s="28" t="n"/>
      <c r="Z83" s="28" t="n"/>
      <c r="AA83" s="29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1" t="n"/>
      <c r="AC83" s="21" t="n"/>
      <c r="AD83" s="27">
        <f>SUM(AB83:AC83)</f>
        <v/>
      </c>
      <c r="AE83" s="28" t="n"/>
      <c r="AF83" s="28" t="n"/>
      <c r="AG83" s="29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1" t="n"/>
      <c r="AI83" s="21" t="n"/>
      <c r="AJ83" s="27">
        <f>SUM(AH83:AI83)</f>
        <v/>
      </c>
      <c r="AK83" s="28" t="n"/>
      <c r="AL83" s="28" t="n"/>
      <c r="AM83" s="29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1" t="n"/>
      <c r="AO83" s="21" t="n"/>
      <c r="AP83" s="27">
        <f>SUM(AN83:AO83)</f>
        <v/>
      </c>
      <c r="AQ83" s="28" t="n"/>
      <c r="AR83" s="30" t="n"/>
      <c r="AS83" s="29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1" t="n"/>
      <c r="AU83" s="21" t="n"/>
      <c r="AV83" s="27">
        <f>SUM(AT83:AU83)</f>
        <v/>
      </c>
      <c r="AW83" s="28" t="n"/>
      <c r="AX83" s="30" t="n"/>
      <c r="AY83" s="29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1" t="n"/>
      <c r="BA83" s="21" t="n"/>
      <c r="BB83" s="27">
        <f>SUM(AZ83:BA83)</f>
        <v/>
      </c>
      <c r="BC83" s="28" t="n"/>
      <c r="BD83" s="28" t="n"/>
      <c r="BE83" s="29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1" t="n"/>
      <c r="BG83" s="21" t="n"/>
      <c r="BH83" s="27">
        <f>SUM(BF83:BG83)</f>
        <v/>
      </c>
      <c r="BI83" s="28" t="n"/>
      <c r="BJ83" s="28" t="n"/>
      <c r="BK83" s="29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1" t="n"/>
      <c r="BM83" s="21" t="n"/>
      <c r="BN83" s="27">
        <f>SUM(BL83:BM83)</f>
        <v/>
      </c>
      <c r="BO83" s="28" t="n"/>
      <c r="BP83" s="31" t="n"/>
      <c r="BQ83" s="29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1" t="n"/>
      <c r="BS83" s="21" t="n"/>
      <c r="BT83" s="27">
        <f>SUM(BR83:BS83)</f>
        <v/>
      </c>
      <c r="BU83" s="28" t="n"/>
      <c r="BV83" s="31" t="n"/>
      <c r="BW83" s="29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1" t="n"/>
      <c r="BY83" s="21" t="n"/>
      <c r="BZ83" s="27">
        <f>SUM(BX83:BY83)</f>
        <v/>
      </c>
      <c r="CA83" s="28" t="n"/>
      <c r="CB83" s="31" t="n"/>
      <c r="CC83" s="29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1" t="n"/>
      <c r="CE83" s="21" t="n"/>
      <c r="CF83" s="27">
        <f>SUM(CD83:CE83)</f>
        <v/>
      </c>
      <c r="CG83" s="28" t="n"/>
      <c r="CH83" s="31" t="n"/>
      <c r="CI83" s="29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1" t="n"/>
      <c r="CK83" s="21" t="n"/>
      <c r="CL83" s="27">
        <f>SUM(CJ83:CK83)</f>
        <v/>
      </c>
      <c r="CM83" s="28" t="n"/>
      <c r="CN83" s="31" t="n"/>
      <c r="CO83" s="29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1" t="n"/>
      <c r="CQ83" s="21" t="n"/>
      <c r="CR83" s="27">
        <f>SUM(CP83:CQ83)</f>
        <v/>
      </c>
      <c r="CS83" s="28" t="n"/>
      <c r="CT83" s="31" t="n"/>
      <c r="CU83" s="29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1" t="n"/>
      <c r="CW83" s="21" t="n"/>
      <c r="CX83" s="27">
        <f>SUM(CV83:CW83)</f>
        <v/>
      </c>
      <c r="CY83" s="28" t="n"/>
      <c r="CZ83" s="31" t="n"/>
      <c r="DA83" s="29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1" t="n"/>
      <c r="DC83" s="21" t="n"/>
      <c r="DD83" s="27">
        <f>SUM(DB83:DC83)</f>
        <v/>
      </c>
      <c r="DE83" s="28" t="n"/>
      <c r="DF83" s="31" t="n"/>
      <c r="DG83" s="29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34">
        <f>SUM(O83,U83,AA83,AG83,AM83,AS83,AY83,BE83,BK83,BQ83,BW83,CC83,CI83,CO83,CU83,DA83,DG83)</f>
        <v/>
      </c>
      <c r="DI83" s="39">
        <f>RANK(DH83,DH$4:DH$503)</f>
        <v/>
      </c>
      <c r="DJ83" s="40" t="inlineStr">
        <is>
          <t>CHOOSE RATING</t>
        </is>
      </c>
      <c r="DK83" s="40" t="inlineStr">
        <is>
          <t>CHOOSE RATING</t>
        </is>
      </c>
      <c r="DL83" s="40" t="inlineStr">
        <is>
          <t>CHOOSE RATING</t>
        </is>
      </c>
      <c r="DM83" s="40" t="inlineStr">
        <is>
          <t>CHOOSE RATING</t>
        </is>
      </c>
      <c r="DN83" s="40" t="inlineStr">
        <is>
          <t>CHOOSE RATING</t>
        </is>
      </c>
      <c r="DO83" s="40" t="inlineStr">
        <is>
          <t>CHOOSE RATING</t>
        </is>
      </c>
      <c r="DP83" s="40" t="inlineStr">
        <is>
          <t>CHOOSE RATING</t>
        </is>
      </c>
      <c r="DQ83" s="40" t="inlineStr">
        <is>
          <t>CHOOSE RATING</t>
        </is>
      </c>
      <c r="DR83" s="43" t="inlineStr">
        <is>
          <t>2024/2025</t>
        </is>
      </c>
      <c r="DS83" s="45" t="inlineStr">
        <is>
          <t>THIRD</t>
        </is>
      </c>
      <c r="DT83" s="40" t="inlineStr">
        <is>
          <t>CHOOSE RATING</t>
        </is>
      </c>
      <c r="DU83" s="40" t="inlineStr">
        <is>
          <t>CHOOSE RATING</t>
        </is>
      </c>
      <c r="DV83" s="40" t="inlineStr">
        <is>
          <t>CHOOSE RATING</t>
        </is>
      </c>
      <c r="DW83" s="40" t="inlineStr">
        <is>
          <t>CHOOSE RATING</t>
        </is>
      </c>
      <c r="DX83" s="40" t="inlineStr">
        <is>
          <t>CHOOSE RATING</t>
        </is>
      </c>
      <c r="DY83" s="40" t="inlineStr">
        <is>
          <t>CHOOSE RATING</t>
        </is>
      </c>
      <c r="DZ83" s="53" t="inlineStr">
        <is>
          <t>CHOOSE RATING</t>
        </is>
      </c>
      <c r="EA83" s="54" t="inlineStr">
        <is>
          <t>Add the Tutor's Comment . . .</t>
        </is>
      </c>
      <c r="EB83" s="55" t="inlineStr">
        <is>
          <t>Choose Principals comment</t>
        </is>
      </c>
      <c r="EC83" s="56" t="n"/>
      <c r="ED83" s="57" t="inlineStr">
        <is>
          <t>Next Term Begins on Monday, 22nd September, 2025</t>
        </is>
      </c>
    </row>
    <row r="84" ht="30.6" customHeight="1" s="6">
      <c r="A84" s="18" t="n">
        <v>81</v>
      </c>
      <c r="B84" s="19" t="n"/>
      <c r="C84" s="20" t="n"/>
      <c r="D84" s="128" t="n"/>
      <c r="E84" s="21" t="n"/>
      <c r="F84" s="22" t="n"/>
      <c r="G84" s="22" t="n"/>
      <c r="H84" s="22" t="n"/>
      <c r="I84" s="26">
        <f>G84-H84</f>
        <v/>
      </c>
      <c r="J84" s="21" t="n"/>
      <c r="K84" s="21" t="n"/>
      <c r="L84" s="27">
        <f>SUM(J84:K84)</f>
        <v/>
      </c>
      <c r="M84" s="28" t="n"/>
      <c r="N84" s="28" t="n"/>
      <c r="O84" s="29">
        <f>IF(AND(L84=0,M84=0,N84=0),0,IF(AND(L84=0,M84=0),N84/1,IF(AND(L84=0,N84=0),M84/1,IF(AND(M84=0,N84=0),L84/1,IF(L84=0,FLOOR((M84+N84)/2,0.1),IF(M84=0,(L84+N84)/2,IF(N84=0,(M84+L84)/2,FLOOR(((L84+M84+N84)/3),0.1))))))))</f>
        <v/>
      </c>
      <c r="P84" s="21" t="n"/>
      <c r="Q84" s="21" t="n"/>
      <c r="R84" s="27">
        <f>SUM(P84:Q84)</f>
        <v/>
      </c>
      <c r="S84" s="28" t="n"/>
      <c r="T84" s="28" t="n"/>
      <c r="U84" s="29">
        <f>IF(AND(R84=0,S84=0,T84=0),0,IF(AND(R84=0,S84=0),T84/1,IF(AND(R84=0,T84=0),S84/1,IF(AND(S84=0,T84=0),R84/1,IF(R84=0,FLOOR((S84+T84)/2,0.1),IF(S84=0,(R84+T84)/2,IF(T84=0,(S84+R84)/2,FLOOR(((R84+S84+T84)/3),0.1))))))))</f>
        <v/>
      </c>
      <c r="V84" s="21" t="n"/>
      <c r="W84" s="21" t="n"/>
      <c r="X84" s="27">
        <f>SUM(V84:W84)</f>
        <v/>
      </c>
      <c r="Y84" s="28" t="n"/>
      <c r="Z84" s="28" t="n"/>
      <c r="AA84" s="29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1" t="n"/>
      <c r="AC84" s="21" t="n"/>
      <c r="AD84" s="27">
        <f>SUM(AB84:AC84)</f>
        <v/>
      </c>
      <c r="AE84" s="28" t="n"/>
      <c r="AF84" s="28" t="n"/>
      <c r="AG84" s="29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1" t="n"/>
      <c r="AI84" s="21" t="n"/>
      <c r="AJ84" s="27">
        <f>SUM(AH84:AI84)</f>
        <v/>
      </c>
      <c r="AK84" s="28" t="n"/>
      <c r="AL84" s="28" t="n"/>
      <c r="AM84" s="29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1" t="n"/>
      <c r="AO84" s="21" t="n"/>
      <c r="AP84" s="27">
        <f>SUM(AN84:AO84)</f>
        <v/>
      </c>
      <c r="AQ84" s="28" t="n"/>
      <c r="AR84" s="30" t="n"/>
      <c r="AS84" s="29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1" t="n"/>
      <c r="AU84" s="21" t="n"/>
      <c r="AV84" s="27">
        <f>SUM(AT84:AU84)</f>
        <v/>
      </c>
      <c r="AW84" s="28" t="n"/>
      <c r="AX84" s="30" t="n"/>
      <c r="AY84" s="29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1" t="n"/>
      <c r="BA84" s="21" t="n"/>
      <c r="BB84" s="27">
        <f>SUM(AZ84:BA84)</f>
        <v/>
      </c>
      <c r="BC84" s="28" t="n"/>
      <c r="BD84" s="28" t="n"/>
      <c r="BE84" s="29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1" t="n"/>
      <c r="BG84" s="21" t="n"/>
      <c r="BH84" s="27">
        <f>SUM(BF84:BG84)</f>
        <v/>
      </c>
      <c r="BI84" s="28" t="n"/>
      <c r="BJ84" s="28" t="n"/>
      <c r="BK84" s="29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1" t="n"/>
      <c r="BM84" s="21" t="n"/>
      <c r="BN84" s="27">
        <f>SUM(BL84:BM84)</f>
        <v/>
      </c>
      <c r="BO84" s="28" t="n"/>
      <c r="BP84" s="31" t="n"/>
      <c r="BQ84" s="29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1" t="n"/>
      <c r="BS84" s="21" t="n"/>
      <c r="BT84" s="27">
        <f>SUM(BR84:BS84)</f>
        <v/>
      </c>
      <c r="BU84" s="28" t="n"/>
      <c r="BV84" s="31" t="n"/>
      <c r="BW84" s="29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1" t="n"/>
      <c r="BY84" s="21" t="n"/>
      <c r="BZ84" s="27">
        <f>SUM(BX84:BY84)</f>
        <v/>
      </c>
      <c r="CA84" s="28" t="n"/>
      <c r="CB84" s="31" t="n"/>
      <c r="CC84" s="29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1" t="n"/>
      <c r="CE84" s="21" t="n"/>
      <c r="CF84" s="27">
        <f>SUM(CD84:CE84)</f>
        <v/>
      </c>
      <c r="CG84" s="28" t="n"/>
      <c r="CH84" s="31" t="n"/>
      <c r="CI84" s="29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1" t="n"/>
      <c r="CK84" s="21" t="n"/>
      <c r="CL84" s="27">
        <f>SUM(CJ84:CK84)</f>
        <v/>
      </c>
      <c r="CM84" s="28" t="n"/>
      <c r="CN84" s="31" t="n"/>
      <c r="CO84" s="29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1" t="n"/>
      <c r="CQ84" s="21" t="n"/>
      <c r="CR84" s="27">
        <f>SUM(CP84:CQ84)</f>
        <v/>
      </c>
      <c r="CS84" s="28" t="n"/>
      <c r="CT84" s="31" t="n"/>
      <c r="CU84" s="29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1" t="n"/>
      <c r="CW84" s="21" t="n"/>
      <c r="CX84" s="27">
        <f>SUM(CV84:CW84)</f>
        <v/>
      </c>
      <c r="CY84" s="28" t="n"/>
      <c r="CZ84" s="31" t="n"/>
      <c r="DA84" s="29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1" t="n"/>
      <c r="DC84" s="21" t="n"/>
      <c r="DD84" s="27">
        <f>SUM(DB84:DC84)</f>
        <v/>
      </c>
      <c r="DE84" s="28" t="n"/>
      <c r="DF84" s="31" t="n"/>
      <c r="DG84" s="29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34">
        <f>SUM(O84,U84,AA84,AG84,AM84,AS84,AY84,BE84,BK84,BQ84,BW84,CC84,CI84,CO84,CU84,DA84,DG84)</f>
        <v/>
      </c>
      <c r="DI84" s="39">
        <f>RANK(DH84,DH$4:DH$503)</f>
        <v/>
      </c>
      <c r="DJ84" s="40" t="inlineStr">
        <is>
          <t>CHOOSE RATING</t>
        </is>
      </c>
      <c r="DK84" s="40" t="inlineStr">
        <is>
          <t>CHOOSE RATING</t>
        </is>
      </c>
      <c r="DL84" s="40" t="inlineStr">
        <is>
          <t>CHOOSE RATING</t>
        </is>
      </c>
      <c r="DM84" s="40" t="inlineStr">
        <is>
          <t>CHOOSE RATING</t>
        </is>
      </c>
      <c r="DN84" s="40" t="inlineStr">
        <is>
          <t>CHOOSE RATING</t>
        </is>
      </c>
      <c r="DO84" s="40" t="inlineStr">
        <is>
          <t>CHOOSE RATING</t>
        </is>
      </c>
      <c r="DP84" s="40" t="inlineStr">
        <is>
          <t>CHOOSE RATING</t>
        </is>
      </c>
      <c r="DQ84" s="40" t="inlineStr">
        <is>
          <t>CHOOSE RATING</t>
        </is>
      </c>
      <c r="DR84" s="43" t="inlineStr">
        <is>
          <t>2024/2025</t>
        </is>
      </c>
      <c r="DS84" s="45" t="inlineStr">
        <is>
          <t>THIRD</t>
        </is>
      </c>
      <c r="DT84" s="40" t="inlineStr">
        <is>
          <t>CHOOSE RATING</t>
        </is>
      </c>
      <c r="DU84" s="40" t="inlineStr">
        <is>
          <t>CHOOSE RATING</t>
        </is>
      </c>
      <c r="DV84" s="40" t="inlineStr">
        <is>
          <t>CHOOSE RATING</t>
        </is>
      </c>
      <c r="DW84" s="40" t="inlineStr">
        <is>
          <t>CHOOSE RATING</t>
        </is>
      </c>
      <c r="DX84" s="40" t="inlineStr">
        <is>
          <t>CHOOSE RATING</t>
        </is>
      </c>
      <c r="DY84" s="40" t="inlineStr">
        <is>
          <t>CHOOSE RATING</t>
        </is>
      </c>
      <c r="DZ84" s="53" t="inlineStr">
        <is>
          <t>CHOOSE RATING</t>
        </is>
      </c>
      <c r="EA84" s="54" t="inlineStr">
        <is>
          <t>Add the Tutor's Comment . . .</t>
        </is>
      </c>
      <c r="EB84" s="55" t="inlineStr">
        <is>
          <t>Choose Principals comment</t>
        </is>
      </c>
      <c r="EC84" s="56" t="n"/>
      <c r="ED84" s="57" t="inlineStr">
        <is>
          <t>Next Term Begins on Monday, 22nd September, 2025</t>
        </is>
      </c>
    </row>
    <row r="85" ht="30.6" customHeight="1" s="6">
      <c r="A85" s="18" t="n">
        <v>82</v>
      </c>
      <c r="B85" s="19" t="n"/>
      <c r="C85" s="20" t="n"/>
      <c r="D85" s="128" t="n"/>
      <c r="E85" s="21" t="n"/>
      <c r="F85" s="22" t="n"/>
      <c r="G85" s="22" t="n"/>
      <c r="H85" s="22" t="n"/>
      <c r="I85" s="26">
        <f>G85-H85</f>
        <v/>
      </c>
      <c r="J85" s="21" t="n"/>
      <c r="K85" s="21" t="n"/>
      <c r="L85" s="27">
        <f>SUM(J85:K85)</f>
        <v/>
      </c>
      <c r="M85" s="28" t="n"/>
      <c r="N85" s="28" t="n"/>
      <c r="O85" s="29">
        <f>IF(AND(L85=0,M85=0,N85=0),0,IF(AND(L85=0,M85=0),N85/1,IF(AND(L85=0,N85=0),M85/1,IF(AND(M85=0,N85=0),L85/1,IF(L85=0,FLOOR((M85+N85)/2,0.1),IF(M85=0,(L85+N85)/2,IF(N85=0,(M85+L85)/2,FLOOR(((L85+M85+N85)/3),0.1))))))))</f>
        <v/>
      </c>
      <c r="P85" s="21" t="n"/>
      <c r="Q85" s="21" t="n"/>
      <c r="R85" s="27">
        <f>SUM(P85:Q85)</f>
        <v/>
      </c>
      <c r="S85" s="28" t="n"/>
      <c r="T85" s="28" t="n"/>
      <c r="U85" s="29">
        <f>IF(AND(R85=0,S85=0,T85=0),0,IF(AND(R85=0,S85=0),T85/1,IF(AND(R85=0,T85=0),S85/1,IF(AND(S85=0,T85=0),R85/1,IF(R85=0,FLOOR((S85+T85)/2,0.1),IF(S85=0,(R85+T85)/2,IF(T85=0,(S85+R85)/2,FLOOR(((R85+S85+T85)/3),0.1))))))))</f>
        <v/>
      </c>
      <c r="V85" s="21" t="n"/>
      <c r="W85" s="21" t="n"/>
      <c r="X85" s="27">
        <f>SUM(V85:W85)</f>
        <v/>
      </c>
      <c r="Y85" s="28" t="n"/>
      <c r="Z85" s="28" t="n"/>
      <c r="AA85" s="29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1" t="n"/>
      <c r="AC85" s="21" t="n"/>
      <c r="AD85" s="27">
        <f>SUM(AB85:AC85)</f>
        <v/>
      </c>
      <c r="AE85" s="28" t="n"/>
      <c r="AF85" s="28" t="n"/>
      <c r="AG85" s="29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1" t="n"/>
      <c r="AI85" s="21" t="n"/>
      <c r="AJ85" s="27">
        <f>SUM(AH85:AI85)</f>
        <v/>
      </c>
      <c r="AK85" s="28" t="n"/>
      <c r="AL85" s="28" t="n"/>
      <c r="AM85" s="29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1" t="n"/>
      <c r="AO85" s="21" t="n"/>
      <c r="AP85" s="27">
        <f>SUM(AN85:AO85)</f>
        <v/>
      </c>
      <c r="AQ85" s="28" t="n"/>
      <c r="AR85" s="30" t="n"/>
      <c r="AS85" s="29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1" t="n"/>
      <c r="AU85" s="21" t="n"/>
      <c r="AV85" s="27">
        <f>SUM(AT85:AU85)</f>
        <v/>
      </c>
      <c r="AW85" s="28" t="n"/>
      <c r="AX85" s="30" t="n"/>
      <c r="AY85" s="29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1" t="n"/>
      <c r="BA85" s="21" t="n"/>
      <c r="BB85" s="27">
        <f>SUM(AZ85:BA85)</f>
        <v/>
      </c>
      <c r="BC85" s="28" t="n"/>
      <c r="BD85" s="28" t="n"/>
      <c r="BE85" s="29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1" t="n"/>
      <c r="BG85" s="21" t="n"/>
      <c r="BH85" s="27">
        <f>SUM(BF85:BG85)</f>
        <v/>
      </c>
      <c r="BI85" s="28" t="n"/>
      <c r="BJ85" s="28" t="n"/>
      <c r="BK85" s="29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1" t="n"/>
      <c r="BM85" s="21" t="n"/>
      <c r="BN85" s="27">
        <f>SUM(BL85:BM85)</f>
        <v/>
      </c>
      <c r="BO85" s="28" t="n"/>
      <c r="BP85" s="31" t="n"/>
      <c r="BQ85" s="29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1" t="n"/>
      <c r="BS85" s="21" t="n"/>
      <c r="BT85" s="27">
        <f>SUM(BR85:BS85)</f>
        <v/>
      </c>
      <c r="BU85" s="28" t="n"/>
      <c r="BV85" s="31" t="n"/>
      <c r="BW85" s="29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1" t="n"/>
      <c r="BY85" s="21" t="n"/>
      <c r="BZ85" s="27">
        <f>SUM(BX85:BY85)</f>
        <v/>
      </c>
      <c r="CA85" s="28" t="n"/>
      <c r="CB85" s="31" t="n"/>
      <c r="CC85" s="29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1" t="n"/>
      <c r="CE85" s="21" t="n"/>
      <c r="CF85" s="27">
        <f>SUM(CD85:CE85)</f>
        <v/>
      </c>
      <c r="CG85" s="28" t="n"/>
      <c r="CH85" s="31" t="n"/>
      <c r="CI85" s="29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1" t="n"/>
      <c r="CK85" s="21" t="n"/>
      <c r="CL85" s="27">
        <f>SUM(CJ85:CK85)</f>
        <v/>
      </c>
      <c r="CM85" s="28" t="n"/>
      <c r="CN85" s="31" t="n"/>
      <c r="CO85" s="29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1" t="n"/>
      <c r="CQ85" s="21" t="n"/>
      <c r="CR85" s="27">
        <f>SUM(CP85:CQ85)</f>
        <v/>
      </c>
      <c r="CS85" s="28" t="n"/>
      <c r="CT85" s="31" t="n"/>
      <c r="CU85" s="29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1" t="n"/>
      <c r="CW85" s="21" t="n"/>
      <c r="CX85" s="27">
        <f>SUM(CV85:CW85)</f>
        <v/>
      </c>
      <c r="CY85" s="28" t="n"/>
      <c r="CZ85" s="31" t="n"/>
      <c r="DA85" s="29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1" t="n"/>
      <c r="DC85" s="21" t="n"/>
      <c r="DD85" s="27">
        <f>SUM(DB85:DC85)</f>
        <v/>
      </c>
      <c r="DE85" s="28" t="n"/>
      <c r="DF85" s="31" t="n"/>
      <c r="DG85" s="29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34">
        <f>SUM(O85,U85,AA85,AG85,AM85,AS85,AY85,BE85,BK85,BQ85,BW85,CC85,CI85,CO85,CU85,DA85,DG85)</f>
        <v/>
      </c>
      <c r="DI85" s="39">
        <f>RANK(DH85,DH$4:DH$503)</f>
        <v/>
      </c>
      <c r="DJ85" s="40" t="inlineStr">
        <is>
          <t>CHOOSE RATING</t>
        </is>
      </c>
      <c r="DK85" s="40" t="inlineStr">
        <is>
          <t>CHOOSE RATING</t>
        </is>
      </c>
      <c r="DL85" s="40" t="inlineStr">
        <is>
          <t>CHOOSE RATING</t>
        </is>
      </c>
      <c r="DM85" s="40" t="inlineStr">
        <is>
          <t>CHOOSE RATING</t>
        </is>
      </c>
      <c r="DN85" s="40" t="inlineStr">
        <is>
          <t>CHOOSE RATING</t>
        </is>
      </c>
      <c r="DO85" s="40" t="inlineStr">
        <is>
          <t>CHOOSE RATING</t>
        </is>
      </c>
      <c r="DP85" s="40" t="inlineStr">
        <is>
          <t>CHOOSE RATING</t>
        </is>
      </c>
      <c r="DQ85" s="40" t="inlineStr">
        <is>
          <t>CHOOSE RATING</t>
        </is>
      </c>
      <c r="DR85" s="43" t="inlineStr">
        <is>
          <t>2024/2025</t>
        </is>
      </c>
      <c r="DS85" s="45" t="inlineStr">
        <is>
          <t>THIRD</t>
        </is>
      </c>
      <c r="DT85" s="40" t="inlineStr">
        <is>
          <t>CHOOSE RATING</t>
        </is>
      </c>
      <c r="DU85" s="40" t="inlineStr">
        <is>
          <t>CHOOSE RATING</t>
        </is>
      </c>
      <c r="DV85" s="40" t="inlineStr">
        <is>
          <t>CHOOSE RATING</t>
        </is>
      </c>
      <c r="DW85" s="40" t="inlineStr">
        <is>
          <t>CHOOSE RATING</t>
        </is>
      </c>
      <c r="DX85" s="40" t="inlineStr">
        <is>
          <t>CHOOSE RATING</t>
        </is>
      </c>
      <c r="DY85" s="40" t="inlineStr">
        <is>
          <t>CHOOSE RATING</t>
        </is>
      </c>
      <c r="DZ85" s="53" t="inlineStr">
        <is>
          <t>CHOOSE RATING</t>
        </is>
      </c>
      <c r="EA85" s="54" t="inlineStr">
        <is>
          <t>Add the Tutor's Comment . . .</t>
        </is>
      </c>
      <c r="EB85" s="55" t="inlineStr">
        <is>
          <t>Choose Principals comment</t>
        </is>
      </c>
      <c r="EC85" s="56" t="n"/>
      <c r="ED85" s="57" t="inlineStr">
        <is>
          <t>Next Term Begins on Monday, 22nd September, 2025</t>
        </is>
      </c>
    </row>
    <row r="86" ht="30.6" customHeight="1" s="6">
      <c r="A86" s="18" t="n">
        <v>83</v>
      </c>
      <c r="B86" s="19" t="n"/>
      <c r="C86" s="20" t="n"/>
      <c r="D86" s="128" t="n"/>
      <c r="E86" s="21" t="n"/>
      <c r="F86" s="22" t="n"/>
      <c r="G86" s="22" t="n"/>
      <c r="H86" s="22" t="n"/>
      <c r="I86" s="26">
        <f>G86-H86</f>
        <v/>
      </c>
      <c r="J86" s="21" t="n"/>
      <c r="K86" s="21" t="n"/>
      <c r="L86" s="27">
        <f>SUM(J86:K86)</f>
        <v/>
      </c>
      <c r="M86" s="28" t="n"/>
      <c r="N86" s="28" t="n"/>
      <c r="O86" s="29">
        <f>IF(AND(L86=0,M86=0,N86=0),0,IF(AND(L86=0,M86=0),N86/1,IF(AND(L86=0,N86=0),M86/1,IF(AND(M86=0,N86=0),L86/1,IF(L86=0,FLOOR((M86+N86)/2,0.1),IF(M86=0,(L86+N86)/2,IF(N86=0,(M86+L86)/2,FLOOR(((L86+M86+N86)/3),0.1))))))))</f>
        <v/>
      </c>
      <c r="P86" s="21" t="n"/>
      <c r="Q86" s="21" t="n"/>
      <c r="R86" s="27">
        <f>SUM(P86:Q86)</f>
        <v/>
      </c>
      <c r="S86" s="28" t="n"/>
      <c r="T86" s="28" t="n"/>
      <c r="U86" s="29">
        <f>IF(AND(R86=0,S86=0,T86=0),0,IF(AND(R86=0,S86=0),T86/1,IF(AND(R86=0,T86=0),S86/1,IF(AND(S86=0,T86=0),R86/1,IF(R86=0,FLOOR((S86+T86)/2,0.1),IF(S86=0,(R86+T86)/2,IF(T86=0,(S86+R86)/2,FLOOR(((R86+S86+T86)/3),0.1))))))))</f>
        <v/>
      </c>
      <c r="V86" s="21" t="n"/>
      <c r="W86" s="21" t="n"/>
      <c r="X86" s="27">
        <f>SUM(V86:W86)</f>
        <v/>
      </c>
      <c r="Y86" s="28" t="n"/>
      <c r="Z86" s="28" t="n"/>
      <c r="AA86" s="29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1" t="n"/>
      <c r="AC86" s="21" t="n"/>
      <c r="AD86" s="27">
        <f>SUM(AB86:AC86)</f>
        <v/>
      </c>
      <c r="AE86" s="28" t="n"/>
      <c r="AF86" s="28" t="n"/>
      <c r="AG86" s="29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1" t="n"/>
      <c r="AI86" s="21" t="n"/>
      <c r="AJ86" s="27">
        <f>SUM(AH86:AI86)</f>
        <v/>
      </c>
      <c r="AK86" s="28" t="n"/>
      <c r="AL86" s="28" t="n"/>
      <c r="AM86" s="29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1" t="n"/>
      <c r="AO86" s="21" t="n"/>
      <c r="AP86" s="27">
        <f>SUM(AN86:AO86)</f>
        <v/>
      </c>
      <c r="AQ86" s="28" t="n"/>
      <c r="AR86" s="30" t="n"/>
      <c r="AS86" s="29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1" t="n"/>
      <c r="AU86" s="21" t="n"/>
      <c r="AV86" s="27">
        <f>SUM(AT86:AU86)</f>
        <v/>
      </c>
      <c r="AW86" s="28" t="n"/>
      <c r="AX86" s="30" t="n"/>
      <c r="AY86" s="29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1" t="n"/>
      <c r="BA86" s="21" t="n"/>
      <c r="BB86" s="27">
        <f>SUM(AZ86:BA86)</f>
        <v/>
      </c>
      <c r="BC86" s="28" t="n"/>
      <c r="BD86" s="28" t="n"/>
      <c r="BE86" s="29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1" t="n"/>
      <c r="BG86" s="21" t="n"/>
      <c r="BH86" s="27">
        <f>SUM(BF86:BG86)</f>
        <v/>
      </c>
      <c r="BI86" s="28" t="n"/>
      <c r="BJ86" s="28" t="n"/>
      <c r="BK86" s="29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1" t="n"/>
      <c r="BM86" s="21" t="n"/>
      <c r="BN86" s="27">
        <f>SUM(BL86:BM86)</f>
        <v/>
      </c>
      <c r="BO86" s="28" t="n"/>
      <c r="BP86" s="31" t="n"/>
      <c r="BQ86" s="29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1" t="n"/>
      <c r="BS86" s="21" t="n"/>
      <c r="BT86" s="27">
        <f>SUM(BR86:BS86)</f>
        <v/>
      </c>
      <c r="BU86" s="28" t="n"/>
      <c r="BV86" s="31" t="n"/>
      <c r="BW86" s="29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1" t="n"/>
      <c r="BY86" s="21" t="n"/>
      <c r="BZ86" s="27">
        <f>SUM(BX86:BY86)</f>
        <v/>
      </c>
      <c r="CA86" s="28" t="n"/>
      <c r="CB86" s="31" t="n"/>
      <c r="CC86" s="29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1" t="n"/>
      <c r="CE86" s="21" t="n"/>
      <c r="CF86" s="27">
        <f>SUM(CD86:CE86)</f>
        <v/>
      </c>
      <c r="CG86" s="28" t="n"/>
      <c r="CH86" s="31" t="n"/>
      <c r="CI86" s="29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1" t="n"/>
      <c r="CK86" s="21" t="n"/>
      <c r="CL86" s="27">
        <f>SUM(CJ86:CK86)</f>
        <v/>
      </c>
      <c r="CM86" s="28" t="n"/>
      <c r="CN86" s="31" t="n"/>
      <c r="CO86" s="29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1" t="n"/>
      <c r="CQ86" s="21" t="n"/>
      <c r="CR86" s="27">
        <f>SUM(CP86:CQ86)</f>
        <v/>
      </c>
      <c r="CS86" s="28" t="n"/>
      <c r="CT86" s="31" t="n"/>
      <c r="CU86" s="29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1" t="n"/>
      <c r="CW86" s="21" t="n"/>
      <c r="CX86" s="27">
        <f>SUM(CV86:CW86)</f>
        <v/>
      </c>
      <c r="CY86" s="28" t="n"/>
      <c r="CZ86" s="31" t="n"/>
      <c r="DA86" s="29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1" t="n"/>
      <c r="DC86" s="21" t="n"/>
      <c r="DD86" s="27">
        <f>SUM(DB86:DC86)</f>
        <v/>
      </c>
      <c r="DE86" s="28" t="n"/>
      <c r="DF86" s="31" t="n"/>
      <c r="DG86" s="29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34">
        <f>SUM(O86,U86,AA86,AG86,AM86,AS86,AY86,BE86,BK86,BQ86,BW86,CC86,CI86,CO86,CU86,DA86,DG86)</f>
        <v/>
      </c>
      <c r="DI86" s="39">
        <f>RANK(DH86,DH$4:DH$503)</f>
        <v/>
      </c>
      <c r="DJ86" s="40" t="inlineStr">
        <is>
          <t>CHOOSE RATING</t>
        </is>
      </c>
      <c r="DK86" s="40" t="inlineStr">
        <is>
          <t>CHOOSE RATING</t>
        </is>
      </c>
      <c r="DL86" s="40" t="inlineStr">
        <is>
          <t>CHOOSE RATING</t>
        </is>
      </c>
      <c r="DM86" s="40" t="inlineStr">
        <is>
          <t>CHOOSE RATING</t>
        </is>
      </c>
      <c r="DN86" s="40" t="inlineStr">
        <is>
          <t>CHOOSE RATING</t>
        </is>
      </c>
      <c r="DO86" s="40" t="inlineStr">
        <is>
          <t>CHOOSE RATING</t>
        </is>
      </c>
      <c r="DP86" s="40" t="inlineStr">
        <is>
          <t>CHOOSE RATING</t>
        </is>
      </c>
      <c r="DQ86" s="40" t="inlineStr">
        <is>
          <t>CHOOSE RATING</t>
        </is>
      </c>
      <c r="DR86" s="43" t="inlineStr">
        <is>
          <t>2024/2025</t>
        </is>
      </c>
      <c r="DS86" s="45" t="inlineStr">
        <is>
          <t>THIRD</t>
        </is>
      </c>
      <c r="DT86" s="40" t="inlineStr">
        <is>
          <t>CHOOSE RATING</t>
        </is>
      </c>
      <c r="DU86" s="40" t="inlineStr">
        <is>
          <t>CHOOSE RATING</t>
        </is>
      </c>
      <c r="DV86" s="40" t="inlineStr">
        <is>
          <t>CHOOSE RATING</t>
        </is>
      </c>
      <c r="DW86" s="40" t="inlineStr">
        <is>
          <t>CHOOSE RATING</t>
        </is>
      </c>
      <c r="DX86" s="40" t="inlineStr">
        <is>
          <t>CHOOSE RATING</t>
        </is>
      </c>
      <c r="DY86" s="40" t="inlineStr">
        <is>
          <t>CHOOSE RATING</t>
        </is>
      </c>
      <c r="DZ86" s="53" t="inlineStr">
        <is>
          <t>CHOOSE RATING</t>
        </is>
      </c>
      <c r="EA86" s="54" t="inlineStr">
        <is>
          <t>Add the Tutor's Comment . . .</t>
        </is>
      </c>
      <c r="EB86" s="55" t="inlineStr">
        <is>
          <t>Choose Principals comment</t>
        </is>
      </c>
      <c r="EC86" s="56" t="n"/>
      <c r="ED86" s="57" t="inlineStr">
        <is>
          <t>Next Term Begins on Monday, 22nd September, 2025</t>
        </is>
      </c>
    </row>
    <row r="87" ht="30.6" customHeight="1" s="6">
      <c r="A87" s="18" t="n">
        <v>84</v>
      </c>
      <c r="B87" s="19" t="n"/>
      <c r="C87" s="20" t="n"/>
      <c r="D87" s="128" t="n"/>
      <c r="E87" s="21" t="n"/>
      <c r="F87" s="22" t="n"/>
      <c r="G87" s="22" t="n"/>
      <c r="H87" s="22" t="n"/>
      <c r="I87" s="26">
        <f>G87-H87</f>
        <v/>
      </c>
      <c r="J87" s="21" t="n"/>
      <c r="K87" s="21" t="n"/>
      <c r="L87" s="27">
        <f>SUM(J87:K87)</f>
        <v/>
      </c>
      <c r="M87" s="28" t="n"/>
      <c r="N87" s="28" t="n"/>
      <c r="O87" s="29">
        <f>IF(AND(L87=0,M87=0,N87=0),0,IF(AND(L87=0,M87=0),N87/1,IF(AND(L87=0,N87=0),M87/1,IF(AND(M87=0,N87=0),L87/1,IF(L87=0,FLOOR((M87+N87)/2,0.1),IF(M87=0,(L87+N87)/2,IF(N87=0,(M87+L87)/2,FLOOR(((L87+M87+N87)/3),0.1))))))))</f>
        <v/>
      </c>
      <c r="P87" s="21" t="n"/>
      <c r="Q87" s="21" t="n"/>
      <c r="R87" s="27">
        <f>SUM(P87:Q87)</f>
        <v/>
      </c>
      <c r="S87" s="28" t="n"/>
      <c r="T87" s="28" t="n"/>
      <c r="U87" s="29">
        <f>IF(AND(R87=0,S87=0,T87=0),0,IF(AND(R87=0,S87=0),T87/1,IF(AND(R87=0,T87=0),S87/1,IF(AND(S87=0,T87=0),R87/1,IF(R87=0,FLOOR((S87+T87)/2,0.1),IF(S87=0,(R87+T87)/2,IF(T87=0,(S87+R87)/2,FLOOR(((R87+S87+T87)/3),0.1))))))))</f>
        <v/>
      </c>
      <c r="V87" s="21" t="n"/>
      <c r="W87" s="21" t="n"/>
      <c r="X87" s="27">
        <f>SUM(V87:W87)</f>
        <v/>
      </c>
      <c r="Y87" s="28" t="n"/>
      <c r="Z87" s="28" t="n"/>
      <c r="AA87" s="29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1" t="n"/>
      <c r="AC87" s="21" t="n"/>
      <c r="AD87" s="27">
        <f>SUM(AB87:AC87)</f>
        <v/>
      </c>
      <c r="AE87" s="28" t="n"/>
      <c r="AF87" s="28" t="n"/>
      <c r="AG87" s="29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1" t="n"/>
      <c r="AI87" s="21" t="n"/>
      <c r="AJ87" s="27">
        <f>SUM(AH87:AI87)</f>
        <v/>
      </c>
      <c r="AK87" s="28" t="n"/>
      <c r="AL87" s="28" t="n"/>
      <c r="AM87" s="29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1" t="n"/>
      <c r="AO87" s="21" t="n"/>
      <c r="AP87" s="27">
        <f>SUM(AN87:AO87)</f>
        <v/>
      </c>
      <c r="AQ87" s="28" t="n"/>
      <c r="AR87" s="30" t="n"/>
      <c r="AS87" s="29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1" t="n"/>
      <c r="AU87" s="21" t="n"/>
      <c r="AV87" s="27">
        <f>SUM(AT87:AU87)</f>
        <v/>
      </c>
      <c r="AW87" s="28" t="n"/>
      <c r="AX87" s="30" t="n"/>
      <c r="AY87" s="29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1" t="n"/>
      <c r="BA87" s="21" t="n"/>
      <c r="BB87" s="27">
        <f>SUM(AZ87:BA87)</f>
        <v/>
      </c>
      <c r="BC87" s="28" t="n"/>
      <c r="BD87" s="28" t="n"/>
      <c r="BE87" s="29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1" t="n"/>
      <c r="BG87" s="21" t="n"/>
      <c r="BH87" s="27">
        <f>SUM(BF87:BG87)</f>
        <v/>
      </c>
      <c r="BI87" s="28" t="n"/>
      <c r="BJ87" s="28" t="n"/>
      <c r="BK87" s="29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1" t="n"/>
      <c r="BM87" s="21" t="n"/>
      <c r="BN87" s="27">
        <f>SUM(BL87:BM87)</f>
        <v/>
      </c>
      <c r="BO87" s="28" t="n"/>
      <c r="BP87" s="31" t="n"/>
      <c r="BQ87" s="29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1" t="n"/>
      <c r="BS87" s="21" t="n"/>
      <c r="BT87" s="27">
        <f>SUM(BR87:BS87)</f>
        <v/>
      </c>
      <c r="BU87" s="28" t="n"/>
      <c r="BV87" s="31" t="n"/>
      <c r="BW87" s="29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1" t="n"/>
      <c r="BY87" s="21" t="n"/>
      <c r="BZ87" s="27">
        <f>SUM(BX87:BY87)</f>
        <v/>
      </c>
      <c r="CA87" s="28" t="n"/>
      <c r="CB87" s="31" t="n"/>
      <c r="CC87" s="29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1" t="n"/>
      <c r="CE87" s="21" t="n"/>
      <c r="CF87" s="27">
        <f>SUM(CD87:CE87)</f>
        <v/>
      </c>
      <c r="CG87" s="28" t="n"/>
      <c r="CH87" s="31" t="n"/>
      <c r="CI87" s="29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1" t="n"/>
      <c r="CK87" s="21" t="n"/>
      <c r="CL87" s="27">
        <f>SUM(CJ87:CK87)</f>
        <v/>
      </c>
      <c r="CM87" s="28" t="n"/>
      <c r="CN87" s="31" t="n"/>
      <c r="CO87" s="29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1" t="n"/>
      <c r="CQ87" s="21" t="n"/>
      <c r="CR87" s="27">
        <f>SUM(CP87:CQ87)</f>
        <v/>
      </c>
      <c r="CS87" s="28" t="n"/>
      <c r="CT87" s="31" t="n"/>
      <c r="CU87" s="29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1" t="n"/>
      <c r="CW87" s="21" t="n"/>
      <c r="CX87" s="27">
        <f>SUM(CV87:CW87)</f>
        <v/>
      </c>
      <c r="CY87" s="28" t="n"/>
      <c r="CZ87" s="31" t="n"/>
      <c r="DA87" s="29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1" t="n"/>
      <c r="DC87" s="21" t="n"/>
      <c r="DD87" s="27">
        <f>SUM(DB87:DC87)</f>
        <v/>
      </c>
      <c r="DE87" s="28" t="n"/>
      <c r="DF87" s="31" t="n"/>
      <c r="DG87" s="29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34">
        <f>SUM(O87,U87,AA87,AG87,AM87,AS87,AY87,BE87,BK87,BQ87,BW87,CC87,CI87,CO87,CU87,DA87,DG87)</f>
        <v/>
      </c>
      <c r="DI87" s="39">
        <f>RANK(DH87,DH$4:DH$503)</f>
        <v/>
      </c>
      <c r="DJ87" s="40" t="inlineStr">
        <is>
          <t>CHOOSE RATING</t>
        </is>
      </c>
      <c r="DK87" s="40" t="inlineStr">
        <is>
          <t>CHOOSE RATING</t>
        </is>
      </c>
      <c r="DL87" s="40" t="inlineStr">
        <is>
          <t>CHOOSE RATING</t>
        </is>
      </c>
      <c r="DM87" s="40" t="inlineStr">
        <is>
          <t>CHOOSE RATING</t>
        </is>
      </c>
      <c r="DN87" s="40" t="inlineStr">
        <is>
          <t>CHOOSE RATING</t>
        </is>
      </c>
      <c r="DO87" s="40" t="inlineStr">
        <is>
          <t>CHOOSE RATING</t>
        </is>
      </c>
      <c r="DP87" s="40" t="inlineStr">
        <is>
          <t>CHOOSE RATING</t>
        </is>
      </c>
      <c r="DQ87" s="40" t="inlineStr">
        <is>
          <t>CHOOSE RATING</t>
        </is>
      </c>
      <c r="DR87" s="43" t="inlineStr">
        <is>
          <t>2024/2025</t>
        </is>
      </c>
      <c r="DS87" s="45" t="inlineStr">
        <is>
          <t>THIRD</t>
        </is>
      </c>
      <c r="DT87" s="40" t="inlineStr">
        <is>
          <t>CHOOSE RATING</t>
        </is>
      </c>
      <c r="DU87" s="40" t="inlineStr">
        <is>
          <t>CHOOSE RATING</t>
        </is>
      </c>
      <c r="DV87" s="40" t="inlineStr">
        <is>
          <t>CHOOSE RATING</t>
        </is>
      </c>
      <c r="DW87" s="40" t="inlineStr">
        <is>
          <t>CHOOSE RATING</t>
        </is>
      </c>
      <c r="DX87" s="40" t="inlineStr">
        <is>
          <t>CHOOSE RATING</t>
        </is>
      </c>
      <c r="DY87" s="40" t="inlineStr">
        <is>
          <t>CHOOSE RATING</t>
        </is>
      </c>
      <c r="DZ87" s="53" t="inlineStr">
        <is>
          <t>CHOOSE RATING</t>
        </is>
      </c>
      <c r="EA87" s="54" t="inlineStr">
        <is>
          <t>Add the Tutor's Comment . . .</t>
        </is>
      </c>
      <c r="EB87" s="55" t="inlineStr">
        <is>
          <t>Choose Principals comment</t>
        </is>
      </c>
      <c r="EC87" s="56" t="n"/>
      <c r="ED87" s="57" t="inlineStr">
        <is>
          <t>Next Term Begins on Monday, 22nd September, 2025</t>
        </is>
      </c>
    </row>
    <row r="88" ht="30.6" customHeight="1" s="6">
      <c r="A88" s="18" t="n">
        <v>85</v>
      </c>
      <c r="B88" s="19" t="n"/>
      <c r="C88" s="20" t="n"/>
      <c r="D88" s="128" t="n"/>
      <c r="E88" s="21" t="n"/>
      <c r="F88" s="22" t="n"/>
      <c r="G88" s="22" t="n"/>
      <c r="H88" s="22" t="n"/>
      <c r="I88" s="26">
        <f>G88-H88</f>
        <v/>
      </c>
      <c r="J88" s="21" t="n"/>
      <c r="K88" s="21" t="n"/>
      <c r="L88" s="27">
        <f>SUM(J88:K88)</f>
        <v/>
      </c>
      <c r="M88" s="28" t="n"/>
      <c r="N88" s="28" t="n"/>
      <c r="O88" s="29">
        <f>IF(AND(L88=0,M88=0,N88=0),0,IF(AND(L88=0,M88=0),N88/1,IF(AND(L88=0,N88=0),M88/1,IF(AND(M88=0,N88=0),L88/1,IF(L88=0,FLOOR((M88+N88)/2,0.1),IF(M88=0,(L88+N88)/2,IF(N88=0,(M88+L88)/2,FLOOR(((L88+M88+N88)/3),0.1))))))))</f>
        <v/>
      </c>
      <c r="P88" s="21" t="n"/>
      <c r="Q88" s="21" t="n"/>
      <c r="R88" s="27">
        <f>SUM(P88:Q88)</f>
        <v/>
      </c>
      <c r="S88" s="28" t="n"/>
      <c r="T88" s="28" t="n"/>
      <c r="U88" s="29">
        <f>IF(AND(R88=0,S88=0,T88=0),0,IF(AND(R88=0,S88=0),T88/1,IF(AND(R88=0,T88=0),S88/1,IF(AND(S88=0,T88=0),R88/1,IF(R88=0,FLOOR((S88+T88)/2,0.1),IF(S88=0,(R88+T88)/2,IF(T88=0,(S88+R88)/2,FLOOR(((R88+S88+T88)/3),0.1))))))))</f>
        <v/>
      </c>
      <c r="V88" s="21" t="n"/>
      <c r="W88" s="21" t="n"/>
      <c r="X88" s="27">
        <f>SUM(V88:W88)</f>
        <v/>
      </c>
      <c r="Y88" s="28" t="n"/>
      <c r="Z88" s="28" t="n"/>
      <c r="AA88" s="29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1" t="n"/>
      <c r="AC88" s="21" t="n"/>
      <c r="AD88" s="27">
        <f>SUM(AB88:AC88)</f>
        <v/>
      </c>
      <c r="AE88" s="28" t="n"/>
      <c r="AF88" s="28" t="n"/>
      <c r="AG88" s="29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1" t="n"/>
      <c r="AI88" s="21" t="n"/>
      <c r="AJ88" s="27">
        <f>SUM(AH88:AI88)</f>
        <v/>
      </c>
      <c r="AK88" s="28" t="n"/>
      <c r="AL88" s="28" t="n"/>
      <c r="AM88" s="29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1" t="n"/>
      <c r="AO88" s="21" t="n"/>
      <c r="AP88" s="27">
        <f>SUM(AN88:AO88)</f>
        <v/>
      </c>
      <c r="AQ88" s="28" t="n"/>
      <c r="AR88" s="30" t="n"/>
      <c r="AS88" s="29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1" t="n"/>
      <c r="AU88" s="21" t="n"/>
      <c r="AV88" s="27">
        <f>SUM(AT88:AU88)</f>
        <v/>
      </c>
      <c r="AW88" s="28" t="n"/>
      <c r="AX88" s="30" t="n"/>
      <c r="AY88" s="29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1" t="n"/>
      <c r="BA88" s="21" t="n"/>
      <c r="BB88" s="27">
        <f>SUM(AZ88:BA88)</f>
        <v/>
      </c>
      <c r="BC88" s="28" t="n"/>
      <c r="BD88" s="28" t="n"/>
      <c r="BE88" s="29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1" t="n"/>
      <c r="BG88" s="21" t="n"/>
      <c r="BH88" s="27">
        <f>SUM(BF88:BG88)</f>
        <v/>
      </c>
      <c r="BI88" s="28" t="n"/>
      <c r="BJ88" s="28" t="n"/>
      <c r="BK88" s="29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1" t="n"/>
      <c r="BM88" s="21" t="n"/>
      <c r="BN88" s="27">
        <f>SUM(BL88:BM88)</f>
        <v/>
      </c>
      <c r="BO88" s="28" t="n"/>
      <c r="BP88" s="31" t="n"/>
      <c r="BQ88" s="29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1" t="n"/>
      <c r="BS88" s="21" t="n"/>
      <c r="BT88" s="27">
        <f>SUM(BR88:BS88)</f>
        <v/>
      </c>
      <c r="BU88" s="28" t="n"/>
      <c r="BV88" s="31" t="n"/>
      <c r="BW88" s="29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1" t="n"/>
      <c r="BY88" s="21" t="n"/>
      <c r="BZ88" s="27">
        <f>SUM(BX88:BY88)</f>
        <v/>
      </c>
      <c r="CA88" s="28" t="n"/>
      <c r="CB88" s="31" t="n"/>
      <c r="CC88" s="29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1" t="n"/>
      <c r="CE88" s="21" t="n"/>
      <c r="CF88" s="27">
        <f>SUM(CD88:CE88)</f>
        <v/>
      </c>
      <c r="CG88" s="28" t="n"/>
      <c r="CH88" s="31" t="n"/>
      <c r="CI88" s="29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1" t="n"/>
      <c r="CK88" s="21" t="n"/>
      <c r="CL88" s="27">
        <f>SUM(CJ88:CK88)</f>
        <v/>
      </c>
      <c r="CM88" s="28" t="n"/>
      <c r="CN88" s="31" t="n"/>
      <c r="CO88" s="29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1" t="n"/>
      <c r="CQ88" s="21" t="n"/>
      <c r="CR88" s="27">
        <f>SUM(CP88:CQ88)</f>
        <v/>
      </c>
      <c r="CS88" s="28" t="n"/>
      <c r="CT88" s="31" t="n"/>
      <c r="CU88" s="29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1" t="n"/>
      <c r="CW88" s="21" t="n"/>
      <c r="CX88" s="27">
        <f>SUM(CV88:CW88)</f>
        <v/>
      </c>
      <c r="CY88" s="28" t="n"/>
      <c r="CZ88" s="31" t="n"/>
      <c r="DA88" s="29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1" t="n"/>
      <c r="DC88" s="21" t="n"/>
      <c r="DD88" s="27">
        <f>SUM(DB88:DC88)</f>
        <v/>
      </c>
      <c r="DE88" s="28" t="n"/>
      <c r="DF88" s="31" t="n"/>
      <c r="DG88" s="29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34">
        <f>SUM(O88,U88,AA88,AG88,AM88,AS88,AY88,BE88,BK88,BQ88,BW88,CC88,CI88,CO88,CU88,DA88,DG88)</f>
        <v/>
      </c>
      <c r="DI88" s="39">
        <f>RANK(DH88,DH$4:DH$503)</f>
        <v/>
      </c>
      <c r="DJ88" s="40" t="inlineStr">
        <is>
          <t>CHOOSE RATING</t>
        </is>
      </c>
      <c r="DK88" s="40" t="inlineStr">
        <is>
          <t>CHOOSE RATING</t>
        </is>
      </c>
      <c r="DL88" s="40" t="inlineStr">
        <is>
          <t>CHOOSE RATING</t>
        </is>
      </c>
      <c r="DM88" s="40" t="inlineStr">
        <is>
          <t>CHOOSE RATING</t>
        </is>
      </c>
      <c r="DN88" s="40" t="inlineStr">
        <is>
          <t>CHOOSE RATING</t>
        </is>
      </c>
      <c r="DO88" s="40" t="inlineStr">
        <is>
          <t>CHOOSE RATING</t>
        </is>
      </c>
      <c r="DP88" s="40" t="inlineStr">
        <is>
          <t>CHOOSE RATING</t>
        </is>
      </c>
      <c r="DQ88" s="40" t="inlineStr">
        <is>
          <t>CHOOSE RATING</t>
        </is>
      </c>
      <c r="DR88" s="43" t="inlineStr">
        <is>
          <t>2024/2025</t>
        </is>
      </c>
      <c r="DS88" s="45" t="inlineStr">
        <is>
          <t>THIRD</t>
        </is>
      </c>
      <c r="DT88" s="40" t="inlineStr">
        <is>
          <t>CHOOSE RATING</t>
        </is>
      </c>
      <c r="DU88" s="40" t="inlineStr">
        <is>
          <t>CHOOSE RATING</t>
        </is>
      </c>
      <c r="DV88" s="40" t="inlineStr">
        <is>
          <t>CHOOSE RATING</t>
        </is>
      </c>
      <c r="DW88" s="40" t="inlineStr">
        <is>
          <t>CHOOSE RATING</t>
        </is>
      </c>
      <c r="DX88" s="40" t="inlineStr">
        <is>
          <t>CHOOSE RATING</t>
        </is>
      </c>
      <c r="DY88" s="40" t="inlineStr">
        <is>
          <t>CHOOSE RATING</t>
        </is>
      </c>
      <c r="DZ88" s="53" t="inlineStr">
        <is>
          <t>CHOOSE RATING</t>
        </is>
      </c>
      <c r="EA88" s="54" t="inlineStr">
        <is>
          <t>Add the Tutor's Comment . . .</t>
        </is>
      </c>
      <c r="EB88" s="55" t="inlineStr">
        <is>
          <t>Choose Principals comment</t>
        </is>
      </c>
      <c r="EC88" s="56" t="n"/>
      <c r="ED88" s="57" t="inlineStr">
        <is>
          <t>Next Term Begins on Monday, 22nd September, 2025</t>
        </is>
      </c>
    </row>
    <row r="89" ht="30.6" customHeight="1" s="6">
      <c r="A89" s="18" t="n">
        <v>86</v>
      </c>
      <c r="B89" s="19" t="n"/>
      <c r="C89" s="20" t="n"/>
      <c r="D89" s="128" t="n"/>
      <c r="E89" s="21" t="n"/>
      <c r="F89" s="22" t="n"/>
      <c r="G89" s="22" t="n"/>
      <c r="H89" s="22" t="n"/>
      <c r="I89" s="26">
        <f>G89-H89</f>
        <v/>
      </c>
      <c r="J89" s="21" t="n"/>
      <c r="K89" s="21" t="n"/>
      <c r="L89" s="27">
        <f>SUM(J89:K89)</f>
        <v/>
      </c>
      <c r="M89" s="28" t="n"/>
      <c r="N89" s="28" t="n"/>
      <c r="O89" s="29">
        <f>IF(AND(L89=0,M89=0,N89=0),0,IF(AND(L89=0,M89=0),N89/1,IF(AND(L89=0,N89=0),M89/1,IF(AND(M89=0,N89=0),L89/1,IF(L89=0,FLOOR((M89+N89)/2,0.1),IF(M89=0,(L89+N89)/2,IF(N89=0,(M89+L89)/2,FLOOR(((L89+M89+N89)/3),0.1))))))))</f>
        <v/>
      </c>
      <c r="P89" s="21" t="n"/>
      <c r="Q89" s="21" t="n"/>
      <c r="R89" s="27">
        <f>SUM(P89:Q89)</f>
        <v/>
      </c>
      <c r="S89" s="28" t="n"/>
      <c r="T89" s="28" t="n"/>
      <c r="U89" s="29">
        <f>IF(AND(R89=0,S89=0,T89=0),0,IF(AND(R89=0,S89=0),T89/1,IF(AND(R89=0,T89=0),S89/1,IF(AND(S89=0,T89=0),R89/1,IF(R89=0,FLOOR((S89+T89)/2,0.1),IF(S89=0,(R89+T89)/2,IF(T89=0,(S89+R89)/2,FLOOR(((R89+S89+T89)/3),0.1))))))))</f>
        <v/>
      </c>
      <c r="V89" s="21" t="n"/>
      <c r="W89" s="21" t="n"/>
      <c r="X89" s="27">
        <f>SUM(V89:W89)</f>
        <v/>
      </c>
      <c r="Y89" s="28" t="n"/>
      <c r="Z89" s="28" t="n"/>
      <c r="AA89" s="29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1" t="n"/>
      <c r="AC89" s="21" t="n"/>
      <c r="AD89" s="27">
        <f>SUM(AB89:AC89)</f>
        <v/>
      </c>
      <c r="AE89" s="28" t="n"/>
      <c r="AF89" s="28" t="n"/>
      <c r="AG89" s="29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1" t="n"/>
      <c r="AI89" s="21" t="n"/>
      <c r="AJ89" s="27">
        <f>SUM(AH89:AI89)</f>
        <v/>
      </c>
      <c r="AK89" s="28" t="n"/>
      <c r="AL89" s="28" t="n"/>
      <c r="AM89" s="29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1" t="n"/>
      <c r="AO89" s="21" t="n"/>
      <c r="AP89" s="27">
        <f>SUM(AN89:AO89)</f>
        <v/>
      </c>
      <c r="AQ89" s="28" t="n"/>
      <c r="AR89" s="30" t="n"/>
      <c r="AS89" s="29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1" t="n"/>
      <c r="AU89" s="21" t="n"/>
      <c r="AV89" s="27">
        <f>SUM(AT89:AU89)</f>
        <v/>
      </c>
      <c r="AW89" s="28" t="n"/>
      <c r="AX89" s="30" t="n"/>
      <c r="AY89" s="29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1" t="n"/>
      <c r="BA89" s="21" t="n"/>
      <c r="BB89" s="27">
        <f>SUM(AZ89:BA89)</f>
        <v/>
      </c>
      <c r="BC89" s="28" t="n"/>
      <c r="BD89" s="28" t="n"/>
      <c r="BE89" s="29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1" t="n"/>
      <c r="BG89" s="21" t="n"/>
      <c r="BH89" s="27">
        <f>SUM(BF89:BG89)</f>
        <v/>
      </c>
      <c r="BI89" s="28" t="n"/>
      <c r="BJ89" s="28" t="n"/>
      <c r="BK89" s="29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1" t="n"/>
      <c r="BM89" s="21" t="n"/>
      <c r="BN89" s="27">
        <f>SUM(BL89:BM89)</f>
        <v/>
      </c>
      <c r="BO89" s="28" t="n"/>
      <c r="BP89" s="31" t="n"/>
      <c r="BQ89" s="29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1" t="n"/>
      <c r="BS89" s="21" t="n"/>
      <c r="BT89" s="27">
        <f>SUM(BR89:BS89)</f>
        <v/>
      </c>
      <c r="BU89" s="28" t="n"/>
      <c r="BV89" s="31" t="n"/>
      <c r="BW89" s="29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1" t="n"/>
      <c r="BY89" s="21" t="n"/>
      <c r="BZ89" s="27">
        <f>SUM(BX89:BY89)</f>
        <v/>
      </c>
      <c r="CA89" s="28" t="n"/>
      <c r="CB89" s="31" t="n"/>
      <c r="CC89" s="29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1" t="n"/>
      <c r="CE89" s="21" t="n"/>
      <c r="CF89" s="27">
        <f>SUM(CD89:CE89)</f>
        <v/>
      </c>
      <c r="CG89" s="28" t="n"/>
      <c r="CH89" s="31" t="n"/>
      <c r="CI89" s="29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1" t="n"/>
      <c r="CK89" s="21" t="n"/>
      <c r="CL89" s="27">
        <f>SUM(CJ89:CK89)</f>
        <v/>
      </c>
      <c r="CM89" s="28" t="n"/>
      <c r="CN89" s="31" t="n"/>
      <c r="CO89" s="29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1" t="n"/>
      <c r="CQ89" s="21" t="n"/>
      <c r="CR89" s="27">
        <f>SUM(CP89:CQ89)</f>
        <v/>
      </c>
      <c r="CS89" s="28" t="n"/>
      <c r="CT89" s="31" t="n"/>
      <c r="CU89" s="29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1" t="n"/>
      <c r="CW89" s="21" t="n"/>
      <c r="CX89" s="27">
        <f>SUM(CV89:CW89)</f>
        <v/>
      </c>
      <c r="CY89" s="28" t="n"/>
      <c r="CZ89" s="31" t="n"/>
      <c r="DA89" s="29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1" t="n"/>
      <c r="DC89" s="21" t="n"/>
      <c r="DD89" s="27">
        <f>SUM(DB89:DC89)</f>
        <v/>
      </c>
      <c r="DE89" s="28" t="n"/>
      <c r="DF89" s="31" t="n"/>
      <c r="DG89" s="29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34">
        <f>SUM(O89,U89,AA89,AG89,AM89,AS89,AY89,BE89,BK89,BQ89,BW89,CC89,CI89,CO89,CU89,DA89,DG89)</f>
        <v/>
      </c>
      <c r="DI89" s="39">
        <f>RANK(DH89,DH$4:DH$503)</f>
        <v/>
      </c>
      <c r="DJ89" s="40" t="inlineStr">
        <is>
          <t>CHOOSE RATING</t>
        </is>
      </c>
      <c r="DK89" s="40" t="inlineStr">
        <is>
          <t>CHOOSE RATING</t>
        </is>
      </c>
      <c r="DL89" s="40" t="inlineStr">
        <is>
          <t>CHOOSE RATING</t>
        </is>
      </c>
      <c r="DM89" s="40" t="inlineStr">
        <is>
          <t>CHOOSE RATING</t>
        </is>
      </c>
      <c r="DN89" s="40" t="inlineStr">
        <is>
          <t>CHOOSE RATING</t>
        </is>
      </c>
      <c r="DO89" s="40" t="inlineStr">
        <is>
          <t>CHOOSE RATING</t>
        </is>
      </c>
      <c r="DP89" s="40" t="inlineStr">
        <is>
          <t>CHOOSE RATING</t>
        </is>
      </c>
      <c r="DQ89" s="40" t="inlineStr">
        <is>
          <t>CHOOSE RATING</t>
        </is>
      </c>
      <c r="DR89" s="43" t="inlineStr">
        <is>
          <t>2024/2025</t>
        </is>
      </c>
      <c r="DS89" s="45" t="inlineStr">
        <is>
          <t>THIRD</t>
        </is>
      </c>
      <c r="DT89" s="40" t="inlineStr">
        <is>
          <t>CHOOSE RATING</t>
        </is>
      </c>
      <c r="DU89" s="40" t="inlineStr">
        <is>
          <t>CHOOSE RATING</t>
        </is>
      </c>
      <c r="DV89" s="40" t="inlineStr">
        <is>
          <t>CHOOSE RATING</t>
        </is>
      </c>
      <c r="DW89" s="40" t="inlineStr">
        <is>
          <t>CHOOSE RATING</t>
        </is>
      </c>
      <c r="DX89" s="40" t="inlineStr">
        <is>
          <t>CHOOSE RATING</t>
        </is>
      </c>
      <c r="DY89" s="40" t="inlineStr">
        <is>
          <t>CHOOSE RATING</t>
        </is>
      </c>
      <c r="DZ89" s="53" t="inlineStr">
        <is>
          <t>CHOOSE RATING</t>
        </is>
      </c>
      <c r="EA89" s="54" t="inlineStr">
        <is>
          <t>Add the Tutor's Comment . . .</t>
        </is>
      </c>
      <c r="EB89" s="55" t="inlineStr">
        <is>
          <t>Choose Principals comment</t>
        </is>
      </c>
      <c r="EC89" s="56" t="n"/>
      <c r="ED89" s="57" t="inlineStr">
        <is>
          <t>Next Term Begins on Monday, 22nd September, 2025</t>
        </is>
      </c>
    </row>
    <row r="90" ht="30.6" customHeight="1" s="6">
      <c r="A90" s="18" t="n">
        <v>87</v>
      </c>
      <c r="B90" s="19" t="n"/>
      <c r="C90" s="20" t="n"/>
      <c r="D90" s="128" t="n"/>
      <c r="E90" s="21" t="n"/>
      <c r="F90" s="22" t="n"/>
      <c r="G90" s="22" t="n"/>
      <c r="H90" s="22" t="n"/>
      <c r="I90" s="26">
        <f>G90-H90</f>
        <v/>
      </c>
      <c r="J90" s="21" t="n"/>
      <c r="K90" s="21" t="n"/>
      <c r="L90" s="27">
        <f>SUM(J90:K90)</f>
        <v/>
      </c>
      <c r="M90" s="28" t="n"/>
      <c r="N90" s="28" t="n"/>
      <c r="O90" s="29">
        <f>IF(AND(L90=0,M90=0,N90=0),0,IF(AND(L90=0,M90=0),N90/1,IF(AND(L90=0,N90=0),M90/1,IF(AND(M90=0,N90=0),L90/1,IF(L90=0,FLOOR((M90+N90)/2,0.1),IF(M90=0,(L90+N90)/2,IF(N90=0,(M90+L90)/2,FLOOR(((L90+M90+N90)/3),0.1))))))))</f>
        <v/>
      </c>
      <c r="P90" s="21" t="n"/>
      <c r="Q90" s="21" t="n"/>
      <c r="R90" s="27">
        <f>SUM(P90:Q90)</f>
        <v/>
      </c>
      <c r="S90" s="28" t="n"/>
      <c r="T90" s="28" t="n"/>
      <c r="U90" s="29">
        <f>IF(AND(R90=0,S90=0,T90=0),0,IF(AND(R90=0,S90=0),T90/1,IF(AND(R90=0,T90=0),S90/1,IF(AND(S90=0,T90=0),R90/1,IF(R90=0,FLOOR((S90+T90)/2,0.1),IF(S90=0,(R90+T90)/2,IF(T90=0,(S90+R90)/2,FLOOR(((R90+S90+T90)/3),0.1))))))))</f>
        <v/>
      </c>
      <c r="V90" s="21" t="n"/>
      <c r="W90" s="21" t="n"/>
      <c r="X90" s="27">
        <f>SUM(V90:W90)</f>
        <v/>
      </c>
      <c r="Y90" s="28" t="n"/>
      <c r="Z90" s="28" t="n"/>
      <c r="AA90" s="29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1" t="n"/>
      <c r="AC90" s="21" t="n"/>
      <c r="AD90" s="27">
        <f>SUM(AB90:AC90)</f>
        <v/>
      </c>
      <c r="AE90" s="28" t="n"/>
      <c r="AF90" s="28" t="n"/>
      <c r="AG90" s="29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1" t="n"/>
      <c r="AI90" s="21" t="n"/>
      <c r="AJ90" s="27">
        <f>SUM(AH90:AI90)</f>
        <v/>
      </c>
      <c r="AK90" s="28" t="n"/>
      <c r="AL90" s="28" t="n"/>
      <c r="AM90" s="29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1" t="n"/>
      <c r="AO90" s="21" t="n"/>
      <c r="AP90" s="27">
        <f>SUM(AN90:AO90)</f>
        <v/>
      </c>
      <c r="AQ90" s="28" t="n"/>
      <c r="AR90" s="30" t="n"/>
      <c r="AS90" s="29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1" t="n"/>
      <c r="AU90" s="21" t="n"/>
      <c r="AV90" s="27">
        <f>SUM(AT90:AU90)</f>
        <v/>
      </c>
      <c r="AW90" s="28" t="n"/>
      <c r="AX90" s="30" t="n"/>
      <c r="AY90" s="29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1" t="n"/>
      <c r="BA90" s="21" t="n"/>
      <c r="BB90" s="27">
        <f>SUM(AZ90:BA90)</f>
        <v/>
      </c>
      <c r="BC90" s="28" t="n"/>
      <c r="BD90" s="28" t="n"/>
      <c r="BE90" s="29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1" t="n"/>
      <c r="BG90" s="21" t="n"/>
      <c r="BH90" s="27">
        <f>SUM(BF90:BG90)</f>
        <v/>
      </c>
      <c r="BI90" s="28" t="n"/>
      <c r="BJ90" s="28" t="n"/>
      <c r="BK90" s="29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1" t="n"/>
      <c r="BM90" s="21" t="n"/>
      <c r="BN90" s="27">
        <f>SUM(BL90:BM90)</f>
        <v/>
      </c>
      <c r="BO90" s="28" t="n"/>
      <c r="BP90" s="31" t="n"/>
      <c r="BQ90" s="29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1" t="n"/>
      <c r="BS90" s="21" t="n"/>
      <c r="BT90" s="27">
        <f>SUM(BR90:BS90)</f>
        <v/>
      </c>
      <c r="BU90" s="28" t="n"/>
      <c r="BV90" s="31" t="n"/>
      <c r="BW90" s="29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1" t="n"/>
      <c r="BY90" s="21" t="n"/>
      <c r="BZ90" s="27">
        <f>SUM(BX90:BY90)</f>
        <v/>
      </c>
      <c r="CA90" s="28" t="n"/>
      <c r="CB90" s="31" t="n"/>
      <c r="CC90" s="29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1" t="n"/>
      <c r="CE90" s="21" t="n"/>
      <c r="CF90" s="27">
        <f>SUM(CD90:CE90)</f>
        <v/>
      </c>
      <c r="CG90" s="28" t="n"/>
      <c r="CH90" s="31" t="n"/>
      <c r="CI90" s="29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1" t="n"/>
      <c r="CK90" s="21" t="n"/>
      <c r="CL90" s="27">
        <f>SUM(CJ90:CK90)</f>
        <v/>
      </c>
      <c r="CM90" s="28" t="n"/>
      <c r="CN90" s="31" t="n"/>
      <c r="CO90" s="29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1" t="n"/>
      <c r="CQ90" s="21" t="n"/>
      <c r="CR90" s="27">
        <f>SUM(CP90:CQ90)</f>
        <v/>
      </c>
      <c r="CS90" s="28" t="n"/>
      <c r="CT90" s="31" t="n"/>
      <c r="CU90" s="29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1" t="n"/>
      <c r="CW90" s="21" t="n"/>
      <c r="CX90" s="27">
        <f>SUM(CV90:CW90)</f>
        <v/>
      </c>
      <c r="CY90" s="28" t="n"/>
      <c r="CZ90" s="31" t="n"/>
      <c r="DA90" s="29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1" t="n"/>
      <c r="DC90" s="21" t="n"/>
      <c r="DD90" s="27">
        <f>SUM(DB90:DC90)</f>
        <v/>
      </c>
      <c r="DE90" s="28" t="n"/>
      <c r="DF90" s="31" t="n"/>
      <c r="DG90" s="29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34">
        <f>SUM(O90,U90,AA90,AG90,AM90,AS90,AY90,BE90,BK90,BQ90,BW90,CC90,CI90,CO90,CU90,DA90,DG90)</f>
        <v/>
      </c>
      <c r="DI90" s="39">
        <f>RANK(DH90,DH$4:DH$503)</f>
        <v/>
      </c>
      <c r="DJ90" s="40" t="inlineStr">
        <is>
          <t>CHOOSE RATING</t>
        </is>
      </c>
      <c r="DK90" s="40" t="inlineStr">
        <is>
          <t>CHOOSE RATING</t>
        </is>
      </c>
      <c r="DL90" s="40" t="inlineStr">
        <is>
          <t>CHOOSE RATING</t>
        </is>
      </c>
      <c r="DM90" s="40" t="inlineStr">
        <is>
          <t>CHOOSE RATING</t>
        </is>
      </c>
      <c r="DN90" s="40" t="inlineStr">
        <is>
          <t>CHOOSE RATING</t>
        </is>
      </c>
      <c r="DO90" s="40" t="inlineStr">
        <is>
          <t>CHOOSE RATING</t>
        </is>
      </c>
      <c r="DP90" s="40" t="inlineStr">
        <is>
          <t>CHOOSE RATING</t>
        </is>
      </c>
      <c r="DQ90" s="40" t="inlineStr">
        <is>
          <t>CHOOSE RATING</t>
        </is>
      </c>
      <c r="DR90" s="43" t="inlineStr">
        <is>
          <t>2024/2025</t>
        </is>
      </c>
      <c r="DS90" s="45" t="inlineStr">
        <is>
          <t>THIRD</t>
        </is>
      </c>
      <c r="DT90" s="40" t="inlineStr">
        <is>
          <t>CHOOSE RATING</t>
        </is>
      </c>
      <c r="DU90" s="40" t="inlineStr">
        <is>
          <t>CHOOSE RATING</t>
        </is>
      </c>
      <c r="DV90" s="40" t="inlineStr">
        <is>
          <t>CHOOSE RATING</t>
        </is>
      </c>
      <c r="DW90" s="40" t="inlineStr">
        <is>
          <t>CHOOSE RATING</t>
        </is>
      </c>
      <c r="DX90" s="40" t="inlineStr">
        <is>
          <t>CHOOSE RATING</t>
        </is>
      </c>
      <c r="DY90" s="40" t="inlineStr">
        <is>
          <t>CHOOSE RATING</t>
        </is>
      </c>
      <c r="DZ90" s="53" t="inlineStr">
        <is>
          <t>CHOOSE RATING</t>
        </is>
      </c>
      <c r="EA90" s="54" t="inlineStr">
        <is>
          <t>Add the Tutor's Comment . . .</t>
        </is>
      </c>
      <c r="EB90" s="55" t="inlineStr">
        <is>
          <t>Choose Principals comment</t>
        </is>
      </c>
      <c r="EC90" s="56" t="n"/>
      <c r="ED90" s="57" t="inlineStr">
        <is>
          <t>Next Term Begins on Monday, 22nd September, 2025</t>
        </is>
      </c>
    </row>
    <row r="91" ht="30.6" customHeight="1" s="6">
      <c r="A91" s="18" t="n">
        <v>88</v>
      </c>
      <c r="B91" s="19" t="n"/>
      <c r="C91" s="20" t="n"/>
      <c r="D91" s="128" t="n"/>
      <c r="E91" s="21" t="n"/>
      <c r="F91" s="22" t="n"/>
      <c r="G91" s="22" t="n"/>
      <c r="H91" s="22" t="n"/>
      <c r="I91" s="26">
        <f>G91-H91</f>
        <v/>
      </c>
      <c r="J91" s="21" t="n"/>
      <c r="K91" s="21" t="n"/>
      <c r="L91" s="27">
        <f>SUM(J91:K91)</f>
        <v/>
      </c>
      <c r="M91" s="28" t="n"/>
      <c r="N91" s="28" t="n"/>
      <c r="O91" s="29">
        <f>IF(AND(L91=0,M91=0,N91=0),0,IF(AND(L91=0,M91=0),N91/1,IF(AND(L91=0,N91=0),M91/1,IF(AND(M91=0,N91=0),L91/1,IF(L91=0,FLOOR((M91+N91)/2,0.1),IF(M91=0,(L91+N91)/2,IF(N91=0,(M91+L91)/2,FLOOR(((L91+M91+N91)/3),0.1))))))))</f>
        <v/>
      </c>
      <c r="P91" s="21" t="n"/>
      <c r="Q91" s="21" t="n"/>
      <c r="R91" s="27">
        <f>SUM(P91:Q91)</f>
        <v/>
      </c>
      <c r="S91" s="28" t="n"/>
      <c r="T91" s="28" t="n"/>
      <c r="U91" s="29">
        <f>IF(AND(R91=0,S91=0,T91=0),0,IF(AND(R91=0,S91=0),T91/1,IF(AND(R91=0,T91=0),S91/1,IF(AND(S91=0,T91=0),R91/1,IF(R91=0,FLOOR((S91+T91)/2,0.1),IF(S91=0,(R91+T91)/2,IF(T91=0,(S91+R91)/2,FLOOR(((R91+S91+T91)/3),0.1))))))))</f>
        <v/>
      </c>
      <c r="V91" s="21" t="n"/>
      <c r="W91" s="21" t="n"/>
      <c r="X91" s="27">
        <f>SUM(V91:W91)</f>
        <v/>
      </c>
      <c r="Y91" s="28" t="n"/>
      <c r="Z91" s="28" t="n"/>
      <c r="AA91" s="29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1" t="n"/>
      <c r="AC91" s="21" t="n"/>
      <c r="AD91" s="27">
        <f>SUM(AB91:AC91)</f>
        <v/>
      </c>
      <c r="AE91" s="28" t="n"/>
      <c r="AF91" s="28" t="n"/>
      <c r="AG91" s="29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1" t="n"/>
      <c r="AI91" s="21" t="n"/>
      <c r="AJ91" s="27">
        <f>SUM(AH91:AI91)</f>
        <v/>
      </c>
      <c r="AK91" s="28" t="n"/>
      <c r="AL91" s="28" t="n"/>
      <c r="AM91" s="29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1" t="n"/>
      <c r="AO91" s="21" t="n"/>
      <c r="AP91" s="27">
        <f>SUM(AN91:AO91)</f>
        <v/>
      </c>
      <c r="AQ91" s="28" t="n"/>
      <c r="AR91" s="30" t="n"/>
      <c r="AS91" s="29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1" t="n"/>
      <c r="AU91" s="21" t="n"/>
      <c r="AV91" s="27">
        <f>SUM(AT91:AU91)</f>
        <v/>
      </c>
      <c r="AW91" s="28" t="n"/>
      <c r="AX91" s="30" t="n"/>
      <c r="AY91" s="29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1" t="n"/>
      <c r="BA91" s="21" t="n"/>
      <c r="BB91" s="27">
        <f>SUM(AZ91:BA91)</f>
        <v/>
      </c>
      <c r="BC91" s="28" t="n"/>
      <c r="BD91" s="28" t="n"/>
      <c r="BE91" s="29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1" t="n"/>
      <c r="BG91" s="21" t="n"/>
      <c r="BH91" s="27">
        <f>SUM(BF91:BG91)</f>
        <v/>
      </c>
      <c r="BI91" s="28" t="n"/>
      <c r="BJ91" s="28" t="n"/>
      <c r="BK91" s="29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1" t="n"/>
      <c r="BM91" s="21" t="n"/>
      <c r="BN91" s="27">
        <f>SUM(BL91:BM91)</f>
        <v/>
      </c>
      <c r="BO91" s="28" t="n"/>
      <c r="BP91" s="31" t="n"/>
      <c r="BQ91" s="29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1" t="n"/>
      <c r="BS91" s="21" t="n"/>
      <c r="BT91" s="27">
        <f>SUM(BR91:BS91)</f>
        <v/>
      </c>
      <c r="BU91" s="28" t="n"/>
      <c r="BV91" s="31" t="n"/>
      <c r="BW91" s="29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1" t="n"/>
      <c r="BY91" s="21" t="n"/>
      <c r="BZ91" s="27">
        <f>SUM(BX91:BY91)</f>
        <v/>
      </c>
      <c r="CA91" s="28" t="n"/>
      <c r="CB91" s="31" t="n"/>
      <c r="CC91" s="29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1" t="n"/>
      <c r="CE91" s="21" t="n"/>
      <c r="CF91" s="27">
        <f>SUM(CD91:CE91)</f>
        <v/>
      </c>
      <c r="CG91" s="28" t="n"/>
      <c r="CH91" s="31" t="n"/>
      <c r="CI91" s="29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1" t="n"/>
      <c r="CK91" s="21" t="n"/>
      <c r="CL91" s="27">
        <f>SUM(CJ91:CK91)</f>
        <v/>
      </c>
      <c r="CM91" s="28" t="n"/>
      <c r="CN91" s="31" t="n"/>
      <c r="CO91" s="29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1" t="n"/>
      <c r="CQ91" s="21" t="n"/>
      <c r="CR91" s="27">
        <f>SUM(CP91:CQ91)</f>
        <v/>
      </c>
      <c r="CS91" s="28" t="n"/>
      <c r="CT91" s="31" t="n"/>
      <c r="CU91" s="29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1" t="n"/>
      <c r="CW91" s="21" t="n"/>
      <c r="CX91" s="27">
        <f>SUM(CV91:CW91)</f>
        <v/>
      </c>
      <c r="CY91" s="28" t="n"/>
      <c r="CZ91" s="31" t="n"/>
      <c r="DA91" s="29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1" t="n"/>
      <c r="DC91" s="21" t="n"/>
      <c r="DD91" s="27">
        <f>SUM(DB91:DC91)</f>
        <v/>
      </c>
      <c r="DE91" s="28" t="n"/>
      <c r="DF91" s="31" t="n"/>
      <c r="DG91" s="29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34">
        <f>SUM(O91,U91,AA91,AG91,AM91,AS91,AY91,BE91,BK91,BQ91,BW91,CC91,CI91,CO91,CU91,DA91,DG91)</f>
        <v/>
      </c>
      <c r="DI91" s="39">
        <f>RANK(DH91,DH$4:DH$503)</f>
        <v/>
      </c>
      <c r="DJ91" s="40" t="inlineStr">
        <is>
          <t>CHOOSE RATING</t>
        </is>
      </c>
      <c r="DK91" s="40" t="inlineStr">
        <is>
          <t>CHOOSE RATING</t>
        </is>
      </c>
      <c r="DL91" s="40" t="inlineStr">
        <is>
          <t>CHOOSE RATING</t>
        </is>
      </c>
      <c r="DM91" s="40" t="inlineStr">
        <is>
          <t>CHOOSE RATING</t>
        </is>
      </c>
      <c r="DN91" s="40" t="inlineStr">
        <is>
          <t>CHOOSE RATING</t>
        </is>
      </c>
      <c r="DO91" s="40" t="inlineStr">
        <is>
          <t>CHOOSE RATING</t>
        </is>
      </c>
      <c r="DP91" s="40" t="inlineStr">
        <is>
          <t>CHOOSE RATING</t>
        </is>
      </c>
      <c r="DQ91" s="40" t="inlineStr">
        <is>
          <t>CHOOSE RATING</t>
        </is>
      </c>
      <c r="DR91" s="43" t="inlineStr">
        <is>
          <t>2024/2025</t>
        </is>
      </c>
      <c r="DS91" s="45" t="inlineStr">
        <is>
          <t>THIRD</t>
        </is>
      </c>
      <c r="DT91" s="40" t="inlineStr">
        <is>
          <t>CHOOSE RATING</t>
        </is>
      </c>
      <c r="DU91" s="40" t="inlineStr">
        <is>
          <t>CHOOSE RATING</t>
        </is>
      </c>
      <c r="DV91" s="40" t="inlineStr">
        <is>
          <t>CHOOSE RATING</t>
        </is>
      </c>
      <c r="DW91" s="40" t="inlineStr">
        <is>
          <t>CHOOSE RATING</t>
        </is>
      </c>
      <c r="DX91" s="40" t="inlineStr">
        <is>
          <t>CHOOSE RATING</t>
        </is>
      </c>
      <c r="DY91" s="40" t="inlineStr">
        <is>
          <t>CHOOSE RATING</t>
        </is>
      </c>
      <c r="DZ91" s="53" t="inlineStr">
        <is>
          <t>CHOOSE RATING</t>
        </is>
      </c>
      <c r="EA91" s="54" t="inlineStr">
        <is>
          <t>Add the Tutor's Comment . . .</t>
        </is>
      </c>
      <c r="EB91" s="55" t="inlineStr">
        <is>
          <t>Choose Principals comment</t>
        </is>
      </c>
      <c r="EC91" s="56" t="n"/>
      <c r="ED91" s="57" t="inlineStr">
        <is>
          <t>Next Term Begins on Monday, 22nd September, 2025</t>
        </is>
      </c>
    </row>
    <row r="92" ht="30.6" customHeight="1" s="6">
      <c r="A92" s="18" t="n">
        <v>89</v>
      </c>
      <c r="B92" s="19" t="n"/>
      <c r="C92" s="20" t="n"/>
      <c r="D92" s="128" t="n"/>
      <c r="E92" s="21" t="n"/>
      <c r="F92" s="22" t="n"/>
      <c r="G92" s="22" t="n"/>
      <c r="H92" s="22" t="n"/>
      <c r="I92" s="26">
        <f>G92-H92</f>
        <v/>
      </c>
      <c r="J92" s="21" t="n"/>
      <c r="K92" s="21" t="n"/>
      <c r="L92" s="27">
        <f>SUM(J92:K92)</f>
        <v/>
      </c>
      <c r="M92" s="28" t="n"/>
      <c r="N92" s="28" t="n"/>
      <c r="O92" s="29">
        <f>IF(AND(L92=0,M92=0,N92=0),0,IF(AND(L92=0,M92=0),N92/1,IF(AND(L92=0,N92=0),M92/1,IF(AND(M92=0,N92=0),L92/1,IF(L92=0,FLOOR((M92+N92)/2,0.1),IF(M92=0,(L92+N92)/2,IF(N92=0,(M92+L92)/2,FLOOR(((L92+M92+N92)/3),0.1))))))))</f>
        <v/>
      </c>
      <c r="P92" s="21" t="n"/>
      <c r="Q92" s="21" t="n"/>
      <c r="R92" s="27">
        <f>SUM(P92:Q92)</f>
        <v/>
      </c>
      <c r="S92" s="28" t="n"/>
      <c r="T92" s="28" t="n"/>
      <c r="U92" s="29">
        <f>IF(AND(R92=0,S92=0,T92=0),0,IF(AND(R92=0,S92=0),T92/1,IF(AND(R92=0,T92=0),S92/1,IF(AND(S92=0,T92=0),R92/1,IF(R92=0,FLOOR((S92+T92)/2,0.1),IF(S92=0,(R92+T92)/2,IF(T92=0,(S92+R92)/2,FLOOR(((R92+S92+T92)/3),0.1))))))))</f>
        <v/>
      </c>
      <c r="V92" s="21" t="n"/>
      <c r="W92" s="21" t="n"/>
      <c r="X92" s="27">
        <f>SUM(V92:W92)</f>
        <v/>
      </c>
      <c r="Y92" s="28" t="n"/>
      <c r="Z92" s="28" t="n"/>
      <c r="AA92" s="29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1" t="n"/>
      <c r="AC92" s="21" t="n"/>
      <c r="AD92" s="27">
        <f>SUM(AB92:AC92)</f>
        <v/>
      </c>
      <c r="AE92" s="28" t="n"/>
      <c r="AF92" s="28" t="n"/>
      <c r="AG92" s="29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1" t="n"/>
      <c r="AI92" s="21" t="n"/>
      <c r="AJ92" s="27">
        <f>SUM(AH92:AI92)</f>
        <v/>
      </c>
      <c r="AK92" s="28" t="n"/>
      <c r="AL92" s="28" t="n"/>
      <c r="AM92" s="29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1" t="n"/>
      <c r="AO92" s="21" t="n"/>
      <c r="AP92" s="27">
        <f>SUM(AN92:AO92)</f>
        <v/>
      </c>
      <c r="AQ92" s="28" t="n"/>
      <c r="AR92" s="30" t="n"/>
      <c r="AS92" s="29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1" t="n"/>
      <c r="AU92" s="21" t="n"/>
      <c r="AV92" s="27">
        <f>SUM(AT92:AU92)</f>
        <v/>
      </c>
      <c r="AW92" s="28" t="n"/>
      <c r="AX92" s="30" t="n"/>
      <c r="AY92" s="29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1" t="n"/>
      <c r="BA92" s="21" t="n"/>
      <c r="BB92" s="27">
        <f>SUM(AZ92:BA92)</f>
        <v/>
      </c>
      <c r="BC92" s="28" t="n"/>
      <c r="BD92" s="28" t="n"/>
      <c r="BE92" s="29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1" t="n"/>
      <c r="BG92" s="21" t="n"/>
      <c r="BH92" s="27">
        <f>SUM(BF92:BG92)</f>
        <v/>
      </c>
      <c r="BI92" s="28" t="n"/>
      <c r="BJ92" s="28" t="n"/>
      <c r="BK92" s="29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1" t="n"/>
      <c r="BM92" s="21" t="n"/>
      <c r="BN92" s="27">
        <f>SUM(BL92:BM92)</f>
        <v/>
      </c>
      <c r="BO92" s="28" t="n"/>
      <c r="BP92" s="31" t="n"/>
      <c r="BQ92" s="29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1" t="n"/>
      <c r="BS92" s="21" t="n"/>
      <c r="BT92" s="27">
        <f>SUM(BR92:BS92)</f>
        <v/>
      </c>
      <c r="BU92" s="28" t="n"/>
      <c r="BV92" s="31" t="n"/>
      <c r="BW92" s="29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1" t="n"/>
      <c r="BY92" s="21" t="n"/>
      <c r="BZ92" s="27">
        <f>SUM(BX92:BY92)</f>
        <v/>
      </c>
      <c r="CA92" s="28" t="n"/>
      <c r="CB92" s="31" t="n"/>
      <c r="CC92" s="29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1" t="n"/>
      <c r="CE92" s="21" t="n"/>
      <c r="CF92" s="27">
        <f>SUM(CD92:CE92)</f>
        <v/>
      </c>
      <c r="CG92" s="28" t="n"/>
      <c r="CH92" s="31" t="n"/>
      <c r="CI92" s="29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1" t="n"/>
      <c r="CK92" s="21" t="n"/>
      <c r="CL92" s="27">
        <f>SUM(CJ92:CK92)</f>
        <v/>
      </c>
      <c r="CM92" s="28" t="n"/>
      <c r="CN92" s="31" t="n"/>
      <c r="CO92" s="29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1" t="n"/>
      <c r="CQ92" s="21" t="n"/>
      <c r="CR92" s="27">
        <f>SUM(CP92:CQ92)</f>
        <v/>
      </c>
      <c r="CS92" s="28" t="n"/>
      <c r="CT92" s="31" t="n"/>
      <c r="CU92" s="29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1" t="n"/>
      <c r="CW92" s="21" t="n"/>
      <c r="CX92" s="27">
        <f>SUM(CV92:CW92)</f>
        <v/>
      </c>
      <c r="CY92" s="28" t="n"/>
      <c r="CZ92" s="31" t="n"/>
      <c r="DA92" s="29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1" t="n"/>
      <c r="DC92" s="21" t="n"/>
      <c r="DD92" s="27">
        <f>SUM(DB92:DC92)</f>
        <v/>
      </c>
      <c r="DE92" s="28" t="n"/>
      <c r="DF92" s="31" t="n"/>
      <c r="DG92" s="29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34">
        <f>SUM(O92,U92,AA92,AG92,AM92,AS92,AY92,BE92,BK92,BQ92,BW92,CC92,CI92,CO92,CU92,DA92,DG92)</f>
        <v/>
      </c>
      <c r="DI92" s="39">
        <f>RANK(DH92,DH$4:DH$503)</f>
        <v/>
      </c>
      <c r="DJ92" s="40" t="inlineStr">
        <is>
          <t>CHOOSE RATING</t>
        </is>
      </c>
      <c r="DK92" s="40" t="inlineStr">
        <is>
          <t>CHOOSE RATING</t>
        </is>
      </c>
      <c r="DL92" s="40" t="inlineStr">
        <is>
          <t>CHOOSE RATING</t>
        </is>
      </c>
      <c r="DM92" s="40" t="inlineStr">
        <is>
          <t>CHOOSE RATING</t>
        </is>
      </c>
      <c r="DN92" s="40" t="inlineStr">
        <is>
          <t>CHOOSE RATING</t>
        </is>
      </c>
      <c r="DO92" s="40" t="inlineStr">
        <is>
          <t>CHOOSE RATING</t>
        </is>
      </c>
      <c r="DP92" s="40" t="inlineStr">
        <is>
          <t>CHOOSE RATING</t>
        </is>
      </c>
      <c r="DQ92" s="40" t="inlineStr">
        <is>
          <t>CHOOSE RATING</t>
        </is>
      </c>
      <c r="DR92" s="43" t="inlineStr">
        <is>
          <t>2024/2025</t>
        </is>
      </c>
      <c r="DS92" s="45" t="inlineStr">
        <is>
          <t>THIRD</t>
        </is>
      </c>
      <c r="DT92" s="40" t="inlineStr">
        <is>
          <t>CHOOSE RATING</t>
        </is>
      </c>
      <c r="DU92" s="40" t="inlineStr">
        <is>
          <t>CHOOSE RATING</t>
        </is>
      </c>
      <c r="DV92" s="40" t="inlineStr">
        <is>
          <t>CHOOSE RATING</t>
        </is>
      </c>
      <c r="DW92" s="40" t="inlineStr">
        <is>
          <t>CHOOSE RATING</t>
        </is>
      </c>
      <c r="DX92" s="40" t="inlineStr">
        <is>
          <t>CHOOSE RATING</t>
        </is>
      </c>
      <c r="DY92" s="40" t="inlineStr">
        <is>
          <t>CHOOSE RATING</t>
        </is>
      </c>
      <c r="DZ92" s="53" t="inlineStr">
        <is>
          <t>CHOOSE RATING</t>
        </is>
      </c>
      <c r="EA92" s="54" t="inlineStr">
        <is>
          <t>Add the Tutor's Comment . . .</t>
        </is>
      </c>
      <c r="EB92" s="55" t="inlineStr">
        <is>
          <t>Choose Principals comment</t>
        </is>
      </c>
      <c r="EC92" s="56" t="n"/>
      <c r="ED92" s="57" t="inlineStr">
        <is>
          <t>Next Term Begins on Monday, 22nd September, 2025</t>
        </is>
      </c>
    </row>
    <row r="93" ht="30.6" customHeight="1" s="6">
      <c r="A93" s="18" t="n">
        <v>90</v>
      </c>
      <c r="B93" s="19" t="n"/>
      <c r="C93" s="20" t="n"/>
      <c r="D93" s="128" t="n"/>
      <c r="E93" s="21" t="n"/>
      <c r="F93" s="22" t="n"/>
      <c r="G93" s="22" t="n"/>
      <c r="H93" s="22" t="n"/>
      <c r="I93" s="26">
        <f>G93-H93</f>
        <v/>
      </c>
      <c r="J93" s="21" t="n"/>
      <c r="K93" s="21" t="n"/>
      <c r="L93" s="27">
        <f>SUM(J93:K93)</f>
        <v/>
      </c>
      <c r="M93" s="28" t="n"/>
      <c r="N93" s="28" t="n"/>
      <c r="O93" s="29">
        <f>IF(AND(L93=0,M93=0,N93=0),0,IF(AND(L93=0,M93=0),N93/1,IF(AND(L93=0,N93=0),M93/1,IF(AND(M93=0,N93=0),L93/1,IF(L93=0,FLOOR((M93+N93)/2,0.1),IF(M93=0,(L93+N93)/2,IF(N93=0,(M93+L93)/2,FLOOR(((L93+M93+N93)/3),0.1))))))))</f>
        <v/>
      </c>
      <c r="P93" s="21" t="n"/>
      <c r="Q93" s="21" t="n"/>
      <c r="R93" s="27">
        <f>SUM(P93:Q93)</f>
        <v/>
      </c>
      <c r="S93" s="28" t="n"/>
      <c r="T93" s="28" t="n"/>
      <c r="U93" s="29">
        <f>IF(AND(R93=0,S93=0,T93=0),0,IF(AND(R93=0,S93=0),T93/1,IF(AND(R93=0,T93=0),S93/1,IF(AND(S93=0,T93=0),R93/1,IF(R93=0,FLOOR((S93+T93)/2,0.1),IF(S93=0,(R93+T93)/2,IF(T93=0,(S93+R93)/2,FLOOR(((R93+S93+T93)/3),0.1))))))))</f>
        <v/>
      </c>
      <c r="V93" s="21" t="n"/>
      <c r="W93" s="21" t="n"/>
      <c r="X93" s="27">
        <f>SUM(V93:W93)</f>
        <v/>
      </c>
      <c r="Y93" s="28" t="n"/>
      <c r="Z93" s="28" t="n"/>
      <c r="AA93" s="29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1" t="n"/>
      <c r="AC93" s="21" t="n"/>
      <c r="AD93" s="27">
        <f>SUM(AB93:AC93)</f>
        <v/>
      </c>
      <c r="AE93" s="28" t="n"/>
      <c r="AF93" s="28" t="n"/>
      <c r="AG93" s="29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1" t="n"/>
      <c r="AI93" s="21" t="n"/>
      <c r="AJ93" s="27">
        <f>SUM(AH93:AI93)</f>
        <v/>
      </c>
      <c r="AK93" s="28" t="n"/>
      <c r="AL93" s="28" t="n"/>
      <c r="AM93" s="29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1" t="n"/>
      <c r="AO93" s="21" t="n"/>
      <c r="AP93" s="27">
        <f>SUM(AN93:AO93)</f>
        <v/>
      </c>
      <c r="AQ93" s="28" t="n"/>
      <c r="AR93" s="30" t="n"/>
      <c r="AS93" s="29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1" t="n"/>
      <c r="AU93" s="21" t="n"/>
      <c r="AV93" s="27">
        <f>SUM(AT93:AU93)</f>
        <v/>
      </c>
      <c r="AW93" s="28" t="n"/>
      <c r="AX93" s="30" t="n"/>
      <c r="AY93" s="29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1" t="n"/>
      <c r="BA93" s="21" t="n"/>
      <c r="BB93" s="27">
        <f>SUM(AZ93:BA93)</f>
        <v/>
      </c>
      <c r="BC93" s="28" t="n"/>
      <c r="BD93" s="28" t="n"/>
      <c r="BE93" s="29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1" t="n"/>
      <c r="BG93" s="21" t="n"/>
      <c r="BH93" s="27">
        <f>SUM(BF93:BG93)</f>
        <v/>
      </c>
      <c r="BI93" s="28" t="n"/>
      <c r="BJ93" s="28" t="n"/>
      <c r="BK93" s="29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1" t="n"/>
      <c r="BM93" s="21" t="n"/>
      <c r="BN93" s="27">
        <f>SUM(BL93:BM93)</f>
        <v/>
      </c>
      <c r="BO93" s="28" t="n"/>
      <c r="BP93" s="31" t="n"/>
      <c r="BQ93" s="29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1" t="n"/>
      <c r="BS93" s="21" t="n"/>
      <c r="BT93" s="27">
        <f>SUM(BR93:BS93)</f>
        <v/>
      </c>
      <c r="BU93" s="28" t="n"/>
      <c r="BV93" s="31" t="n"/>
      <c r="BW93" s="29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1" t="n"/>
      <c r="BY93" s="21" t="n"/>
      <c r="BZ93" s="27">
        <f>SUM(BX93:BY93)</f>
        <v/>
      </c>
      <c r="CA93" s="28" t="n"/>
      <c r="CB93" s="31" t="n"/>
      <c r="CC93" s="29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1" t="n"/>
      <c r="CE93" s="21" t="n"/>
      <c r="CF93" s="27">
        <f>SUM(CD93:CE93)</f>
        <v/>
      </c>
      <c r="CG93" s="28" t="n"/>
      <c r="CH93" s="31" t="n"/>
      <c r="CI93" s="29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1" t="n"/>
      <c r="CK93" s="21" t="n"/>
      <c r="CL93" s="27">
        <f>SUM(CJ93:CK93)</f>
        <v/>
      </c>
      <c r="CM93" s="28" t="n"/>
      <c r="CN93" s="31" t="n"/>
      <c r="CO93" s="29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1" t="n"/>
      <c r="CQ93" s="21" t="n"/>
      <c r="CR93" s="27">
        <f>SUM(CP93:CQ93)</f>
        <v/>
      </c>
      <c r="CS93" s="28" t="n"/>
      <c r="CT93" s="31" t="n"/>
      <c r="CU93" s="29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1" t="n"/>
      <c r="CW93" s="21" t="n"/>
      <c r="CX93" s="27">
        <f>SUM(CV93:CW93)</f>
        <v/>
      </c>
      <c r="CY93" s="28" t="n"/>
      <c r="CZ93" s="31" t="n"/>
      <c r="DA93" s="29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1" t="n"/>
      <c r="DC93" s="21" t="n"/>
      <c r="DD93" s="27">
        <f>SUM(DB93:DC93)</f>
        <v/>
      </c>
      <c r="DE93" s="28" t="n"/>
      <c r="DF93" s="31" t="n"/>
      <c r="DG93" s="29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34">
        <f>SUM(O93,U93,AA93,AG93,AM93,AS93,AY93,BE93,BK93,BQ93,BW93,CC93,CI93,CO93,CU93,DA93,DG93)</f>
        <v/>
      </c>
      <c r="DI93" s="39">
        <f>RANK(DH93,DH$4:DH$503)</f>
        <v/>
      </c>
      <c r="DJ93" s="40" t="inlineStr">
        <is>
          <t>CHOOSE RATING</t>
        </is>
      </c>
      <c r="DK93" s="40" t="inlineStr">
        <is>
          <t>CHOOSE RATING</t>
        </is>
      </c>
      <c r="DL93" s="40" t="inlineStr">
        <is>
          <t>CHOOSE RATING</t>
        </is>
      </c>
      <c r="DM93" s="40" t="inlineStr">
        <is>
          <t>CHOOSE RATING</t>
        </is>
      </c>
      <c r="DN93" s="40" t="inlineStr">
        <is>
          <t>CHOOSE RATING</t>
        </is>
      </c>
      <c r="DO93" s="40" t="inlineStr">
        <is>
          <t>CHOOSE RATING</t>
        </is>
      </c>
      <c r="DP93" s="40" t="inlineStr">
        <is>
          <t>CHOOSE RATING</t>
        </is>
      </c>
      <c r="DQ93" s="40" t="inlineStr">
        <is>
          <t>CHOOSE RATING</t>
        </is>
      </c>
      <c r="DR93" s="43" t="inlineStr">
        <is>
          <t>2024/2025</t>
        </is>
      </c>
      <c r="DS93" s="45" t="inlineStr">
        <is>
          <t>THIRD</t>
        </is>
      </c>
      <c r="DT93" s="40" t="inlineStr">
        <is>
          <t>CHOOSE RATING</t>
        </is>
      </c>
      <c r="DU93" s="40" t="inlineStr">
        <is>
          <t>CHOOSE RATING</t>
        </is>
      </c>
      <c r="DV93" s="40" t="inlineStr">
        <is>
          <t>CHOOSE RATING</t>
        </is>
      </c>
      <c r="DW93" s="40" t="inlineStr">
        <is>
          <t>CHOOSE RATING</t>
        </is>
      </c>
      <c r="DX93" s="40" t="inlineStr">
        <is>
          <t>CHOOSE RATING</t>
        </is>
      </c>
      <c r="DY93" s="40" t="inlineStr">
        <is>
          <t>CHOOSE RATING</t>
        </is>
      </c>
      <c r="DZ93" s="53" t="inlineStr">
        <is>
          <t>CHOOSE RATING</t>
        </is>
      </c>
      <c r="EA93" s="54" t="inlineStr">
        <is>
          <t>Add the Tutor's Comment . . .</t>
        </is>
      </c>
      <c r="EB93" s="55" t="inlineStr">
        <is>
          <t>Choose Principals comment</t>
        </is>
      </c>
      <c r="EC93" s="56" t="n"/>
      <c r="ED93" s="57" t="inlineStr">
        <is>
          <t>Next Term Begins on Monday, 22nd September, 2025</t>
        </is>
      </c>
    </row>
    <row r="94" ht="30.6" customHeight="1" s="6">
      <c r="A94" s="18" t="n">
        <v>91</v>
      </c>
      <c r="B94" s="19" t="n"/>
      <c r="C94" s="20" t="n"/>
      <c r="D94" s="128" t="n"/>
      <c r="E94" s="21" t="n"/>
      <c r="F94" s="22" t="n"/>
      <c r="G94" s="22" t="n"/>
      <c r="H94" s="22" t="n"/>
      <c r="I94" s="26">
        <f>G94-H94</f>
        <v/>
      </c>
      <c r="J94" s="21" t="n"/>
      <c r="K94" s="21" t="n"/>
      <c r="L94" s="27">
        <f>SUM(J94:K94)</f>
        <v/>
      </c>
      <c r="M94" s="28" t="n"/>
      <c r="N94" s="28" t="n"/>
      <c r="O94" s="29">
        <f>IF(AND(L94=0,M94=0,N94=0),0,IF(AND(L94=0,M94=0),N94/1,IF(AND(L94=0,N94=0),M94/1,IF(AND(M94=0,N94=0),L94/1,IF(L94=0,FLOOR((M94+N94)/2,0.1),IF(M94=0,(L94+N94)/2,IF(N94=0,(M94+L94)/2,FLOOR(((L94+M94+N94)/3),0.1))))))))</f>
        <v/>
      </c>
      <c r="P94" s="21" t="n"/>
      <c r="Q94" s="21" t="n"/>
      <c r="R94" s="27">
        <f>SUM(P94:Q94)</f>
        <v/>
      </c>
      <c r="S94" s="28" t="n"/>
      <c r="T94" s="28" t="n"/>
      <c r="U94" s="29">
        <f>IF(AND(R94=0,S94=0,T94=0),0,IF(AND(R94=0,S94=0),T94/1,IF(AND(R94=0,T94=0),S94/1,IF(AND(S94=0,T94=0),R94/1,IF(R94=0,FLOOR((S94+T94)/2,0.1),IF(S94=0,(R94+T94)/2,IF(T94=0,(S94+R94)/2,FLOOR(((R94+S94+T94)/3),0.1))))))))</f>
        <v/>
      </c>
      <c r="V94" s="21" t="n"/>
      <c r="W94" s="21" t="n"/>
      <c r="X94" s="27">
        <f>SUM(V94:W94)</f>
        <v/>
      </c>
      <c r="Y94" s="28" t="n"/>
      <c r="Z94" s="28" t="n"/>
      <c r="AA94" s="29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1" t="n"/>
      <c r="AC94" s="21" t="n"/>
      <c r="AD94" s="27">
        <f>SUM(AB94:AC94)</f>
        <v/>
      </c>
      <c r="AE94" s="28" t="n"/>
      <c r="AF94" s="28" t="n"/>
      <c r="AG94" s="29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1" t="n"/>
      <c r="AI94" s="21" t="n"/>
      <c r="AJ94" s="27">
        <f>SUM(AH94:AI94)</f>
        <v/>
      </c>
      <c r="AK94" s="28" t="n"/>
      <c r="AL94" s="28" t="n"/>
      <c r="AM94" s="29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1" t="n"/>
      <c r="AO94" s="21" t="n"/>
      <c r="AP94" s="27">
        <f>SUM(AN94:AO94)</f>
        <v/>
      </c>
      <c r="AQ94" s="28" t="n"/>
      <c r="AR94" s="30" t="n"/>
      <c r="AS94" s="29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1" t="n"/>
      <c r="AU94" s="21" t="n"/>
      <c r="AV94" s="27">
        <f>SUM(AT94:AU94)</f>
        <v/>
      </c>
      <c r="AW94" s="28" t="n"/>
      <c r="AX94" s="30" t="n"/>
      <c r="AY94" s="29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1" t="n"/>
      <c r="BA94" s="21" t="n"/>
      <c r="BB94" s="27">
        <f>SUM(AZ94:BA94)</f>
        <v/>
      </c>
      <c r="BC94" s="28" t="n"/>
      <c r="BD94" s="28" t="n"/>
      <c r="BE94" s="29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1" t="n"/>
      <c r="BG94" s="21" t="n"/>
      <c r="BH94" s="27">
        <f>SUM(BF94:BG94)</f>
        <v/>
      </c>
      <c r="BI94" s="28" t="n"/>
      <c r="BJ94" s="28" t="n"/>
      <c r="BK94" s="29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1" t="n"/>
      <c r="BM94" s="21" t="n"/>
      <c r="BN94" s="27">
        <f>SUM(BL94:BM94)</f>
        <v/>
      </c>
      <c r="BO94" s="28" t="n"/>
      <c r="BP94" s="31" t="n"/>
      <c r="BQ94" s="29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1" t="n"/>
      <c r="BS94" s="21" t="n"/>
      <c r="BT94" s="27">
        <f>SUM(BR94:BS94)</f>
        <v/>
      </c>
      <c r="BU94" s="28" t="n"/>
      <c r="BV94" s="31" t="n"/>
      <c r="BW94" s="29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1" t="n"/>
      <c r="BY94" s="21" t="n"/>
      <c r="BZ94" s="27">
        <f>SUM(BX94:BY94)</f>
        <v/>
      </c>
      <c r="CA94" s="28" t="n"/>
      <c r="CB94" s="31" t="n"/>
      <c r="CC94" s="29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1" t="n"/>
      <c r="CE94" s="21" t="n"/>
      <c r="CF94" s="27">
        <f>SUM(CD94:CE94)</f>
        <v/>
      </c>
      <c r="CG94" s="28" t="n"/>
      <c r="CH94" s="31" t="n"/>
      <c r="CI94" s="29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1" t="n"/>
      <c r="CK94" s="21" t="n"/>
      <c r="CL94" s="27">
        <f>SUM(CJ94:CK94)</f>
        <v/>
      </c>
      <c r="CM94" s="28" t="n"/>
      <c r="CN94" s="31" t="n"/>
      <c r="CO94" s="29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1" t="n"/>
      <c r="CQ94" s="21" t="n"/>
      <c r="CR94" s="27">
        <f>SUM(CP94:CQ94)</f>
        <v/>
      </c>
      <c r="CS94" s="28" t="n"/>
      <c r="CT94" s="31" t="n"/>
      <c r="CU94" s="29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1" t="n"/>
      <c r="CW94" s="21" t="n"/>
      <c r="CX94" s="27">
        <f>SUM(CV94:CW94)</f>
        <v/>
      </c>
      <c r="CY94" s="28" t="n"/>
      <c r="CZ94" s="31" t="n"/>
      <c r="DA94" s="29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1" t="n"/>
      <c r="DC94" s="21" t="n"/>
      <c r="DD94" s="27">
        <f>SUM(DB94:DC94)</f>
        <v/>
      </c>
      <c r="DE94" s="28" t="n"/>
      <c r="DF94" s="31" t="n"/>
      <c r="DG94" s="29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34">
        <f>SUM(O94,U94,AA94,AG94,AM94,AS94,AY94,BE94,BK94,BQ94,BW94,CC94,CI94,CO94,CU94,DA94,DG94)</f>
        <v/>
      </c>
      <c r="DI94" s="39">
        <f>RANK(DH94,DH$4:DH$503)</f>
        <v/>
      </c>
      <c r="DJ94" s="40" t="inlineStr">
        <is>
          <t>CHOOSE RATING</t>
        </is>
      </c>
      <c r="DK94" s="40" t="inlineStr">
        <is>
          <t>CHOOSE RATING</t>
        </is>
      </c>
      <c r="DL94" s="40" t="inlineStr">
        <is>
          <t>CHOOSE RATING</t>
        </is>
      </c>
      <c r="DM94" s="40" t="inlineStr">
        <is>
          <t>CHOOSE RATING</t>
        </is>
      </c>
      <c r="DN94" s="40" t="inlineStr">
        <is>
          <t>CHOOSE RATING</t>
        </is>
      </c>
      <c r="DO94" s="40" t="inlineStr">
        <is>
          <t>CHOOSE RATING</t>
        </is>
      </c>
      <c r="DP94" s="40" t="inlineStr">
        <is>
          <t>CHOOSE RATING</t>
        </is>
      </c>
      <c r="DQ94" s="40" t="inlineStr">
        <is>
          <t>CHOOSE RATING</t>
        </is>
      </c>
      <c r="DR94" s="43" t="inlineStr">
        <is>
          <t>2024/2025</t>
        </is>
      </c>
      <c r="DS94" s="45" t="inlineStr">
        <is>
          <t>THIRD</t>
        </is>
      </c>
      <c r="DT94" s="40" t="inlineStr">
        <is>
          <t>CHOOSE RATING</t>
        </is>
      </c>
      <c r="DU94" s="40" t="inlineStr">
        <is>
          <t>CHOOSE RATING</t>
        </is>
      </c>
      <c r="DV94" s="40" t="inlineStr">
        <is>
          <t>CHOOSE RATING</t>
        </is>
      </c>
      <c r="DW94" s="40" t="inlineStr">
        <is>
          <t>CHOOSE RATING</t>
        </is>
      </c>
      <c r="DX94" s="40" t="inlineStr">
        <is>
          <t>CHOOSE RATING</t>
        </is>
      </c>
      <c r="DY94" s="40" t="inlineStr">
        <is>
          <t>CHOOSE RATING</t>
        </is>
      </c>
      <c r="DZ94" s="53" t="inlineStr">
        <is>
          <t>CHOOSE RATING</t>
        </is>
      </c>
      <c r="EA94" s="54" t="inlineStr">
        <is>
          <t>Add the Tutor's Comment . . .</t>
        </is>
      </c>
      <c r="EB94" s="55" t="inlineStr">
        <is>
          <t>Choose Principals comment</t>
        </is>
      </c>
      <c r="EC94" s="56" t="n"/>
      <c r="ED94" s="57" t="inlineStr">
        <is>
          <t>Next Term Begins on Monday, 22nd September, 2025</t>
        </is>
      </c>
    </row>
    <row r="95" ht="30.6" customHeight="1" s="6">
      <c r="A95" s="18" t="n">
        <v>92</v>
      </c>
      <c r="B95" s="19" t="n"/>
      <c r="C95" s="20" t="n"/>
      <c r="D95" s="128" t="n"/>
      <c r="E95" s="21" t="n"/>
      <c r="F95" s="22" t="n"/>
      <c r="G95" s="22" t="n"/>
      <c r="H95" s="22" t="n"/>
      <c r="I95" s="26">
        <f>G95-H95</f>
        <v/>
      </c>
      <c r="J95" s="21" t="n"/>
      <c r="K95" s="21" t="n"/>
      <c r="L95" s="27">
        <f>SUM(J95:K95)</f>
        <v/>
      </c>
      <c r="M95" s="28" t="n"/>
      <c r="N95" s="28" t="n"/>
      <c r="O95" s="29">
        <f>IF(AND(L95=0,M95=0,N95=0),0,IF(AND(L95=0,M95=0),N95/1,IF(AND(L95=0,N95=0),M95/1,IF(AND(M95=0,N95=0),L95/1,IF(L95=0,FLOOR((M95+N95)/2,0.1),IF(M95=0,(L95+N95)/2,IF(N95=0,(M95+L95)/2,FLOOR(((L95+M95+N95)/3),0.1))))))))</f>
        <v/>
      </c>
      <c r="P95" s="21" t="n"/>
      <c r="Q95" s="21" t="n"/>
      <c r="R95" s="27">
        <f>SUM(P95:Q95)</f>
        <v/>
      </c>
      <c r="S95" s="28" t="n"/>
      <c r="T95" s="28" t="n"/>
      <c r="U95" s="29">
        <f>IF(AND(R95=0,S95=0,T95=0),0,IF(AND(R95=0,S95=0),T95/1,IF(AND(R95=0,T95=0),S95/1,IF(AND(S95=0,T95=0),R95/1,IF(R95=0,FLOOR((S95+T95)/2,0.1),IF(S95=0,(R95+T95)/2,IF(T95=0,(S95+R95)/2,FLOOR(((R95+S95+T95)/3),0.1))))))))</f>
        <v/>
      </c>
      <c r="V95" s="21" t="n"/>
      <c r="W95" s="21" t="n"/>
      <c r="X95" s="27">
        <f>SUM(V95:W95)</f>
        <v/>
      </c>
      <c r="Y95" s="28" t="n"/>
      <c r="Z95" s="28" t="n"/>
      <c r="AA95" s="29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1" t="n"/>
      <c r="AC95" s="21" t="n"/>
      <c r="AD95" s="27">
        <f>SUM(AB95:AC95)</f>
        <v/>
      </c>
      <c r="AE95" s="28" t="n"/>
      <c r="AF95" s="28" t="n"/>
      <c r="AG95" s="29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1" t="n"/>
      <c r="AI95" s="21" t="n"/>
      <c r="AJ95" s="27">
        <f>SUM(AH95:AI95)</f>
        <v/>
      </c>
      <c r="AK95" s="28" t="n"/>
      <c r="AL95" s="28" t="n"/>
      <c r="AM95" s="29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1" t="n"/>
      <c r="AO95" s="21" t="n"/>
      <c r="AP95" s="27">
        <f>SUM(AN95:AO95)</f>
        <v/>
      </c>
      <c r="AQ95" s="28" t="n"/>
      <c r="AR95" s="30" t="n"/>
      <c r="AS95" s="29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1" t="n"/>
      <c r="AU95" s="21" t="n"/>
      <c r="AV95" s="27">
        <f>SUM(AT95:AU95)</f>
        <v/>
      </c>
      <c r="AW95" s="28" t="n"/>
      <c r="AX95" s="30" t="n"/>
      <c r="AY95" s="29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1" t="n"/>
      <c r="BA95" s="21" t="n"/>
      <c r="BB95" s="27">
        <f>SUM(AZ95:BA95)</f>
        <v/>
      </c>
      <c r="BC95" s="28" t="n"/>
      <c r="BD95" s="28" t="n"/>
      <c r="BE95" s="29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1" t="n"/>
      <c r="BG95" s="21" t="n"/>
      <c r="BH95" s="27">
        <f>SUM(BF95:BG95)</f>
        <v/>
      </c>
      <c r="BI95" s="28" t="n"/>
      <c r="BJ95" s="28" t="n"/>
      <c r="BK95" s="29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1" t="n"/>
      <c r="BM95" s="21" t="n"/>
      <c r="BN95" s="27">
        <f>SUM(BL95:BM95)</f>
        <v/>
      </c>
      <c r="BO95" s="28" t="n"/>
      <c r="BP95" s="31" t="n"/>
      <c r="BQ95" s="29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1" t="n"/>
      <c r="BS95" s="21" t="n"/>
      <c r="BT95" s="27">
        <f>SUM(BR95:BS95)</f>
        <v/>
      </c>
      <c r="BU95" s="28" t="n"/>
      <c r="BV95" s="31" t="n"/>
      <c r="BW95" s="29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1" t="n"/>
      <c r="BY95" s="21" t="n"/>
      <c r="BZ95" s="27">
        <f>SUM(BX95:BY95)</f>
        <v/>
      </c>
      <c r="CA95" s="28" t="n"/>
      <c r="CB95" s="31" t="n"/>
      <c r="CC95" s="29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1" t="n"/>
      <c r="CE95" s="21" t="n"/>
      <c r="CF95" s="27">
        <f>SUM(CD95:CE95)</f>
        <v/>
      </c>
      <c r="CG95" s="28" t="n"/>
      <c r="CH95" s="31" t="n"/>
      <c r="CI95" s="29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1" t="n"/>
      <c r="CK95" s="21" t="n"/>
      <c r="CL95" s="27">
        <f>SUM(CJ95:CK95)</f>
        <v/>
      </c>
      <c r="CM95" s="28" t="n"/>
      <c r="CN95" s="31" t="n"/>
      <c r="CO95" s="29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1" t="n"/>
      <c r="CQ95" s="21" t="n"/>
      <c r="CR95" s="27">
        <f>SUM(CP95:CQ95)</f>
        <v/>
      </c>
      <c r="CS95" s="28" t="n"/>
      <c r="CT95" s="31" t="n"/>
      <c r="CU95" s="29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1" t="n"/>
      <c r="CW95" s="21" t="n"/>
      <c r="CX95" s="27">
        <f>SUM(CV95:CW95)</f>
        <v/>
      </c>
      <c r="CY95" s="28" t="n"/>
      <c r="CZ95" s="31" t="n"/>
      <c r="DA95" s="29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1" t="n"/>
      <c r="DC95" s="21" t="n"/>
      <c r="DD95" s="27">
        <f>SUM(DB95:DC95)</f>
        <v/>
      </c>
      <c r="DE95" s="28" t="n"/>
      <c r="DF95" s="31" t="n"/>
      <c r="DG95" s="29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34">
        <f>SUM(O95,U95,AA95,AG95,AM95,AS95,AY95,BE95,BK95,BQ95,BW95,CC95,CI95,CO95,CU95,DA95,DG95)</f>
        <v/>
      </c>
      <c r="DI95" s="39">
        <f>RANK(DH95,DH$4:DH$503)</f>
        <v/>
      </c>
      <c r="DJ95" s="40" t="inlineStr">
        <is>
          <t>CHOOSE RATING</t>
        </is>
      </c>
      <c r="DK95" s="40" t="inlineStr">
        <is>
          <t>CHOOSE RATING</t>
        </is>
      </c>
      <c r="DL95" s="40" t="inlineStr">
        <is>
          <t>CHOOSE RATING</t>
        </is>
      </c>
      <c r="DM95" s="40" t="inlineStr">
        <is>
          <t>CHOOSE RATING</t>
        </is>
      </c>
      <c r="DN95" s="40" t="inlineStr">
        <is>
          <t>CHOOSE RATING</t>
        </is>
      </c>
      <c r="DO95" s="40" t="inlineStr">
        <is>
          <t>CHOOSE RATING</t>
        </is>
      </c>
      <c r="DP95" s="40" t="inlineStr">
        <is>
          <t>CHOOSE RATING</t>
        </is>
      </c>
      <c r="DQ95" s="40" t="inlineStr">
        <is>
          <t>CHOOSE RATING</t>
        </is>
      </c>
      <c r="DR95" s="43" t="inlineStr">
        <is>
          <t>2024/2025</t>
        </is>
      </c>
      <c r="DS95" s="45" t="inlineStr">
        <is>
          <t>THIRD</t>
        </is>
      </c>
      <c r="DT95" s="40" t="inlineStr">
        <is>
          <t>CHOOSE RATING</t>
        </is>
      </c>
      <c r="DU95" s="40" t="inlineStr">
        <is>
          <t>CHOOSE RATING</t>
        </is>
      </c>
      <c r="DV95" s="40" t="inlineStr">
        <is>
          <t>CHOOSE RATING</t>
        </is>
      </c>
      <c r="DW95" s="40" t="inlineStr">
        <is>
          <t>CHOOSE RATING</t>
        </is>
      </c>
      <c r="DX95" s="40" t="inlineStr">
        <is>
          <t>CHOOSE RATING</t>
        </is>
      </c>
      <c r="DY95" s="40" t="inlineStr">
        <is>
          <t>CHOOSE RATING</t>
        </is>
      </c>
      <c r="DZ95" s="53" t="inlineStr">
        <is>
          <t>CHOOSE RATING</t>
        </is>
      </c>
      <c r="EA95" s="54" t="inlineStr">
        <is>
          <t>Add the Tutor's Comment . . .</t>
        </is>
      </c>
      <c r="EB95" s="55" t="inlineStr">
        <is>
          <t>Choose Principals comment</t>
        </is>
      </c>
      <c r="EC95" s="56" t="n"/>
      <c r="ED95" s="57" t="inlineStr">
        <is>
          <t>Next Term Begins on Monday, 22nd September, 2025</t>
        </is>
      </c>
    </row>
    <row r="96" ht="30.6" customHeight="1" s="6">
      <c r="A96" s="18" t="n">
        <v>93</v>
      </c>
      <c r="B96" s="19" t="n"/>
      <c r="C96" s="20" t="n"/>
      <c r="D96" s="128" t="n"/>
      <c r="E96" s="21" t="n"/>
      <c r="F96" s="22" t="n"/>
      <c r="G96" s="22" t="n"/>
      <c r="H96" s="22" t="n"/>
      <c r="I96" s="26">
        <f>G96-H96</f>
        <v/>
      </c>
      <c r="J96" s="21" t="n"/>
      <c r="K96" s="21" t="n"/>
      <c r="L96" s="27">
        <f>SUM(J96:K96)</f>
        <v/>
      </c>
      <c r="M96" s="28" t="n"/>
      <c r="N96" s="28" t="n"/>
      <c r="O96" s="29">
        <f>IF(AND(L96=0,M96=0,N96=0),0,IF(AND(L96=0,M96=0),N96/1,IF(AND(L96=0,N96=0),M96/1,IF(AND(M96=0,N96=0),L96/1,IF(L96=0,FLOOR((M96+N96)/2,0.1),IF(M96=0,(L96+N96)/2,IF(N96=0,(M96+L96)/2,FLOOR(((L96+M96+N96)/3),0.1))))))))</f>
        <v/>
      </c>
      <c r="P96" s="21" t="n"/>
      <c r="Q96" s="21" t="n"/>
      <c r="R96" s="27">
        <f>SUM(P96:Q96)</f>
        <v/>
      </c>
      <c r="S96" s="28" t="n"/>
      <c r="T96" s="28" t="n"/>
      <c r="U96" s="29">
        <f>IF(AND(R96=0,S96=0,T96=0),0,IF(AND(R96=0,S96=0),T96/1,IF(AND(R96=0,T96=0),S96/1,IF(AND(S96=0,T96=0),R96/1,IF(R96=0,FLOOR((S96+T96)/2,0.1),IF(S96=0,(R96+T96)/2,IF(T96=0,(S96+R96)/2,FLOOR(((R96+S96+T96)/3),0.1))))))))</f>
        <v/>
      </c>
      <c r="V96" s="21" t="n"/>
      <c r="W96" s="21" t="n"/>
      <c r="X96" s="27">
        <f>SUM(V96:W96)</f>
        <v/>
      </c>
      <c r="Y96" s="28" t="n"/>
      <c r="Z96" s="28" t="n"/>
      <c r="AA96" s="29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1" t="n"/>
      <c r="AC96" s="21" t="n"/>
      <c r="AD96" s="27">
        <f>SUM(AB96:AC96)</f>
        <v/>
      </c>
      <c r="AE96" s="28" t="n"/>
      <c r="AF96" s="28" t="n"/>
      <c r="AG96" s="29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1" t="n"/>
      <c r="AI96" s="21" t="n"/>
      <c r="AJ96" s="27">
        <f>SUM(AH96:AI96)</f>
        <v/>
      </c>
      <c r="AK96" s="28" t="n"/>
      <c r="AL96" s="28" t="n"/>
      <c r="AM96" s="29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1" t="n"/>
      <c r="AO96" s="21" t="n"/>
      <c r="AP96" s="27">
        <f>SUM(AN96:AO96)</f>
        <v/>
      </c>
      <c r="AQ96" s="28" t="n"/>
      <c r="AR96" s="30" t="n"/>
      <c r="AS96" s="29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1" t="n"/>
      <c r="AU96" s="21" t="n"/>
      <c r="AV96" s="27">
        <f>SUM(AT96:AU96)</f>
        <v/>
      </c>
      <c r="AW96" s="28" t="n"/>
      <c r="AX96" s="30" t="n"/>
      <c r="AY96" s="29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1" t="n"/>
      <c r="BA96" s="21" t="n"/>
      <c r="BB96" s="27">
        <f>SUM(AZ96:BA96)</f>
        <v/>
      </c>
      <c r="BC96" s="28" t="n"/>
      <c r="BD96" s="28" t="n"/>
      <c r="BE96" s="29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1" t="n"/>
      <c r="BG96" s="21" t="n"/>
      <c r="BH96" s="27">
        <f>SUM(BF96:BG96)</f>
        <v/>
      </c>
      <c r="BI96" s="28" t="n"/>
      <c r="BJ96" s="28" t="n"/>
      <c r="BK96" s="29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1" t="n"/>
      <c r="BM96" s="21" t="n"/>
      <c r="BN96" s="27">
        <f>SUM(BL96:BM96)</f>
        <v/>
      </c>
      <c r="BO96" s="28" t="n"/>
      <c r="BP96" s="31" t="n"/>
      <c r="BQ96" s="29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1" t="n"/>
      <c r="BS96" s="21" t="n"/>
      <c r="BT96" s="27">
        <f>SUM(BR96:BS96)</f>
        <v/>
      </c>
      <c r="BU96" s="28" t="n"/>
      <c r="BV96" s="31" t="n"/>
      <c r="BW96" s="29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1" t="n"/>
      <c r="BY96" s="21" t="n"/>
      <c r="BZ96" s="27">
        <f>SUM(BX96:BY96)</f>
        <v/>
      </c>
      <c r="CA96" s="28" t="n"/>
      <c r="CB96" s="31" t="n"/>
      <c r="CC96" s="29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1" t="n"/>
      <c r="CE96" s="21" t="n"/>
      <c r="CF96" s="27">
        <f>SUM(CD96:CE96)</f>
        <v/>
      </c>
      <c r="CG96" s="28" t="n"/>
      <c r="CH96" s="31" t="n"/>
      <c r="CI96" s="29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1" t="n"/>
      <c r="CK96" s="21" t="n"/>
      <c r="CL96" s="27">
        <f>SUM(CJ96:CK96)</f>
        <v/>
      </c>
      <c r="CM96" s="28" t="n"/>
      <c r="CN96" s="31" t="n"/>
      <c r="CO96" s="29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1" t="n"/>
      <c r="CQ96" s="21" t="n"/>
      <c r="CR96" s="27">
        <f>SUM(CP96:CQ96)</f>
        <v/>
      </c>
      <c r="CS96" s="28" t="n"/>
      <c r="CT96" s="31" t="n"/>
      <c r="CU96" s="29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1" t="n"/>
      <c r="CW96" s="21" t="n"/>
      <c r="CX96" s="27">
        <f>SUM(CV96:CW96)</f>
        <v/>
      </c>
      <c r="CY96" s="28" t="n"/>
      <c r="CZ96" s="31" t="n"/>
      <c r="DA96" s="29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1" t="n"/>
      <c r="DC96" s="21" t="n"/>
      <c r="DD96" s="27">
        <f>SUM(DB96:DC96)</f>
        <v/>
      </c>
      <c r="DE96" s="28" t="n"/>
      <c r="DF96" s="31" t="n"/>
      <c r="DG96" s="29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34">
        <f>SUM(O96,U96,AA96,AG96,AM96,AS96,AY96,BE96,BK96,BQ96,BW96,CC96,CI96,CO96,CU96,DA96,DG96)</f>
        <v/>
      </c>
      <c r="DI96" s="39">
        <f>RANK(DH96,DH$4:DH$503)</f>
        <v/>
      </c>
      <c r="DJ96" s="40" t="inlineStr">
        <is>
          <t>CHOOSE RATING</t>
        </is>
      </c>
      <c r="DK96" s="40" t="inlineStr">
        <is>
          <t>CHOOSE RATING</t>
        </is>
      </c>
      <c r="DL96" s="40" t="inlineStr">
        <is>
          <t>CHOOSE RATING</t>
        </is>
      </c>
      <c r="DM96" s="40" t="inlineStr">
        <is>
          <t>CHOOSE RATING</t>
        </is>
      </c>
      <c r="DN96" s="40" t="inlineStr">
        <is>
          <t>CHOOSE RATING</t>
        </is>
      </c>
      <c r="DO96" s="40" t="inlineStr">
        <is>
          <t>CHOOSE RATING</t>
        </is>
      </c>
      <c r="DP96" s="40" t="inlineStr">
        <is>
          <t>CHOOSE RATING</t>
        </is>
      </c>
      <c r="DQ96" s="40" t="inlineStr">
        <is>
          <t>CHOOSE RATING</t>
        </is>
      </c>
      <c r="DR96" s="43" t="inlineStr">
        <is>
          <t>2024/2025</t>
        </is>
      </c>
      <c r="DS96" s="45" t="inlineStr">
        <is>
          <t>THIRD</t>
        </is>
      </c>
      <c r="DT96" s="40" t="inlineStr">
        <is>
          <t>CHOOSE RATING</t>
        </is>
      </c>
      <c r="DU96" s="40" t="inlineStr">
        <is>
          <t>CHOOSE RATING</t>
        </is>
      </c>
      <c r="DV96" s="40" t="inlineStr">
        <is>
          <t>CHOOSE RATING</t>
        </is>
      </c>
      <c r="DW96" s="40" t="inlineStr">
        <is>
          <t>CHOOSE RATING</t>
        </is>
      </c>
      <c r="DX96" s="40" t="inlineStr">
        <is>
          <t>CHOOSE RATING</t>
        </is>
      </c>
      <c r="DY96" s="40" t="inlineStr">
        <is>
          <t>CHOOSE RATING</t>
        </is>
      </c>
      <c r="DZ96" s="53" t="inlineStr">
        <is>
          <t>CHOOSE RATING</t>
        </is>
      </c>
      <c r="EA96" s="54" t="inlineStr">
        <is>
          <t>Add the Tutor's Comment . . .</t>
        </is>
      </c>
      <c r="EB96" s="55" t="inlineStr">
        <is>
          <t>Choose Principals comment</t>
        </is>
      </c>
      <c r="EC96" s="56" t="n"/>
      <c r="ED96" s="57" t="inlineStr">
        <is>
          <t>Next Term Begins on Monday, 22nd September, 2025</t>
        </is>
      </c>
    </row>
    <row r="97" ht="30.6" customHeight="1" s="6">
      <c r="A97" s="18" t="n">
        <v>94</v>
      </c>
      <c r="B97" s="19" t="n"/>
      <c r="C97" s="20" t="n"/>
      <c r="D97" s="128" t="n"/>
      <c r="E97" s="21" t="n"/>
      <c r="F97" s="22" t="n"/>
      <c r="G97" s="22" t="n"/>
      <c r="H97" s="22" t="n"/>
      <c r="I97" s="26">
        <f>G97-H97</f>
        <v/>
      </c>
      <c r="J97" s="21" t="n"/>
      <c r="K97" s="21" t="n"/>
      <c r="L97" s="27">
        <f>SUM(J97:K97)</f>
        <v/>
      </c>
      <c r="M97" s="28" t="n"/>
      <c r="N97" s="28" t="n"/>
      <c r="O97" s="29">
        <f>IF(AND(L97=0,M97=0,N97=0),0,IF(AND(L97=0,M97=0),N97/1,IF(AND(L97=0,N97=0),M97/1,IF(AND(M97=0,N97=0),L97/1,IF(L97=0,FLOOR((M97+N97)/2,0.1),IF(M97=0,(L97+N97)/2,IF(N97=0,(M97+L97)/2,FLOOR(((L97+M97+N97)/3),0.1))))))))</f>
        <v/>
      </c>
      <c r="P97" s="21" t="n"/>
      <c r="Q97" s="21" t="n"/>
      <c r="R97" s="27">
        <f>SUM(P97:Q97)</f>
        <v/>
      </c>
      <c r="S97" s="28" t="n"/>
      <c r="T97" s="28" t="n"/>
      <c r="U97" s="29">
        <f>IF(AND(R97=0,S97=0,T97=0),0,IF(AND(R97=0,S97=0),T97/1,IF(AND(R97=0,T97=0),S97/1,IF(AND(S97=0,T97=0),R97/1,IF(R97=0,FLOOR((S97+T97)/2,0.1),IF(S97=0,(R97+T97)/2,IF(T97=0,(S97+R97)/2,FLOOR(((R97+S97+T97)/3),0.1))))))))</f>
        <v/>
      </c>
      <c r="V97" s="21" t="n"/>
      <c r="W97" s="21" t="n"/>
      <c r="X97" s="27">
        <f>SUM(V97:W97)</f>
        <v/>
      </c>
      <c r="Y97" s="28" t="n"/>
      <c r="Z97" s="28" t="n"/>
      <c r="AA97" s="29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1" t="n"/>
      <c r="AC97" s="21" t="n"/>
      <c r="AD97" s="27">
        <f>SUM(AB97:AC97)</f>
        <v/>
      </c>
      <c r="AE97" s="28" t="n"/>
      <c r="AF97" s="28" t="n"/>
      <c r="AG97" s="29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1" t="n"/>
      <c r="AI97" s="21" t="n"/>
      <c r="AJ97" s="27">
        <f>SUM(AH97:AI97)</f>
        <v/>
      </c>
      <c r="AK97" s="28" t="n"/>
      <c r="AL97" s="28" t="n"/>
      <c r="AM97" s="29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1" t="n"/>
      <c r="AO97" s="21" t="n"/>
      <c r="AP97" s="27">
        <f>SUM(AN97:AO97)</f>
        <v/>
      </c>
      <c r="AQ97" s="28" t="n"/>
      <c r="AR97" s="30" t="n"/>
      <c r="AS97" s="29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1" t="n"/>
      <c r="AU97" s="21" t="n"/>
      <c r="AV97" s="27">
        <f>SUM(AT97:AU97)</f>
        <v/>
      </c>
      <c r="AW97" s="28" t="n"/>
      <c r="AX97" s="30" t="n"/>
      <c r="AY97" s="29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1" t="n"/>
      <c r="BA97" s="21" t="n"/>
      <c r="BB97" s="27">
        <f>SUM(AZ97:BA97)</f>
        <v/>
      </c>
      <c r="BC97" s="28" t="n"/>
      <c r="BD97" s="28" t="n"/>
      <c r="BE97" s="29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1" t="n"/>
      <c r="BG97" s="21" t="n"/>
      <c r="BH97" s="27">
        <f>SUM(BF97:BG97)</f>
        <v/>
      </c>
      <c r="BI97" s="28" t="n"/>
      <c r="BJ97" s="28" t="n"/>
      <c r="BK97" s="29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1" t="n"/>
      <c r="BM97" s="21" t="n"/>
      <c r="BN97" s="27">
        <f>SUM(BL97:BM97)</f>
        <v/>
      </c>
      <c r="BO97" s="28" t="n"/>
      <c r="BP97" s="31" t="n"/>
      <c r="BQ97" s="29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1" t="n"/>
      <c r="BS97" s="21" t="n"/>
      <c r="BT97" s="27">
        <f>SUM(BR97:BS97)</f>
        <v/>
      </c>
      <c r="BU97" s="28" t="n"/>
      <c r="BV97" s="31" t="n"/>
      <c r="BW97" s="29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1" t="n"/>
      <c r="BY97" s="21" t="n"/>
      <c r="BZ97" s="27">
        <f>SUM(BX97:BY97)</f>
        <v/>
      </c>
      <c r="CA97" s="28" t="n"/>
      <c r="CB97" s="31" t="n"/>
      <c r="CC97" s="29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1" t="n"/>
      <c r="CE97" s="21" t="n"/>
      <c r="CF97" s="27">
        <f>SUM(CD97:CE97)</f>
        <v/>
      </c>
      <c r="CG97" s="28" t="n"/>
      <c r="CH97" s="31" t="n"/>
      <c r="CI97" s="29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1" t="n"/>
      <c r="CK97" s="21" t="n"/>
      <c r="CL97" s="27">
        <f>SUM(CJ97:CK97)</f>
        <v/>
      </c>
      <c r="CM97" s="28" t="n"/>
      <c r="CN97" s="31" t="n"/>
      <c r="CO97" s="29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1" t="n"/>
      <c r="CQ97" s="21" t="n"/>
      <c r="CR97" s="27">
        <f>SUM(CP97:CQ97)</f>
        <v/>
      </c>
      <c r="CS97" s="28" t="n"/>
      <c r="CT97" s="31" t="n"/>
      <c r="CU97" s="29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1" t="n"/>
      <c r="CW97" s="21" t="n"/>
      <c r="CX97" s="27">
        <f>SUM(CV97:CW97)</f>
        <v/>
      </c>
      <c r="CY97" s="28" t="n"/>
      <c r="CZ97" s="31" t="n"/>
      <c r="DA97" s="29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1" t="n"/>
      <c r="DC97" s="21" t="n"/>
      <c r="DD97" s="27">
        <f>SUM(DB97:DC97)</f>
        <v/>
      </c>
      <c r="DE97" s="28" t="n"/>
      <c r="DF97" s="31" t="n"/>
      <c r="DG97" s="29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34">
        <f>SUM(O97,U97,AA97,AG97,AM97,AS97,AY97,BE97,BK97,BQ97,BW97,CC97,CI97,CO97,CU97,DA97,DG97)</f>
        <v/>
      </c>
      <c r="DI97" s="39">
        <f>RANK(DH97,DH$4:DH$503)</f>
        <v/>
      </c>
      <c r="DJ97" s="40" t="inlineStr">
        <is>
          <t>CHOOSE RATING</t>
        </is>
      </c>
      <c r="DK97" s="40" t="inlineStr">
        <is>
          <t>CHOOSE RATING</t>
        </is>
      </c>
      <c r="DL97" s="40" t="inlineStr">
        <is>
          <t>CHOOSE RATING</t>
        </is>
      </c>
      <c r="DM97" s="40" t="inlineStr">
        <is>
          <t>CHOOSE RATING</t>
        </is>
      </c>
      <c r="DN97" s="40" t="inlineStr">
        <is>
          <t>CHOOSE RATING</t>
        </is>
      </c>
      <c r="DO97" s="40" t="inlineStr">
        <is>
          <t>CHOOSE RATING</t>
        </is>
      </c>
      <c r="DP97" s="40" t="inlineStr">
        <is>
          <t>CHOOSE RATING</t>
        </is>
      </c>
      <c r="DQ97" s="40" t="inlineStr">
        <is>
          <t>CHOOSE RATING</t>
        </is>
      </c>
      <c r="DR97" s="43" t="inlineStr">
        <is>
          <t>2024/2025</t>
        </is>
      </c>
      <c r="DS97" s="45" t="inlineStr">
        <is>
          <t>THIRD</t>
        </is>
      </c>
      <c r="DT97" s="40" t="inlineStr">
        <is>
          <t>CHOOSE RATING</t>
        </is>
      </c>
      <c r="DU97" s="40" t="inlineStr">
        <is>
          <t>CHOOSE RATING</t>
        </is>
      </c>
      <c r="DV97" s="40" t="inlineStr">
        <is>
          <t>CHOOSE RATING</t>
        </is>
      </c>
      <c r="DW97" s="40" t="inlineStr">
        <is>
          <t>CHOOSE RATING</t>
        </is>
      </c>
      <c r="DX97" s="40" t="inlineStr">
        <is>
          <t>CHOOSE RATING</t>
        </is>
      </c>
      <c r="DY97" s="40" t="inlineStr">
        <is>
          <t>CHOOSE RATING</t>
        </is>
      </c>
      <c r="DZ97" s="53" t="inlineStr">
        <is>
          <t>CHOOSE RATING</t>
        </is>
      </c>
      <c r="EA97" s="54" t="inlineStr">
        <is>
          <t>Add the Tutor's Comment . . .</t>
        </is>
      </c>
      <c r="EB97" s="55" t="inlineStr">
        <is>
          <t>Choose Principals comment</t>
        </is>
      </c>
      <c r="EC97" s="56" t="n"/>
      <c r="ED97" s="57" t="inlineStr">
        <is>
          <t>Next Term Begins on Monday, 22nd September, 2025</t>
        </is>
      </c>
    </row>
    <row r="98" ht="30.6" customHeight="1" s="6">
      <c r="A98" s="18" t="n">
        <v>95</v>
      </c>
      <c r="B98" s="19" t="n"/>
      <c r="C98" s="20" t="n"/>
      <c r="D98" s="128" t="n"/>
      <c r="E98" s="21" t="n"/>
      <c r="F98" s="22" t="n"/>
      <c r="G98" s="22" t="n"/>
      <c r="H98" s="22" t="n"/>
      <c r="I98" s="26">
        <f>G98-H98</f>
        <v/>
      </c>
      <c r="J98" s="21" t="n"/>
      <c r="K98" s="21" t="n"/>
      <c r="L98" s="27">
        <f>SUM(J98:K98)</f>
        <v/>
      </c>
      <c r="M98" s="28" t="n"/>
      <c r="N98" s="28" t="n"/>
      <c r="O98" s="29">
        <f>IF(AND(L98=0,M98=0,N98=0),0,IF(AND(L98=0,M98=0),N98/1,IF(AND(L98=0,N98=0),M98/1,IF(AND(M98=0,N98=0),L98/1,IF(L98=0,FLOOR((M98+N98)/2,0.1),IF(M98=0,(L98+N98)/2,IF(N98=0,(M98+L98)/2,FLOOR(((L98+M98+N98)/3),0.1))))))))</f>
        <v/>
      </c>
      <c r="P98" s="21" t="n"/>
      <c r="Q98" s="21" t="n"/>
      <c r="R98" s="27">
        <f>SUM(P98:Q98)</f>
        <v/>
      </c>
      <c r="S98" s="28" t="n"/>
      <c r="T98" s="28" t="n"/>
      <c r="U98" s="29">
        <f>IF(AND(R98=0,S98=0,T98=0),0,IF(AND(R98=0,S98=0),T98/1,IF(AND(R98=0,T98=0),S98/1,IF(AND(S98=0,T98=0),R98/1,IF(R98=0,FLOOR((S98+T98)/2,0.1),IF(S98=0,(R98+T98)/2,IF(T98=0,(S98+R98)/2,FLOOR(((R98+S98+T98)/3),0.1))))))))</f>
        <v/>
      </c>
      <c r="V98" s="21" t="n"/>
      <c r="W98" s="21" t="n"/>
      <c r="X98" s="27">
        <f>SUM(V98:W98)</f>
        <v/>
      </c>
      <c r="Y98" s="28" t="n"/>
      <c r="Z98" s="28" t="n"/>
      <c r="AA98" s="29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1" t="n"/>
      <c r="AC98" s="21" t="n"/>
      <c r="AD98" s="27">
        <f>SUM(AB98:AC98)</f>
        <v/>
      </c>
      <c r="AE98" s="28" t="n"/>
      <c r="AF98" s="28" t="n"/>
      <c r="AG98" s="29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1" t="n"/>
      <c r="AI98" s="21" t="n"/>
      <c r="AJ98" s="27">
        <f>SUM(AH98:AI98)</f>
        <v/>
      </c>
      <c r="AK98" s="28" t="n"/>
      <c r="AL98" s="28" t="n"/>
      <c r="AM98" s="29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1" t="n"/>
      <c r="AO98" s="21" t="n"/>
      <c r="AP98" s="27">
        <f>SUM(AN98:AO98)</f>
        <v/>
      </c>
      <c r="AQ98" s="28" t="n"/>
      <c r="AR98" s="30" t="n"/>
      <c r="AS98" s="29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1" t="n"/>
      <c r="AU98" s="21" t="n"/>
      <c r="AV98" s="27">
        <f>SUM(AT98:AU98)</f>
        <v/>
      </c>
      <c r="AW98" s="28" t="n"/>
      <c r="AX98" s="30" t="n"/>
      <c r="AY98" s="29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1" t="n"/>
      <c r="BA98" s="21" t="n"/>
      <c r="BB98" s="27">
        <f>SUM(AZ98:BA98)</f>
        <v/>
      </c>
      <c r="BC98" s="28" t="n"/>
      <c r="BD98" s="28" t="n"/>
      <c r="BE98" s="29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1" t="n"/>
      <c r="BG98" s="21" t="n"/>
      <c r="BH98" s="27">
        <f>SUM(BF98:BG98)</f>
        <v/>
      </c>
      <c r="BI98" s="28" t="n"/>
      <c r="BJ98" s="28" t="n"/>
      <c r="BK98" s="29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1" t="n"/>
      <c r="BM98" s="21" t="n"/>
      <c r="BN98" s="27">
        <f>SUM(BL98:BM98)</f>
        <v/>
      </c>
      <c r="BO98" s="28" t="n"/>
      <c r="BP98" s="31" t="n"/>
      <c r="BQ98" s="29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1" t="n"/>
      <c r="BS98" s="21" t="n"/>
      <c r="BT98" s="27">
        <f>SUM(BR98:BS98)</f>
        <v/>
      </c>
      <c r="BU98" s="28" t="n"/>
      <c r="BV98" s="31" t="n"/>
      <c r="BW98" s="29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1" t="n"/>
      <c r="BY98" s="21" t="n"/>
      <c r="BZ98" s="27">
        <f>SUM(BX98:BY98)</f>
        <v/>
      </c>
      <c r="CA98" s="28" t="n"/>
      <c r="CB98" s="31" t="n"/>
      <c r="CC98" s="29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1" t="n"/>
      <c r="CE98" s="21" t="n"/>
      <c r="CF98" s="27">
        <f>SUM(CD98:CE98)</f>
        <v/>
      </c>
      <c r="CG98" s="28" t="n"/>
      <c r="CH98" s="31" t="n"/>
      <c r="CI98" s="29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1" t="n"/>
      <c r="CK98" s="21" t="n"/>
      <c r="CL98" s="27">
        <f>SUM(CJ98:CK98)</f>
        <v/>
      </c>
      <c r="CM98" s="28" t="n"/>
      <c r="CN98" s="31" t="n"/>
      <c r="CO98" s="29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1" t="n"/>
      <c r="CQ98" s="21" t="n"/>
      <c r="CR98" s="27">
        <f>SUM(CP98:CQ98)</f>
        <v/>
      </c>
      <c r="CS98" s="28" t="n"/>
      <c r="CT98" s="31" t="n"/>
      <c r="CU98" s="29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1" t="n"/>
      <c r="CW98" s="21" t="n"/>
      <c r="CX98" s="27">
        <f>SUM(CV98:CW98)</f>
        <v/>
      </c>
      <c r="CY98" s="28" t="n"/>
      <c r="CZ98" s="31" t="n"/>
      <c r="DA98" s="29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1" t="n"/>
      <c r="DC98" s="21" t="n"/>
      <c r="DD98" s="27">
        <f>SUM(DB98:DC98)</f>
        <v/>
      </c>
      <c r="DE98" s="28" t="n"/>
      <c r="DF98" s="31" t="n"/>
      <c r="DG98" s="29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34">
        <f>SUM(O98,U98,AA98,AG98,AM98,AS98,AY98,BE98,BK98,BQ98,BW98,CC98,CI98,CO98,CU98,DA98,DG98)</f>
        <v/>
      </c>
      <c r="DI98" s="39">
        <f>RANK(DH98,DH$4:DH$503)</f>
        <v/>
      </c>
      <c r="DJ98" s="40" t="inlineStr">
        <is>
          <t>CHOOSE RATING</t>
        </is>
      </c>
      <c r="DK98" s="40" t="inlineStr">
        <is>
          <t>CHOOSE RATING</t>
        </is>
      </c>
      <c r="DL98" s="40" t="inlineStr">
        <is>
          <t>CHOOSE RATING</t>
        </is>
      </c>
      <c r="DM98" s="40" t="inlineStr">
        <is>
          <t>CHOOSE RATING</t>
        </is>
      </c>
      <c r="DN98" s="40" t="inlineStr">
        <is>
          <t>CHOOSE RATING</t>
        </is>
      </c>
      <c r="DO98" s="40" t="inlineStr">
        <is>
          <t>CHOOSE RATING</t>
        </is>
      </c>
      <c r="DP98" s="40" t="inlineStr">
        <is>
          <t>CHOOSE RATING</t>
        </is>
      </c>
      <c r="DQ98" s="40" t="inlineStr">
        <is>
          <t>CHOOSE RATING</t>
        </is>
      </c>
      <c r="DR98" s="43" t="inlineStr">
        <is>
          <t>2024/2025</t>
        </is>
      </c>
      <c r="DS98" s="45" t="inlineStr">
        <is>
          <t>THIRD</t>
        </is>
      </c>
      <c r="DT98" s="40" t="inlineStr">
        <is>
          <t>CHOOSE RATING</t>
        </is>
      </c>
      <c r="DU98" s="40" t="inlineStr">
        <is>
          <t>CHOOSE RATING</t>
        </is>
      </c>
      <c r="DV98" s="40" t="inlineStr">
        <is>
          <t>CHOOSE RATING</t>
        </is>
      </c>
      <c r="DW98" s="40" t="inlineStr">
        <is>
          <t>CHOOSE RATING</t>
        </is>
      </c>
      <c r="DX98" s="40" t="inlineStr">
        <is>
          <t>CHOOSE RATING</t>
        </is>
      </c>
      <c r="DY98" s="40" t="inlineStr">
        <is>
          <t>CHOOSE RATING</t>
        </is>
      </c>
      <c r="DZ98" s="53" t="inlineStr">
        <is>
          <t>CHOOSE RATING</t>
        </is>
      </c>
      <c r="EA98" s="54" t="inlineStr">
        <is>
          <t>Add the Tutor's Comment . . .</t>
        </is>
      </c>
      <c r="EB98" s="55" t="inlineStr">
        <is>
          <t>Choose Principals comment</t>
        </is>
      </c>
      <c r="EC98" s="56" t="n"/>
      <c r="ED98" s="57" t="inlineStr">
        <is>
          <t>Next Term Begins on Monday, 22nd September, 2025</t>
        </is>
      </c>
    </row>
    <row r="99" ht="30.6" customHeight="1" s="6">
      <c r="A99" s="18" t="n">
        <v>96</v>
      </c>
      <c r="B99" s="19" t="n"/>
      <c r="C99" s="20" t="n"/>
      <c r="D99" s="128" t="n"/>
      <c r="E99" s="21" t="n"/>
      <c r="F99" s="22" t="n"/>
      <c r="G99" s="22" t="n"/>
      <c r="H99" s="22" t="n"/>
      <c r="I99" s="26">
        <f>G99-H99</f>
        <v/>
      </c>
      <c r="J99" s="21" t="n"/>
      <c r="K99" s="21" t="n"/>
      <c r="L99" s="27">
        <f>SUM(J99:K99)</f>
        <v/>
      </c>
      <c r="M99" s="28" t="n"/>
      <c r="N99" s="28" t="n"/>
      <c r="O99" s="29">
        <f>IF(AND(L99=0,M99=0,N99=0),0,IF(AND(L99=0,M99=0),N99/1,IF(AND(L99=0,N99=0),M99/1,IF(AND(M99=0,N99=0),L99/1,IF(L99=0,FLOOR((M99+N99)/2,0.1),IF(M99=0,(L99+N99)/2,IF(N99=0,(M99+L99)/2,FLOOR(((L99+M99+N99)/3),0.1))))))))</f>
        <v/>
      </c>
      <c r="P99" s="21" t="n"/>
      <c r="Q99" s="21" t="n"/>
      <c r="R99" s="27">
        <f>SUM(P99:Q99)</f>
        <v/>
      </c>
      <c r="S99" s="28" t="n"/>
      <c r="T99" s="28" t="n"/>
      <c r="U99" s="29">
        <f>IF(AND(R99=0,S99=0,T99=0),0,IF(AND(R99=0,S99=0),T99/1,IF(AND(R99=0,T99=0),S99/1,IF(AND(S99=0,T99=0),R99/1,IF(R99=0,FLOOR((S99+T99)/2,0.1),IF(S99=0,(R99+T99)/2,IF(T99=0,(S99+R99)/2,FLOOR(((R99+S99+T99)/3),0.1))))))))</f>
        <v/>
      </c>
      <c r="V99" s="21" t="n"/>
      <c r="W99" s="21" t="n"/>
      <c r="X99" s="27">
        <f>SUM(V99:W99)</f>
        <v/>
      </c>
      <c r="Y99" s="28" t="n"/>
      <c r="Z99" s="28" t="n"/>
      <c r="AA99" s="29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1" t="n"/>
      <c r="AC99" s="21" t="n"/>
      <c r="AD99" s="27">
        <f>SUM(AB99:AC99)</f>
        <v/>
      </c>
      <c r="AE99" s="28" t="n"/>
      <c r="AF99" s="28" t="n"/>
      <c r="AG99" s="29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1" t="n"/>
      <c r="AI99" s="21" t="n"/>
      <c r="AJ99" s="27">
        <f>SUM(AH99:AI99)</f>
        <v/>
      </c>
      <c r="AK99" s="28" t="n"/>
      <c r="AL99" s="28" t="n"/>
      <c r="AM99" s="29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1" t="n"/>
      <c r="AO99" s="21" t="n"/>
      <c r="AP99" s="27">
        <f>SUM(AN99:AO99)</f>
        <v/>
      </c>
      <c r="AQ99" s="28" t="n"/>
      <c r="AR99" s="30" t="n"/>
      <c r="AS99" s="29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1" t="n"/>
      <c r="AU99" s="21" t="n"/>
      <c r="AV99" s="27">
        <f>SUM(AT99:AU99)</f>
        <v/>
      </c>
      <c r="AW99" s="28" t="n"/>
      <c r="AX99" s="30" t="n"/>
      <c r="AY99" s="29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1" t="n"/>
      <c r="BA99" s="21" t="n"/>
      <c r="BB99" s="27">
        <f>SUM(AZ99:BA99)</f>
        <v/>
      </c>
      <c r="BC99" s="28" t="n"/>
      <c r="BD99" s="28" t="n"/>
      <c r="BE99" s="29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1" t="n"/>
      <c r="BG99" s="21" t="n"/>
      <c r="BH99" s="27">
        <f>SUM(BF99:BG99)</f>
        <v/>
      </c>
      <c r="BI99" s="28" t="n"/>
      <c r="BJ99" s="28" t="n"/>
      <c r="BK99" s="29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1" t="n"/>
      <c r="BM99" s="21" t="n"/>
      <c r="BN99" s="27">
        <f>SUM(BL99:BM99)</f>
        <v/>
      </c>
      <c r="BO99" s="28" t="n"/>
      <c r="BP99" s="31" t="n"/>
      <c r="BQ99" s="29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1" t="n"/>
      <c r="BS99" s="21" t="n"/>
      <c r="BT99" s="27">
        <f>SUM(BR99:BS99)</f>
        <v/>
      </c>
      <c r="BU99" s="28" t="n"/>
      <c r="BV99" s="31" t="n"/>
      <c r="BW99" s="29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1" t="n"/>
      <c r="BY99" s="21" t="n"/>
      <c r="BZ99" s="27">
        <f>SUM(BX99:BY99)</f>
        <v/>
      </c>
      <c r="CA99" s="28" t="n"/>
      <c r="CB99" s="31" t="n"/>
      <c r="CC99" s="29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1" t="n"/>
      <c r="CE99" s="21" t="n"/>
      <c r="CF99" s="27">
        <f>SUM(CD99:CE99)</f>
        <v/>
      </c>
      <c r="CG99" s="28" t="n"/>
      <c r="CH99" s="31" t="n"/>
      <c r="CI99" s="29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1" t="n"/>
      <c r="CK99" s="21" t="n"/>
      <c r="CL99" s="27">
        <f>SUM(CJ99:CK99)</f>
        <v/>
      </c>
      <c r="CM99" s="28" t="n"/>
      <c r="CN99" s="31" t="n"/>
      <c r="CO99" s="29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1" t="n"/>
      <c r="CQ99" s="21" t="n"/>
      <c r="CR99" s="27">
        <f>SUM(CP99:CQ99)</f>
        <v/>
      </c>
      <c r="CS99" s="28" t="n"/>
      <c r="CT99" s="31" t="n"/>
      <c r="CU99" s="29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1" t="n"/>
      <c r="CW99" s="21" t="n"/>
      <c r="CX99" s="27">
        <f>SUM(CV99:CW99)</f>
        <v/>
      </c>
      <c r="CY99" s="28" t="n"/>
      <c r="CZ99" s="31" t="n"/>
      <c r="DA99" s="29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1" t="n"/>
      <c r="DC99" s="21" t="n"/>
      <c r="DD99" s="27">
        <f>SUM(DB99:DC99)</f>
        <v/>
      </c>
      <c r="DE99" s="28" t="n"/>
      <c r="DF99" s="31" t="n"/>
      <c r="DG99" s="29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34">
        <f>SUM(O99,U99,AA99,AG99,AM99,AS99,AY99,BE99,BK99,BQ99,BW99,CC99,CI99,CO99,CU99,DA99,DG99)</f>
        <v/>
      </c>
      <c r="DI99" s="39">
        <f>RANK(DH99,DH$4:DH$503)</f>
        <v/>
      </c>
      <c r="DJ99" s="40" t="inlineStr">
        <is>
          <t>CHOOSE RATING</t>
        </is>
      </c>
      <c r="DK99" s="40" t="inlineStr">
        <is>
          <t>CHOOSE RATING</t>
        </is>
      </c>
      <c r="DL99" s="40" t="inlineStr">
        <is>
          <t>CHOOSE RATING</t>
        </is>
      </c>
      <c r="DM99" s="40" t="inlineStr">
        <is>
          <t>CHOOSE RATING</t>
        </is>
      </c>
      <c r="DN99" s="40" t="inlineStr">
        <is>
          <t>CHOOSE RATING</t>
        </is>
      </c>
      <c r="DO99" s="40" t="inlineStr">
        <is>
          <t>CHOOSE RATING</t>
        </is>
      </c>
      <c r="DP99" s="40" t="inlineStr">
        <is>
          <t>CHOOSE RATING</t>
        </is>
      </c>
      <c r="DQ99" s="40" t="inlineStr">
        <is>
          <t>CHOOSE RATING</t>
        </is>
      </c>
      <c r="DR99" s="43" t="inlineStr">
        <is>
          <t>2024/2025</t>
        </is>
      </c>
      <c r="DS99" s="45" t="inlineStr">
        <is>
          <t>THIRD</t>
        </is>
      </c>
      <c r="DT99" s="40" t="inlineStr">
        <is>
          <t>CHOOSE RATING</t>
        </is>
      </c>
      <c r="DU99" s="40" t="inlineStr">
        <is>
          <t>CHOOSE RATING</t>
        </is>
      </c>
      <c r="DV99" s="40" t="inlineStr">
        <is>
          <t>CHOOSE RATING</t>
        </is>
      </c>
      <c r="DW99" s="40" t="inlineStr">
        <is>
          <t>CHOOSE RATING</t>
        </is>
      </c>
      <c r="DX99" s="40" t="inlineStr">
        <is>
          <t>CHOOSE RATING</t>
        </is>
      </c>
      <c r="DY99" s="40" t="inlineStr">
        <is>
          <t>CHOOSE RATING</t>
        </is>
      </c>
      <c r="DZ99" s="53" t="inlineStr">
        <is>
          <t>CHOOSE RATING</t>
        </is>
      </c>
      <c r="EA99" s="54" t="inlineStr">
        <is>
          <t>Add the Tutor's Comment . . .</t>
        </is>
      </c>
      <c r="EB99" s="55" t="inlineStr">
        <is>
          <t>Choose Principals comment</t>
        </is>
      </c>
      <c r="EC99" s="56" t="n"/>
      <c r="ED99" s="57" t="inlineStr">
        <is>
          <t>Next Term Begins on Monday, 22nd September, 2025</t>
        </is>
      </c>
    </row>
    <row r="100" ht="30.6" customHeight="1" s="6">
      <c r="A100" s="18" t="n">
        <v>97</v>
      </c>
      <c r="B100" s="19" t="n"/>
      <c r="C100" s="20" t="n"/>
      <c r="D100" s="128" t="n"/>
      <c r="E100" s="21" t="n"/>
      <c r="F100" s="22" t="n"/>
      <c r="G100" s="22" t="n"/>
      <c r="H100" s="22" t="n"/>
      <c r="I100" s="26">
        <f>G100-H100</f>
        <v/>
      </c>
      <c r="J100" s="21" t="n"/>
      <c r="K100" s="21" t="n"/>
      <c r="L100" s="27">
        <f>SUM(J100:K100)</f>
        <v/>
      </c>
      <c r="M100" s="28" t="n"/>
      <c r="N100" s="28" t="n"/>
      <c r="O100" s="29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1" t="n"/>
      <c r="Q100" s="21" t="n"/>
      <c r="R100" s="27">
        <f>SUM(P100:Q100)</f>
        <v/>
      </c>
      <c r="S100" s="28" t="n"/>
      <c r="T100" s="28" t="n"/>
      <c r="U100" s="29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1" t="n"/>
      <c r="W100" s="21" t="n"/>
      <c r="X100" s="27">
        <f>SUM(V100:W100)</f>
        <v/>
      </c>
      <c r="Y100" s="28" t="n"/>
      <c r="Z100" s="28" t="n"/>
      <c r="AA100" s="29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1" t="n"/>
      <c r="AC100" s="21" t="n"/>
      <c r="AD100" s="27">
        <f>SUM(AB100:AC100)</f>
        <v/>
      </c>
      <c r="AE100" s="28" t="n"/>
      <c r="AF100" s="28" t="n"/>
      <c r="AG100" s="29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1" t="n"/>
      <c r="AI100" s="21" t="n"/>
      <c r="AJ100" s="27">
        <f>SUM(AH100:AI100)</f>
        <v/>
      </c>
      <c r="AK100" s="28" t="n"/>
      <c r="AL100" s="28" t="n"/>
      <c r="AM100" s="29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1" t="n"/>
      <c r="AO100" s="21" t="n"/>
      <c r="AP100" s="27">
        <f>SUM(AN100:AO100)</f>
        <v/>
      </c>
      <c r="AQ100" s="28" t="n"/>
      <c r="AR100" s="30" t="n"/>
      <c r="AS100" s="29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1" t="n"/>
      <c r="AU100" s="21" t="n"/>
      <c r="AV100" s="27">
        <f>SUM(AT100:AU100)</f>
        <v/>
      </c>
      <c r="AW100" s="28" t="n"/>
      <c r="AX100" s="30" t="n"/>
      <c r="AY100" s="29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1" t="n"/>
      <c r="BA100" s="21" t="n"/>
      <c r="BB100" s="27">
        <f>SUM(AZ100:BA100)</f>
        <v/>
      </c>
      <c r="BC100" s="28" t="n"/>
      <c r="BD100" s="28" t="n"/>
      <c r="BE100" s="29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1" t="n"/>
      <c r="BG100" s="21" t="n"/>
      <c r="BH100" s="27">
        <f>SUM(BF100:BG100)</f>
        <v/>
      </c>
      <c r="BI100" s="28" t="n"/>
      <c r="BJ100" s="28" t="n"/>
      <c r="BK100" s="29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1" t="n"/>
      <c r="BM100" s="21" t="n"/>
      <c r="BN100" s="27">
        <f>SUM(BL100:BM100)</f>
        <v/>
      </c>
      <c r="BO100" s="28" t="n"/>
      <c r="BP100" s="31" t="n"/>
      <c r="BQ100" s="29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1" t="n"/>
      <c r="BS100" s="21" t="n"/>
      <c r="BT100" s="27">
        <f>SUM(BR100:BS100)</f>
        <v/>
      </c>
      <c r="BU100" s="28" t="n"/>
      <c r="BV100" s="31" t="n"/>
      <c r="BW100" s="29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1" t="n"/>
      <c r="BY100" s="21" t="n"/>
      <c r="BZ100" s="27">
        <f>SUM(BX100:BY100)</f>
        <v/>
      </c>
      <c r="CA100" s="28" t="n"/>
      <c r="CB100" s="31" t="n"/>
      <c r="CC100" s="29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1" t="n"/>
      <c r="CE100" s="21" t="n"/>
      <c r="CF100" s="27">
        <f>SUM(CD100:CE100)</f>
        <v/>
      </c>
      <c r="CG100" s="28" t="n"/>
      <c r="CH100" s="31" t="n"/>
      <c r="CI100" s="29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1" t="n"/>
      <c r="CK100" s="21" t="n"/>
      <c r="CL100" s="27">
        <f>SUM(CJ100:CK100)</f>
        <v/>
      </c>
      <c r="CM100" s="28" t="n"/>
      <c r="CN100" s="31" t="n"/>
      <c r="CO100" s="29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1" t="n"/>
      <c r="CQ100" s="21" t="n"/>
      <c r="CR100" s="27">
        <f>SUM(CP100:CQ100)</f>
        <v/>
      </c>
      <c r="CS100" s="28" t="n"/>
      <c r="CT100" s="31" t="n"/>
      <c r="CU100" s="29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1" t="n"/>
      <c r="CW100" s="21" t="n"/>
      <c r="CX100" s="27">
        <f>SUM(CV100:CW100)</f>
        <v/>
      </c>
      <c r="CY100" s="28" t="n"/>
      <c r="CZ100" s="31" t="n"/>
      <c r="DA100" s="29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1" t="n"/>
      <c r="DC100" s="21" t="n"/>
      <c r="DD100" s="27">
        <f>SUM(DB100:DC100)</f>
        <v/>
      </c>
      <c r="DE100" s="28" t="n"/>
      <c r="DF100" s="31" t="n"/>
      <c r="DG100" s="29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34">
        <f>SUM(O100,U100,AA100,AG100,AM100,AS100,AY100,BE100,BK100,BQ100,BW100,CC100,CI100,CO100,CU100,DA100,DG100)</f>
        <v/>
      </c>
      <c r="DI100" s="39">
        <f>RANK(DH100,DH$4:DH$503)</f>
        <v/>
      </c>
      <c r="DJ100" s="40" t="inlineStr">
        <is>
          <t>CHOOSE RATING</t>
        </is>
      </c>
      <c r="DK100" s="40" t="inlineStr">
        <is>
          <t>CHOOSE RATING</t>
        </is>
      </c>
      <c r="DL100" s="40" t="inlineStr">
        <is>
          <t>CHOOSE RATING</t>
        </is>
      </c>
      <c r="DM100" s="40" t="inlineStr">
        <is>
          <t>CHOOSE RATING</t>
        </is>
      </c>
      <c r="DN100" s="40" t="inlineStr">
        <is>
          <t>CHOOSE RATING</t>
        </is>
      </c>
      <c r="DO100" s="40" t="inlineStr">
        <is>
          <t>CHOOSE RATING</t>
        </is>
      </c>
      <c r="DP100" s="40" t="inlineStr">
        <is>
          <t>CHOOSE RATING</t>
        </is>
      </c>
      <c r="DQ100" s="40" t="inlineStr">
        <is>
          <t>CHOOSE RATING</t>
        </is>
      </c>
      <c r="DR100" s="43" t="inlineStr">
        <is>
          <t>2024/2025</t>
        </is>
      </c>
      <c r="DS100" s="45" t="inlineStr">
        <is>
          <t>THIRD</t>
        </is>
      </c>
      <c r="DT100" s="40" t="inlineStr">
        <is>
          <t>CHOOSE RATING</t>
        </is>
      </c>
      <c r="DU100" s="40" t="inlineStr">
        <is>
          <t>CHOOSE RATING</t>
        </is>
      </c>
      <c r="DV100" s="40" t="inlineStr">
        <is>
          <t>CHOOSE RATING</t>
        </is>
      </c>
      <c r="DW100" s="40" t="inlineStr">
        <is>
          <t>CHOOSE RATING</t>
        </is>
      </c>
      <c r="DX100" s="40" t="inlineStr">
        <is>
          <t>CHOOSE RATING</t>
        </is>
      </c>
      <c r="DY100" s="40" t="inlineStr">
        <is>
          <t>CHOOSE RATING</t>
        </is>
      </c>
      <c r="DZ100" s="53" t="inlineStr">
        <is>
          <t>CHOOSE RATING</t>
        </is>
      </c>
      <c r="EA100" s="54" t="inlineStr">
        <is>
          <t>Add the Tutor's Comment . . .</t>
        </is>
      </c>
      <c r="EB100" s="55" t="inlineStr">
        <is>
          <t>Choose Principals comment</t>
        </is>
      </c>
      <c r="EC100" s="56" t="n"/>
      <c r="ED100" s="57" t="inlineStr">
        <is>
          <t>Next Term Begins on Monday, 22nd September, 2025</t>
        </is>
      </c>
    </row>
    <row r="101" ht="30.6" customHeight="1" s="6">
      <c r="A101" s="18" t="n">
        <v>98</v>
      </c>
      <c r="B101" s="19" t="n"/>
      <c r="C101" s="20" t="n"/>
      <c r="D101" s="128" t="n"/>
      <c r="E101" s="21" t="n"/>
      <c r="F101" s="22" t="n"/>
      <c r="G101" s="22" t="n"/>
      <c r="H101" s="22" t="n"/>
      <c r="I101" s="26">
        <f>G101-H101</f>
        <v/>
      </c>
      <c r="J101" s="21" t="n"/>
      <c r="K101" s="21" t="n"/>
      <c r="L101" s="27">
        <f>SUM(J101:K101)</f>
        <v/>
      </c>
      <c r="M101" s="28" t="n"/>
      <c r="N101" s="28" t="n"/>
      <c r="O101" s="29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1" t="n"/>
      <c r="Q101" s="21" t="n"/>
      <c r="R101" s="27">
        <f>SUM(P101:Q101)</f>
        <v/>
      </c>
      <c r="S101" s="28" t="n"/>
      <c r="T101" s="28" t="n"/>
      <c r="U101" s="29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1" t="n"/>
      <c r="W101" s="21" t="n"/>
      <c r="X101" s="27">
        <f>SUM(V101:W101)</f>
        <v/>
      </c>
      <c r="Y101" s="28" t="n"/>
      <c r="Z101" s="28" t="n"/>
      <c r="AA101" s="29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1" t="n"/>
      <c r="AC101" s="21" t="n"/>
      <c r="AD101" s="27">
        <f>SUM(AB101:AC101)</f>
        <v/>
      </c>
      <c r="AE101" s="28" t="n"/>
      <c r="AF101" s="28" t="n"/>
      <c r="AG101" s="29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1" t="n"/>
      <c r="AI101" s="21" t="n"/>
      <c r="AJ101" s="27">
        <f>SUM(AH101:AI101)</f>
        <v/>
      </c>
      <c r="AK101" s="28" t="n"/>
      <c r="AL101" s="28" t="n"/>
      <c r="AM101" s="29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1" t="n"/>
      <c r="AO101" s="21" t="n"/>
      <c r="AP101" s="27">
        <f>SUM(AN101:AO101)</f>
        <v/>
      </c>
      <c r="AQ101" s="28" t="n"/>
      <c r="AR101" s="30" t="n"/>
      <c r="AS101" s="29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1" t="n"/>
      <c r="AU101" s="21" t="n"/>
      <c r="AV101" s="27">
        <f>SUM(AT101:AU101)</f>
        <v/>
      </c>
      <c r="AW101" s="28" t="n"/>
      <c r="AX101" s="30" t="n"/>
      <c r="AY101" s="29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1" t="n"/>
      <c r="BA101" s="21" t="n"/>
      <c r="BB101" s="27">
        <f>SUM(AZ101:BA101)</f>
        <v/>
      </c>
      <c r="BC101" s="28" t="n"/>
      <c r="BD101" s="28" t="n"/>
      <c r="BE101" s="29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1" t="n"/>
      <c r="BG101" s="21" t="n"/>
      <c r="BH101" s="27">
        <f>SUM(BF101:BG101)</f>
        <v/>
      </c>
      <c r="BI101" s="28" t="n"/>
      <c r="BJ101" s="28" t="n"/>
      <c r="BK101" s="29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1" t="n"/>
      <c r="BM101" s="21" t="n"/>
      <c r="BN101" s="27">
        <f>SUM(BL101:BM101)</f>
        <v/>
      </c>
      <c r="BO101" s="28" t="n"/>
      <c r="BP101" s="31" t="n"/>
      <c r="BQ101" s="29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1" t="n"/>
      <c r="BS101" s="21" t="n"/>
      <c r="BT101" s="27">
        <f>SUM(BR101:BS101)</f>
        <v/>
      </c>
      <c r="BU101" s="28" t="n"/>
      <c r="BV101" s="31" t="n"/>
      <c r="BW101" s="29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1" t="n"/>
      <c r="BY101" s="21" t="n"/>
      <c r="BZ101" s="27">
        <f>SUM(BX101:BY101)</f>
        <v/>
      </c>
      <c r="CA101" s="28" t="n"/>
      <c r="CB101" s="31" t="n"/>
      <c r="CC101" s="29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1" t="n"/>
      <c r="CE101" s="21" t="n"/>
      <c r="CF101" s="27">
        <f>SUM(CD101:CE101)</f>
        <v/>
      </c>
      <c r="CG101" s="28" t="n"/>
      <c r="CH101" s="31" t="n"/>
      <c r="CI101" s="29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1" t="n"/>
      <c r="CK101" s="21" t="n"/>
      <c r="CL101" s="27">
        <f>SUM(CJ101:CK101)</f>
        <v/>
      </c>
      <c r="CM101" s="28" t="n"/>
      <c r="CN101" s="31" t="n"/>
      <c r="CO101" s="29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1" t="n"/>
      <c r="CQ101" s="21" t="n"/>
      <c r="CR101" s="27">
        <f>SUM(CP101:CQ101)</f>
        <v/>
      </c>
      <c r="CS101" s="28" t="n"/>
      <c r="CT101" s="31" t="n"/>
      <c r="CU101" s="29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1" t="n"/>
      <c r="CW101" s="21" t="n"/>
      <c r="CX101" s="27">
        <f>SUM(CV101:CW101)</f>
        <v/>
      </c>
      <c r="CY101" s="28" t="n"/>
      <c r="CZ101" s="31" t="n"/>
      <c r="DA101" s="29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1" t="n"/>
      <c r="DC101" s="21" t="n"/>
      <c r="DD101" s="27">
        <f>SUM(DB101:DC101)</f>
        <v/>
      </c>
      <c r="DE101" s="28" t="n"/>
      <c r="DF101" s="31" t="n"/>
      <c r="DG101" s="29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34">
        <f>SUM(O101,U101,AA101,AG101,AM101,AS101,AY101,BE101,BK101,BQ101,BW101,CC101,CI101,CO101,CU101,DA101,DG101)</f>
        <v/>
      </c>
      <c r="DI101" s="39">
        <f>RANK(DH101,DH$4:DH$503)</f>
        <v/>
      </c>
      <c r="DJ101" s="40" t="inlineStr">
        <is>
          <t>CHOOSE RATING</t>
        </is>
      </c>
      <c r="DK101" s="40" t="inlineStr">
        <is>
          <t>CHOOSE RATING</t>
        </is>
      </c>
      <c r="DL101" s="40" t="inlineStr">
        <is>
          <t>CHOOSE RATING</t>
        </is>
      </c>
      <c r="DM101" s="40" t="inlineStr">
        <is>
          <t>CHOOSE RATING</t>
        </is>
      </c>
      <c r="DN101" s="40" t="inlineStr">
        <is>
          <t>CHOOSE RATING</t>
        </is>
      </c>
      <c r="DO101" s="40" t="inlineStr">
        <is>
          <t>CHOOSE RATING</t>
        </is>
      </c>
      <c r="DP101" s="40" t="inlineStr">
        <is>
          <t>CHOOSE RATING</t>
        </is>
      </c>
      <c r="DQ101" s="40" t="inlineStr">
        <is>
          <t>CHOOSE RATING</t>
        </is>
      </c>
      <c r="DR101" s="43" t="inlineStr">
        <is>
          <t>2024/2025</t>
        </is>
      </c>
      <c r="DS101" s="45" t="inlineStr">
        <is>
          <t>THIRD</t>
        </is>
      </c>
      <c r="DT101" s="40" t="inlineStr">
        <is>
          <t>CHOOSE RATING</t>
        </is>
      </c>
      <c r="DU101" s="40" t="inlineStr">
        <is>
          <t>CHOOSE RATING</t>
        </is>
      </c>
      <c r="DV101" s="40" t="inlineStr">
        <is>
          <t>CHOOSE RATING</t>
        </is>
      </c>
      <c r="DW101" s="40" t="inlineStr">
        <is>
          <t>CHOOSE RATING</t>
        </is>
      </c>
      <c r="DX101" s="40" t="inlineStr">
        <is>
          <t>CHOOSE RATING</t>
        </is>
      </c>
      <c r="DY101" s="40" t="inlineStr">
        <is>
          <t>CHOOSE RATING</t>
        </is>
      </c>
      <c r="DZ101" s="53" t="inlineStr">
        <is>
          <t>CHOOSE RATING</t>
        </is>
      </c>
      <c r="EA101" s="54" t="inlineStr">
        <is>
          <t>Add the Tutor's Comment . . .</t>
        </is>
      </c>
      <c r="EB101" s="55" t="inlineStr">
        <is>
          <t>Choose Principals comment</t>
        </is>
      </c>
      <c r="EC101" s="56" t="n"/>
      <c r="ED101" s="57" t="inlineStr">
        <is>
          <t>Next Term Begins on Monday, 22nd September, 2025</t>
        </is>
      </c>
    </row>
    <row r="102" ht="30.6" customHeight="1" s="6">
      <c r="A102" s="18" t="n">
        <v>99</v>
      </c>
      <c r="B102" s="19" t="n"/>
      <c r="C102" s="20" t="n"/>
      <c r="D102" s="128" t="n"/>
      <c r="E102" s="21" t="n"/>
      <c r="F102" s="22" t="n"/>
      <c r="G102" s="22" t="n"/>
      <c r="H102" s="22" t="n"/>
      <c r="I102" s="26">
        <f>G102-H102</f>
        <v/>
      </c>
      <c r="J102" s="21" t="n"/>
      <c r="K102" s="21" t="n"/>
      <c r="L102" s="27">
        <f>SUM(J102:K102)</f>
        <v/>
      </c>
      <c r="M102" s="28" t="n"/>
      <c r="N102" s="28" t="n"/>
      <c r="O102" s="29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1" t="n"/>
      <c r="Q102" s="21" t="n"/>
      <c r="R102" s="27">
        <f>SUM(P102:Q102)</f>
        <v/>
      </c>
      <c r="S102" s="28" t="n"/>
      <c r="T102" s="28" t="n"/>
      <c r="U102" s="29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1" t="n"/>
      <c r="W102" s="21" t="n"/>
      <c r="X102" s="27">
        <f>SUM(V102:W102)</f>
        <v/>
      </c>
      <c r="Y102" s="28" t="n"/>
      <c r="Z102" s="28" t="n"/>
      <c r="AA102" s="29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1" t="n"/>
      <c r="AC102" s="21" t="n"/>
      <c r="AD102" s="27">
        <f>SUM(AB102:AC102)</f>
        <v/>
      </c>
      <c r="AE102" s="28" t="n"/>
      <c r="AF102" s="28" t="n"/>
      <c r="AG102" s="29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1" t="n"/>
      <c r="AI102" s="21" t="n"/>
      <c r="AJ102" s="27">
        <f>SUM(AH102:AI102)</f>
        <v/>
      </c>
      <c r="AK102" s="28" t="n"/>
      <c r="AL102" s="28" t="n"/>
      <c r="AM102" s="29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1" t="n"/>
      <c r="AO102" s="21" t="n"/>
      <c r="AP102" s="27">
        <f>SUM(AN102:AO102)</f>
        <v/>
      </c>
      <c r="AQ102" s="28" t="n"/>
      <c r="AR102" s="30" t="n"/>
      <c r="AS102" s="29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1" t="n"/>
      <c r="AU102" s="21" t="n"/>
      <c r="AV102" s="27">
        <f>SUM(AT102:AU102)</f>
        <v/>
      </c>
      <c r="AW102" s="28" t="n"/>
      <c r="AX102" s="30" t="n"/>
      <c r="AY102" s="29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1" t="n"/>
      <c r="BA102" s="21" t="n"/>
      <c r="BB102" s="27">
        <f>SUM(AZ102:BA102)</f>
        <v/>
      </c>
      <c r="BC102" s="28" t="n"/>
      <c r="BD102" s="28" t="n"/>
      <c r="BE102" s="29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1" t="n"/>
      <c r="BG102" s="21" t="n"/>
      <c r="BH102" s="27">
        <f>SUM(BF102:BG102)</f>
        <v/>
      </c>
      <c r="BI102" s="28" t="n"/>
      <c r="BJ102" s="28" t="n"/>
      <c r="BK102" s="29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1" t="n"/>
      <c r="BM102" s="21" t="n"/>
      <c r="BN102" s="27">
        <f>SUM(BL102:BM102)</f>
        <v/>
      </c>
      <c r="BO102" s="28" t="n"/>
      <c r="BP102" s="31" t="n"/>
      <c r="BQ102" s="29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1" t="n"/>
      <c r="BS102" s="21" t="n"/>
      <c r="BT102" s="27">
        <f>SUM(BR102:BS102)</f>
        <v/>
      </c>
      <c r="BU102" s="28" t="n"/>
      <c r="BV102" s="31" t="n"/>
      <c r="BW102" s="29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1" t="n"/>
      <c r="BY102" s="21" t="n"/>
      <c r="BZ102" s="27">
        <f>SUM(BX102:BY102)</f>
        <v/>
      </c>
      <c r="CA102" s="28" t="n"/>
      <c r="CB102" s="31" t="n"/>
      <c r="CC102" s="29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1" t="n"/>
      <c r="CE102" s="21" t="n"/>
      <c r="CF102" s="27">
        <f>SUM(CD102:CE102)</f>
        <v/>
      </c>
      <c r="CG102" s="28" t="n"/>
      <c r="CH102" s="31" t="n"/>
      <c r="CI102" s="29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1" t="n"/>
      <c r="CK102" s="21" t="n"/>
      <c r="CL102" s="27">
        <f>SUM(CJ102:CK102)</f>
        <v/>
      </c>
      <c r="CM102" s="28" t="n"/>
      <c r="CN102" s="31" t="n"/>
      <c r="CO102" s="29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1" t="n"/>
      <c r="CQ102" s="21" t="n"/>
      <c r="CR102" s="27">
        <f>SUM(CP102:CQ102)</f>
        <v/>
      </c>
      <c r="CS102" s="28" t="n"/>
      <c r="CT102" s="31" t="n"/>
      <c r="CU102" s="29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1" t="n"/>
      <c r="CW102" s="21" t="n"/>
      <c r="CX102" s="27">
        <f>SUM(CV102:CW102)</f>
        <v/>
      </c>
      <c r="CY102" s="28" t="n"/>
      <c r="CZ102" s="31" t="n"/>
      <c r="DA102" s="29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1" t="n"/>
      <c r="DC102" s="21" t="n"/>
      <c r="DD102" s="27">
        <f>SUM(DB102:DC102)</f>
        <v/>
      </c>
      <c r="DE102" s="28" t="n"/>
      <c r="DF102" s="31" t="n"/>
      <c r="DG102" s="29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34">
        <f>SUM(O102,U102,AA102,AG102,AM102,AS102,AY102,BE102,BK102,BQ102,BW102,CC102,CI102,CO102,CU102,DA102,DG102)</f>
        <v/>
      </c>
      <c r="DI102" s="39">
        <f>RANK(DH102,DH$4:DH$503)</f>
        <v/>
      </c>
      <c r="DJ102" s="40" t="inlineStr">
        <is>
          <t>CHOOSE RATING</t>
        </is>
      </c>
      <c r="DK102" s="40" t="inlineStr">
        <is>
          <t>CHOOSE RATING</t>
        </is>
      </c>
      <c r="DL102" s="40" t="inlineStr">
        <is>
          <t>CHOOSE RATING</t>
        </is>
      </c>
      <c r="DM102" s="40" t="inlineStr">
        <is>
          <t>CHOOSE RATING</t>
        </is>
      </c>
      <c r="DN102" s="40" t="inlineStr">
        <is>
          <t>CHOOSE RATING</t>
        </is>
      </c>
      <c r="DO102" s="40" t="inlineStr">
        <is>
          <t>CHOOSE RATING</t>
        </is>
      </c>
      <c r="DP102" s="40" t="inlineStr">
        <is>
          <t>CHOOSE RATING</t>
        </is>
      </c>
      <c r="DQ102" s="40" t="inlineStr">
        <is>
          <t>CHOOSE RATING</t>
        </is>
      </c>
      <c r="DR102" s="43" t="inlineStr">
        <is>
          <t>2024/2025</t>
        </is>
      </c>
      <c r="DS102" s="45" t="inlineStr">
        <is>
          <t>THIRD</t>
        </is>
      </c>
      <c r="DT102" s="40" t="inlineStr">
        <is>
          <t>CHOOSE RATING</t>
        </is>
      </c>
      <c r="DU102" s="40" t="inlineStr">
        <is>
          <t>CHOOSE RATING</t>
        </is>
      </c>
      <c r="DV102" s="40" t="inlineStr">
        <is>
          <t>CHOOSE RATING</t>
        </is>
      </c>
      <c r="DW102" s="40" t="inlineStr">
        <is>
          <t>CHOOSE RATING</t>
        </is>
      </c>
      <c r="DX102" s="40" t="inlineStr">
        <is>
          <t>CHOOSE RATING</t>
        </is>
      </c>
      <c r="DY102" s="40" t="inlineStr">
        <is>
          <t>CHOOSE RATING</t>
        </is>
      </c>
      <c r="DZ102" s="53" t="inlineStr">
        <is>
          <t>CHOOSE RATING</t>
        </is>
      </c>
      <c r="EA102" s="54" t="inlineStr">
        <is>
          <t>Add the Tutor's Comment . . .</t>
        </is>
      </c>
      <c r="EB102" s="55" t="inlineStr">
        <is>
          <t>Choose Principals comment</t>
        </is>
      </c>
      <c r="EC102" s="56" t="n"/>
      <c r="ED102" s="57" t="inlineStr">
        <is>
          <t>Next Term Begins on Monday, 22nd September, 2025</t>
        </is>
      </c>
    </row>
    <row r="103" ht="30.6" customHeight="1" s="6">
      <c r="A103" s="18" t="n">
        <v>100</v>
      </c>
      <c r="B103" s="19" t="n"/>
      <c r="C103" s="20" t="n"/>
      <c r="D103" s="128" t="n"/>
      <c r="E103" s="21" t="n"/>
      <c r="F103" s="22" t="n"/>
      <c r="G103" s="22" t="n"/>
      <c r="H103" s="22" t="n"/>
      <c r="I103" s="26">
        <f>G103-H103</f>
        <v/>
      </c>
      <c r="J103" s="21" t="n"/>
      <c r="K103" s="21" t="n"/>
      <c r="L103" s="27">
        <f>SUM(J103:K103)</f>
        <v/>
      </c>
      <c r="M103" s="28" t="n"/>
      <c r="N103" s="28" t="n"/>
      <c r="O103" s="29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1" t="n"/>
      <c r="Q103" s="21" t="n"/>
      <c r="R103" s="27">
        <f>SUM(P103:Q103)</f>
        <v/>
      </c>
      <c r="S103" s="28" t="n"/>
      <c r="T103" s="28" t="n"/>
      <c r="U103" s="29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1" t="n"/>
      <c r="W103" s="21" t="n"/>
      <c r="X103" s="27">
        <f>SUM(V103:W103)</f>
        <v/>
      </c>
      <c r="Y103" s="28" t="n"/>
      <c r="Z103" s="28" t="n"/>
      <c r="AA103" s="29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1" t="n"/>
      <c r="AC103" s="21" t="n"/>
      <c r="AD103" s="27">
        <f>SUM(AB103:AC103)</f>
        <v/>
      </c>
      <c r="AE103" s="28" t="n"/>
      <c r="AF103" s="28" t="n"/>
      <c r="AG103" s="29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1" t="n"/>
      <c r="AI103" s="21" t="n"/>
      <c r="AJ103" s="27">
        <f>SUM(AH103:AI103)</f>
        <v/>
      </c>
      <c r="AK103" s="28" t="n"/>
      <c r="AL103" s="28" t="n"/>
      <c r="AM103" s="29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1" t="n"/>
      <c r="AO103" s="21" t="n"/>
      <c r="AP103" s="27">
        <f>SUM(AN103:AO103)</f>
        <v/>
      </c>
      <c r="AQ103" s="28" t="n"/>
      <c r="AR103" s="30" t="n"/>
      <c r="AS103" s="29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1" t="n"/>
      <c r="AU103" s="21" t="n"/>
      <c r="AV103" s="27">
        <f>SUM(AT103:AU103)</f>
        <v/>
      </c>
      <c r="AW103" s="28" t="n"/>
      <c r="AX103" s="30" t="n"/>
      <c r="AY103" s="29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1" t="n"/>
      <c r="BA103" s="21" t="n"/>
      <c r="BB103" s="27">
        <f>SUM(AZ103:BA103)</f>
        <v/>
      </c>
      <c r="BC103" s="28" t="n"/>
      <c r="BD103" s="28" t="n"/>
      <c r="BE103" s="29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1" t="n"/>
      <c r="BG103" s="21" t="n"/>
      <c r="BH103" s="27">
        <f>SUM(BF103:BG103)</f>
        <v/>
      </c>
      <c r="BI103" s="28" t="n"/>
      <c r="BJ103" s="28" t="n"/>
      <c r="BK103" s="29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1" t="n"/>
      <c r="BM103" s="21" t="n"/>
      <c r="BN103" s="27">
        <f>SUM(BL103:BM103)</f>
        <v/>
      </c>
      <c r="BO103" s="28" t="n"/>
      <c r="BP103" s="31" t="n"/>
      <c r="BQ103" s="29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1" t="n"/>
      <c r="BS103" s="21" t="n"/>
      <c r="BT103" s="27">
        <f>SUM(BR103:BS103)</f>
        <v/>
      </c>
      <c r="BU103" s="28" t="n"/>
      <c r="BV103" s="31" t="n"/>
      <c r="BW103" s="29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1" t="n"/>
      <c r="BY103" s="21" t="n"/>
      <c r="BZ103" s="27">
        <f>SUM(BX103:BY103)</f>
        <v/>
      </c>
      <c r="CA103" s="28" t="n"/>
      <c r="CB103" s="31" t="n"/>
      <c r="CC103" s="29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1" t="n"/>
      <c r="CE103" s="21" t="n"/>
      <c r="CF103" s="27">
        <f>SUM(CD103:CE103)</f>
        <v/>
      </c>
      <c r="CG103" s="28" t="n"/>
      <c r="CH103" s="31" t="n"/>
      <c r="CI103" s="29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1" t="n"/>
      <c r="CK103" s="21" t="n"/>
      <c r="CL103" s="27">
        <f>SUM(CJ103:CK103)</f>
        <v/>
      </c>
      <c r="CM103" s="28" t="n"/>
      <c r="CN103" s="31" t="n"/>
      <c r="CO103" s="29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1" t="n"/>
      <c r="CQ103" s="21" t="n"/>
      <c r="CR103" s="27">
        <f>SUM(CP103:CQ103)</f>
        <v/>
      </c>
      <c r="CS103" s="28" t="n"/>
      <c r="CT103" s="31" t="n"/>
      <c r="CU103" s="29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1" t="n"/>
      <c r="CW103" s="21" t="n"/>
      <c r="CX103" s="27">
        <f>SUM(CV103:CW103)</f>
        <v/>
      </c>
      <c r="CY103" s="28" t="n"/>
      <c r="CZ103" s="31" t="n"/>
      <c r="DA103" s="29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1" t="n"/>
      <c r="DC103" s="21" t="n"/>
      <c r="DD103" s="27">
        <f>SUM(DB103:DC103)</f>
        <v/>
      </c>
      <c r="DE103" s="28" t="n"/>
      <c r="DF103" s="31" t="n"/>
      <c r="DG103" s="29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34">
        <f>SUM(O103,U103,AA103,AG103,AM103,AS103,AY103,BE103,BK103,BQ103,BW103,CC103,CI103,CO103,CU103,DA103,DG103)</f>
        <v/>
      </c>
      <c r="DI103" s="39">
        <f>RANK(DH103,DH$4:DH$503)</f>
        <v/>
      </c>
      <c r="DJ103" s="40" t="inlineStr">
        <is>
          <t>CHOOSE RATING</t>
        </is>
      </c>
      <c r="DK103" s="40" t="inlineStr">
        <is>
          <t>CHOOSE RATING</t>
        </is>
      </c>
      <c r="DL103" s="40" t="inlineStr">
        <is>
          <t>CHOOSE RATING</t>
        </is>
      </c>
      <c r="DM103" s="40" t="inlineStr">
        <is>
          <t>CHOOSE RATING</t>
        </is>
      </c>
      <c r="DN103" s="40" t="inlineStr">
        <is>
          <t>CHOOSE RATING</t>
        </is>
      </c>
      <c r="DO103" s="40" t="inlineStr">
        <is>
          <t>CHOOSE RATING</t>
        </is>
      </c>
      <c r="DP103" s="40" t="inlineStr">
        <is>
          <t>CHOOSE RATING</t>
        </is>
      </c>
      <c r="DQ103" s="40" t="inlineStr">
        <is>
          <t>CHOOSE RATING</t>
        </is>
      </c>
      <c r="DR103" s="43" t="inlineStr">
        <is>
          <t>2024/2025</t>
        </is>
      </c>
      <c r="DS103" s="45" t="inlineStr">
        <is>
          <t>THIRD</t>
        </is>
      </c>
      <c r="DT103" s="40" t="inlineStr">
        <is>
          <t>CHOOSE RATING</t>
        </is>
      </c>
      <c r="DU103" s="40" t="inlineStr">
        <is>
          <t>CHOOSE RATING</t>
        </is>
      </c>
      <c r="DV103" s="40" t="inlineStr">
        <is>
          <t>CHOOSE RATING</t>
        </is>
      </c>
      <c r="DW103" s="40" t="inlineStr">
        <is>
          <t>CHOOSE RATING</t>
        </is>
      </c>
      <c r="DX103" s="40" t="inlineStr">
        <is>
          <t>CHOOSE RATING</t>
        </is>
      </c>
      <c r="DY103" s="40" t="inlineStr">
        <is>
          <t>CHOOSE RATING</t>
        </is>
      </c>
      <c r="DZ103" s="53" t="inlineStr">
        <is>
          <t>CHOOSE RATING</t>
        </is>
      </c>
      <c r="EA103" s="54" t="inlineStr">
        <is>
          <t>Add the Tutor's Comment . . .</t>
        </is>
      </c>
      <c r="EB103" s="55" t="inlineStr">
        <is>
          <t>Choose Principals comment</t>
        </is>
      </c>
      <c r="EC103" s="56" t="n"/>
      <c r="ED103" s="57" t="inlineStr">
        <is>
          <t>Next Term Begins on Monday, 22nd September, 2025</t>
        </is>
      </c>
    </row>
    <row r="104" ht="30.6" customHeight="1" s="6">
      <c r="A104" s="18" t="n">
        <v>101</v>
      </c>
      <c r="B104" s="19" t="n"/>
      <c r="C104" s="20" t="n"/>
      <c r="D104" s="128" t="n"/>
      <c r="E104" s="21" t="n"/>
      <c r="F104" s="22" t="n"/>
      <c r="G104" s="22" t="n"/>
      <c r="H104" s="22" t="n"/>
      <c r="I104" s="26">
        <f>G104-H104</f>
        <v/>
      </c>
      <c r="J104" s="21" t="n"/>
      <c r="K104" s="21" t="n"/>
      <c r="L104" s="27">
        <f>SUM(J104:K104)</f>
        <v/>
      </c>
      <c r="M104" s="28" t="n"/>
      <c r="N104" s="28" t="n"/>
      <c r="O104" s="29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1" t="n"/>
      <c r="Q104" s="21" t="n"/>
      <c r="R104" s="27">
        <f>SUM(P104:Q104)</f>
        <v/>
      </c>
      <c r="S104" s="28" t="n"/>
      <c r="T104" s="28" t="n"/>
      <c r="U104" s="29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1" t="n"/>
      <c r="W104" s="21" t="n"/>
      <c r="X104" s="27">
        <f>SUM(V104:W104)</f>
        <v/>
      </c>
      <c r="Y104" s="28" t="n"/>
      <c r="Z104" s="28" t="n"/>
      <c r="AA104" s="29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1" t="n"/>
      <c r="AC104" s="21" t="n"/>
      <c r="AD104" s="27">
        <f>SUM(AB104:AC104)</f>
        <v/>
      </c>
      <c r="AE104" s="28" t="n"/>
      <c r="AF104" s="28" t="n"/>
      <c r="AG104" s="29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1" t="n"/>
      <c r="AI104" s="21" t="n"/>
      <c r="AJ104" s="27">
        <f>SUM(AH104:AI104)</f>
        <v/>
      </c>
      <c r="AK104" s="28" t="n"/>
      <c r="AL104" s="28" t="n"/>
      <c r="AM104" s="29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1" t="n"/>
      <c r="AO104" s="21" t="n"/>
      <c r="AP104" s="27">
        <f>SUM(AN104:AO104)</f>
        <v/>
      </c>
      <c r="AQ104" s="28" t="n"/>
      <c r="AR104" s="30" t="n"/>
      <c r="AS104" s="29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1" t="n"/>
      <c r="AU104" s="21" t="n"/>
      <c r="AV104" s="27">
        <f>SUM(AT104:AU104)</f>
        <v/>
      </c>
      <c r="AW104" s="28" t="n"/>
      <c r="AX104" s="30" t="n"/>
      <c r="AY104" s="29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1" t="n"/>
      <c r="BA104" s="21" t="n"/>
      <c r="BB104" s="27">
        <f>SUM(AZ104:BA104)</f>
        <v/>
      </c>
      <c r="BC104" s="28" t="n"/>
      <c r="BD104" s="28" t="n"/>
      <c r="BE104" s="29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1" t="n"/>
      <c r="BG104" s="21" t="n"/>
      <c r="BH104" s="27">
        <f>SUM(BF104:BG104)</f>
        <v/>
      </c>
      <c r="BI104" s="28" t="n"/>
      <c r="BJ104" s="28" t="n"/>
      <c r="BK104" s="29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1" t="n"/>
      <c r="BM104" s="21" t="n"/>
      <c r="BN104" s="27">
        <f>SUM(BL104:BM104)</f>
        <v/>
      </c>
      <c r="BO104" s="28" t="n"/>
      <c r="BP104" s="31" t="n"/>
      <c r="BQ104" s="29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1" t="n"/>
      <c r="BS104" s="21" t="n"/>
      <c r="BT104" s="27">
        <f>SUM(BR104:BS104)</f>
        <v/>
      </c>
      <c r="BU104" s="28" t="n"/>
      <c r="BV104" s="31" t="n"/>
      <c r="BW104" s="29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1" t="n"/>
      <c r="BY104" s="21" t="n"/>
      <c r="BZ104" s="27">
        <f>SUM(BX104:BY104)</f>
        <v/>
      </c>
      <c r="CA104" s="28" t="n"/>
      <c r="CB104" s="31" t="n"/>
      <c r="CC104" s="29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1" t="n"/>
      <c r="CE104" s="21" t="n"/>
      <c r="CF104" s="27">
        <f>SUM(CD104:CE104)</f>
        <v/>
      </c>
      <c r="CG104" s="28" t="n"/>
      <c r="CH104" s="31" t="n"/>
      <c r="CI104" s="29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1" t="n"/>
      <c r="CK104" s="21" t="n"/>
      <c r="CL104" s="27">
        <f>SUM(CJ104:CK104)</f>
        <v/>
      </c>
      <c r="CM104" s="28" t="n"/>
      <c r="CN104" s="31" t="n"/>
      <c r="CO104" s="29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1" t="n"/>
      <c r="CQ104" s="21" t="n"/>
      <c r="CR104" s="27">
        <f>SUM(CP104:CQ104)</f>
        <v/>
      </c>
      <c r="CS104" s="28" t="n"/>
      <c r="CT104" s="31" t="n"/>
      <c r="CU104" s="29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1" t="n"/>
      <c r="CW104" s="21" t="n"/>
      <c r="CX104" s="27">
        <f>SUM(CV104:CW104)</f>
        <v/>
      </c>
      <c r="CY104" s="28" t="n"/>
      <c r="CZ104" s="31" t="n"/>
      <c r="DA104" s="29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1" t="n"/>
      <c r="DC104" s="21" t="n"/>
      <c r="DD104" s="27">
        <f>SUM(DB104:DC104)</f>
        <v/>
      </c>
      <c r="DE104" s="28" t="n"/>
      <c r="DF104" s="31" t="n"/>
      <c r="DG104" s="29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34">
        <f>SUM(O104,U104,AA104,AG104,AM104,AS104,AY104,BE104,BK104,BQ104,BW104,CC104,CI104,CO104,CU104,DA104,DG104)</f>
        <v/>
      </c>
      <c r="DI104" s="39">
        <f>RANK(DH104,DH$4:DH$503)</f>
        <v/>
      </c>
      <c r="DJ104" s="40" t="inlineStr">
        <is>
          <t>CHOOSE RATING</t>
        </is>
      </c>
      <c r="DK104" s="40" t="inlineStr">
        <is>
          <t>CHOOSE RATING</t>
        </is>
      </c>
      <c r="DL104" s="40" t="inlineStr">
        <is>
          <t>CHOOSE RATING</t>
        </is>
      </c>
      <c r="DM104" s="40" t="inlineStr">
        <is>
          <t>CHOOSE RATING</t>
        </is>
      </c>
      <c r="DN104" s="40" t="inlineStr">
        <is>
          <t>CHOOSE RATING</t>
        </is>
      </c>
      <c r="DO104" s="40" t="inlineStr">
        <is>
          <t>CHOOSE RATING</t>
        </is>
      </c>
      <c r="DP104" s="40" t="inlineStr">
        <is>
          <t>CHOOSE RATING</t>
        </is>
      </c>
      <c r="DQ104" s="40" t="inlineStr">
        <is>
          <t>CHOOSE RATING</t>
        </is>
      </c>
      <c r="DR104" s="43" t="inlineStr">
        <is>
          <t>2024/2025</t>
        </is>
      </c>
      <c r="DS104" s="45" t="inlineStr">
        <is>
          <t>THIRD</t>
        </is>
      </c>
      <c r="DT104" s="40" t="inlineStr">
        <is>
          <t>CHOOSE RATING</t>
        </is>
      </c>
      <c r="DU104" s="40" t="inlineStr">
        <is>
          <t>CHOOSE RATING</t>
        </is>
      </c>
      <c r="DV104" s="40" t="inlineStr">
        <is>
          <t>CHOOSE RATING</t>
        </is>
      </c>
      <c r="DW104" s="40" t="inlineStr">
        <is>
          <t>CHOOSE RATING</t>
        </is>
      </c>
      <c r="DX104" s="40" t="inlineStr">
        <is>
          <t>CHOOSE RATING</t>
        </is>
      </c>
      <c r="DY104" s="40" t="inlineStr">
        <is>
          <t>CHOOSE RATING</t>
        </is>
      </c>
      <c r="DZ104" s="53" t="inlineStr">
        <is>
          <t>CHOOSE RATING</t>
        </is>
      </c>
      <c r="EA104" s="54" t="inlineStr">
        <is>
          <t>Add the Tutor's Comment . . .</t>
        </is>
      </c>
      <c r="EB104" s="55" t="inlineStr">
        <is>
          <t>Choose Principals comment</t>
        </is>
      </c>
      <c r="EC104" s="56" t="n"/>
      <c r="ED104" s="57" t="inlineStr">
        <is>
          <t>Next Term Begins on Monday, 22nd September, 2025</t>
        </is>
      </c>
    </row>
    <row r="105" ht="30.6" customHeight="1" s="6">
      <c r="A105" s="18" t="n">
        <v>102</v>
      </c>
      <c r="B105" s="19" t="n"/>
      <c r="C105" s="20" t="n"/>
      <c r="D105" s="128" t="n"/>
      <c r="E105" s="21" t="n"/>
      <c r="F105" s="22" t="n"/>
      <c r="G105" s="22" t="n"/>
      <c r="H105" s="22" t="n"/>
      <c r="I105" s="26">
        <f>G105-H105</f>
        <v/>
      </c>
      <c r="J105" s="21" t="n"/>
      <c r="K105" s="21" t="n"/>
      <c r="L105" s="27">
        <f>SUM(J105:K105)</f>
        <v/>
      </c>
      <c r="M105" s="28" t="n"/>
      <c r="N105" s="28" t="n"/>
      <c r="O105" s="29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1" t="n"/>
      <c r="Q105" s="21" t="n"/>
      <c r="R105" s="27">
        <f>SUM(P105:Q105)</f>
        <v/>
      </c>
      <c r="S105" s="28" t="n"/>
      <c r="T105" s="28" t="n"/>
      <c r="U105" s="29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1" t="n"/>
      <c r="W105" s="21" t="n"/>
      <c r="X105" s="27">
        <f>SUM(V105:W105)</f>
        <v/>
      </c>
      <c r="Y105" s="28" t="n"/>
      <c r="Z105" s="28" t="n"/>
      <c r="AA105" s="29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1" t="n"/>
      <c r="AC105" s="21" t="n"/>
      <c r="AD105" s="27">
        <f>SUM(AB105:AC105)</f>
        <v/>
      </c>
      <c r="AE105" s="28" t="n"/>
      <c r="AF105" s="28" t="n"/>
      <c r="AG105" s="29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1" t="n"/>
      <c r="AI105" s="21" t="n"/>
      <c r="AJ105" s="27">
        <f>SUM(AH105:AI105)</f>
        <v/>
      </c>
      <c r="AK105" s="28" t="n"/>
      <c r="AL105" s="28" t="n"/>
      <c r="AM105" s="29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1" t="n"/>
      <c r="AO105" s="21" t="n"/>
      <c r="AP105" s="27">
        <f>SUM(AN105:AO105)</f>
        <v/>
      </c>
      <c r="AQ105" s="28" t="n"/>
      <c r="AR105" s="30" t="n"/>
      <c r="AS105" s="29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1" t="n"/>
      <c r="AU105" s="21" t="n"/>
      <c r="AV105" s="27">
        <f>SUM(AT105:AU105)</f>
        <v/>
      </c>
      <c r="AW105" s="28" t="n"/>
      <c r="AX105" s="30" t="n"/>
      <c r="AY105" s="29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1" t="n"/>
      <c r="BA105" s="21" t="n"/>
      <c r="BB105" s="27">
        <f>SUM(AZ105:BA105)</f>
        <v/>
      </c>
      <c r="BC105" s="28" t="n"/>
      <c r="BD105" s="28" t="n"/>
      <c r="BE105" s="29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1" t="n"/>
      <c r="BG105" s="21" t="n"/>
      <c r="BH105" s="27">
        <f>SUM(BF105:BG105)</f>
        <v/>
      </c>
      <c r="BI105" s="28" t="n"/>
      <c r="BJ105" s="28" t="n"/>
      <c r="BK105" s="29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1" t="n"/>
      <c r="BM105" s="21" t="n"/>
      <c r="BN105" s="27">
        <f>SUM(BL105:BM105)</f>
        <v/>
      </c>
      <c r="BO105" s="28" t="n"/>
      <c r="BP105" s="31" t="n"/>
      <c r="BQ105" s="29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1" t="n"/>
      <c r="BS105" s="21" t="n"/>
      <c r="BT105" s="27">
        <f>SUM(BR105:BS105)</f>
        <v/>
      </c>
      <c r="BU105" s="28" t="n"/>
      <c r="BV105" s="31" t="n"/>
      <c r="BW105" s="29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1" t="n"/>
      <c r="BY105" s="21" t="n"/>
      <c r="BZ105" s="27">
        <f>SUM(BX105:BY105)</f>
        <v/>
      </c>
      <c r="CA105" s="28" t="n"/>
      <c r="CB105" s="31" t="n"/>
      <c r="CC105" s="29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1" t="n"/>
      <c r="CE105" s="21" t="n"/>
      <c r="CF105" s="27">
        <f>SUM(CD105:CE105)</f>
        <v/>
      </c>
      <c r="CG105" s="28" t="n"/>
      <c r="CH105" s="31" t="n"/>
      <c r="CI105" s="29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1" t="n"/>
      <c r="CK105" s="21" t="n"/>
      <c r="CL105" s="27">
        <f>SUM(CJ105:CK105)</f>
        <v/>
      </c>
      <c r="CM105" s="28" t="n"/>
      <c r="CN105" s="31" t="n"/>
      <c r="CO105" s="29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1" t="n"/>
      <c r="CQ105" s="21" t="n"/>
      <c r="CR105" s="27">
        <f>SUM(CP105:CQ105)</f>
        <v/>
      </c>
      <c r="CS105" s="28" t="n"/>
      <c r="CT105" s="31" t="n"/>
      <c r="CU105" s="29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1" t="n"/>
      <c r="CW105" s="21" t="n"/>
      <c r="CX105" s="27">
        <f>SUM(CV105:CW105)</f>
        <v/>
      </c>
      <c r="CY105" s="28" t="n"/>
      <c r="CZ105" s="31" t="n"/>
      <c r="DA105" s="29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1" t="n"/>
      <c r="DC105" s="21" t="n"/>
      <c r="DD105" s="27">
        <f>SUM(DB105:DC105)</f>
        <v/>
      </c>
      <c r="DE105" s="28" t="n"/>
      <c r="DF105" s="31" t="n"/>
      <c r="DG105" s="29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34">
        <f>SUM(O105,U105,AA105,AG105,AM105,AS105,AY105,BE105,BK105,BQ105,BW105,CC105,CI105,CO105,CU105,DA105,DG105)</f>
        <v/>
      </c>
      <c r="DI105" s="39">
        <f>RANK(DH105,DH$4:DH$503)</f>
        <v/>
      </c>
      <c r="DJ105" s="40" t="inlineStr">
        <is>
          <t>CHOOSE RATING</t>
        </is>
      </c>
      <c r="DK105" s="40" t="inlineStr">
        <is>
          <t>CHOOSE RATING</t>
        </is>
      </c>
      <c r="DL105" s="40" t="inlineStr">
        <is>
          <t>CHOOSE RATING</t>
        </is>
      </c>
      <c r="DM105" s="40" t="inlineStr">
        <is>
          <t>CHOOSE RATING</t>
        </is>
      </c>
      <c r="DN105" s="40" t="inlineStr">
        <is>
          <t>CHOOSE RATING</t>
        </is>
      </c>
      <c r="DO105" s="40" t="inlineStr">
        <is>
          <t>CHOOSE RATING</t>
        </is>
      </c>
      <c r="DP105" s="40" t="inlineStr">
        <is>
          <t>CHOOSE RATING</t>
        </is>
      </c>
      <c r="DQ105" s="40" t="inlineStr">
        <is>
          <t>CHOOSE RATING</t>
        </is>
      </c>
      <c r="DR105" s="43" t="inlineStr">
        <is>
          <t>2024/2025</t>
        </is>
      </c>
      <c r="DS105" s="45" t="inlineStr">
        <is>
          <t>THIRD</t>
        </is>
      </c>
      <c r="DT105" s="40" t="inlineStr">
        <is>
          <t>CHOOSE RATING</t>
        </is>
      </c>
      <c r="DU105" s="40" t="inlineStr">
        <is>
          <t>CHOOSE RATING</t>
        </is>
      </c>
      <c r="DV105" s="40" t="inlineStr">
        <is>
          <t>CHOOSE RATING</t>
        </is>
      </c>
      <c r="DW105" s="40" t="inlineStr">
        <is>
          <t>CHOOSE RATING</t>
        </is>
      </c>
      <c r="DX105" s="40" t="inlineStr">
        <is>
          <t>CHOOSE RATING</t>
        </is>
      </c>
      <c r="DY105" s="40" t="inlineStr">
        <is>
          <t>CHOOSE RATING</t>
        </is>
      </c>
      <c r="DZ105" s="53" t="inlineStr">
        <is>
          <t>CHOOSE RATING</t>
        </is>
      </c>
      <c r="EA105" s="54" t="inlineStr">
        <is>
          <t>Add the Tutor's Comment . . .</t>
        </is>
      </c>
      <c r="EB105" s="55" t="inlineStr">
        <is>
          <t>Choose Principals comment</t>
        </is>
      </c>
      <c r="EC105" s="56" t="n"/>
      <c r="ED105" s="57" t="inlineStr">
        <is>
          <t>Next Term Begins on Monday, 22nd September, 2025</t>
        </is>
      </c>
    </row>
    <row r="106" ht="30.6" customHeight="1" s="6">
      <c r="A106" s="18" t="n">
        <v>103</v>
      </c>
      <c r="B106" s="19" t="n"/>
      <c r="C106" s="20" t="n"/>
      <c r="D106" s="128" t="n"/>
      <c r="E106" s="21" t="n"/>
      <c r="F106" s="22" t="n"/>
      <c r="G106" s="22" t="n"/>
      <c r="H106" s="22" t="n"/>
      <c r="I106" s="26">
        <f>G106-H106</f>
        <v/>
      </c>
      <c r="J106" s="21" t="n"/>
      <c r="K106" s="21" t="n"/>
      <c r="L106" s="27">
        <f>SUM(J106:K106)</f>
        <v/>
      </c>
      <c r="M106" s="28" t="n"/>
      <c r="N106" s="28" t="n"/>
      <c r="O106" s="29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1" t="n"/>
      <c r="Q106" s="21" t="n"/>
      <c r="R106" s="27">
        <f>SUM(P106:Q106)</f>
        <v/>
      </c>
      <c r="S106" s="28" t="n"/>
      <c r="T106" s="28" t="n"/>
      <c r="U106" s="29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1" t="n"/>
      <c r="W106" s="21" t="n"/>
      <c r="X106" s="27">
        <f>SUM(V106:W106)</f>
        <v/>
      </c>
      <c r="Y106" s="28" t="n"/>
      <c r="Z106" s="28" t="n"/>
      <c r="AA106" s="29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1" t="n"/>
      <c r="AC106" s="21" t="n"/>
      <c r="AD106" s="27">
        <f>SUM(AB106:AC106)</f>
        <v/>
      </c>
      <c r="AE106" s="28" t="n"/>
      <c r="AF106" s="28" t="n"/>
      <c r="AG106" s="29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1" t="n"/>
      <c r="AI106" s="21" t="n"/>
      <c r="AJ106" s="27">
        <f>SUM(AH106:AI106)</f>
        <v/>
      </c>
      <c r="AK106" s="28" t="n"/>
      <c r="AL106" s="28" t="n"/>
      <c r="AM106" s="29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1" t="n"/>
      <c r="AO106" s="21" t="n"/>
      <c r="AP106" s="27">
        <f>SUM(AN106:AO106)</f>
        <v/>
      </c>
      <c r="AQ106" s="28" t="n"/>
      <c r="AR106" s="30" t="n"/>
      <c r="AS106" s="29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1" t="n"/>
      <c r="AU106" s="21" t="n"/>
      <c r="AV106" s="27">
        <f>SUM(AT106:AU106)</f>
        <v/>
      </c>
      <c r="AW106" s="28" t="n"/>
      <c r="AX106" s="30" t="n"/>
      <c r="AY106" s="29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1" t="n"/>
      <c r="BA106" s="21" t="n"/>
      <c r="BB106" s="27">
        <f>SUM(AZ106:BA106)</f>
        <v/>
      </c>
      <c r="BC106" s="28" t="n"/>
      <c r="BD106" s="28" t="n"/>
      <c r="BE106" s="29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1" t="n"/>
      <c r="BG106" s="21" t="n"/>
      <c r="BH106" s="27">
        <f>SUM(BF106:BG106)</f>
        <v/>
      </c>
      <c r="BI106" s="28" t="n"/>
      <c r="BJ106" s="28" t="n"/>
      <c r="BK106" s="29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1" t="n"/>
      <c r="BM106" s="21" t="n"/>
      <c r="BN106" s="27">
        <f>SUM(BL106:BM106)</f>
        <v/>
      </c>
      <c r="BO106" s="28" t="n"/>
      <c r="BP106" s="31" t="n"/>
      <c r="BQ106" s="29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1" t="n"/>
      <c r="BS106" s="21" t="n"/>
      <c r="BT106" s="27">
        <f>SUM(BR106:BS106)</f>
        <v/>
      </c>
      <c r="BU106" s="28" t="n"/>
      <c r="BV106" s="31" t="n"/>
      <c r="BW106" s="29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1" t="n"/>
      <c r="BY106" s="21" t="n"/>
      <c r="BZ106" s="27">
        <f>SUM(BX106:BY106)</f>
        <v/>
      </c>
      <c r="CA106" s="28" t="n"/>
      <c r="CB106" s="31" t="n"/>
      <c r="CC106" s="29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1" t="n"/>
      <c r="CE106" s="21" t="n"/>
      <c r="CF106" s="27">
        <f>SUM(CD106:CE106)</f>
        <v/>
      </c>
      <c r="CG106" s="28" t="n"/>
      <c r="CH106" s="31" t="n"/>
      <c r="CI106" s="29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1" t="n"/>
      <c r="CK106" s="21" t="n"/>
      <c r="CL106" s="27">
        <f>SUM(CJ106:CK106)</f>
        <v/>
      </c>
      <c r="CM106" s="28" t="n"/>
      <c r="CN106" s="31" t="n"/>
      <c r="CO106" s="29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1" t="n"/>
      <c r="CQ106" s="21" t="n"/>
      <c r="CR106" s="27">
        <f>SUM(CP106:CQ106)</f>
        <v/>
      </c>
      <c r="CS106" s="28" t="n"/>
      <c r="CT106" s="31" t="n"/>
      <c r="CU106" s="29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1" t="n"/>
      <c r="CW106" s="21" t="n"/>
      <c r="CX106" s="27">
        <f>SUM(CV106:CW106)</f>
        <v/>
      </c>
      <c r="CY106" s="28" t="n"/>
      <c r="CZ106" s="31" t="n"/>
      <c r="DA106" s="29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1" t="n"/>
      <c r="DC106" s="21" t="n"/>
      <c r="DD106" s="27">
        <f>SUM(DB106:DC106)</f>
        <v/>
      </c>
      <c r="DE106" s="28" t="n"/>
      <c r="DF106" s="31" t="n"/>
      <c r="DG106" s="29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34">
        <f>SUM(O106,U106,AA106,AG106,AM106,AS106,AY106,BE106,BK106,BQ106,BW106,CC106,CI106,CO106,CU106,DA106,DG106)</f>
        <v/>
      </c>
      <c r="DI106" s="39">
        <f>RANK(DH106,DH$4:DH$503)</f>
        <v/>
      </c>
      <c r="DJ106" s="40" t="inlineStr">
        <is>
          <t>CHOOSE RATING</t>
        </is>
      </c>
      <c r="DK106" s="40" t="inlineStr">
        <is>
          <t>CHOOSE RATING</t>
        </is>
      </c>
      <c r="DL106" s="40" t="inlineStr">
        <is>
          <t>CHOOSE RATING</t>
        </is>
      </c>
      <c r="DM106" s="40" t="inlineStr">
        <is>
          <t>CHOOSE RATING</t>
        </is>
      </c>
      <c r="DN106" s="40" t="inlineStr">
        <is>
          <t>CHOOSE RATING</t>
        </is>
      </c>
      <c r="DO106" s="40" t="inlineStr">
        <is>
          <t>CHOOSE RATING</t>
        </is>
      </c>
      <c r="DP106" s="40" t="inlineStr">
        <is>
          <t>CHOOSE RATING</t>
        </is>
      </c>
      <c r="DQ106" s="40" t="inlineStr">
        <is>
          <t>CHOOSE RATING</t>
        </is>
      </c>
      <c r="DR106" s="43" t="inlineStr">
        <is>
          <t>2024/2025</t>
        </is>
      </c>
      <c r="DS106" s="45" t="inlineStr">
        <is>
          <t>THIRD</t>
        </is>
      </c>
      <c r="DT106" s="40" t="inlineStr">
        <is>
          <t>CHOOSE RATING</t>
        </is>
      </c>
      <c r="DU106" s="40" t="inlineStr">
        <is>
          <t>CHOOSE RATING</t>
        </is>
      </c>
      <c r="DV106" s="40" t="inlineStr">
        <is>
          <t>CHOOSE RATING</t>
        </is>
      </c>
      <c r="DW106" s="40" t="inlineStr">
        <is>
          <t>CHOOSE RATING</t>
        </is>
      </c>
      <c r="DX106" s="40" t="inlineStr">
        <is>
          <t>CHOOSE RATING</t>
        </is>
      </c>
      <c r="DY106" s="40" t="inlineStr">
        <is>
          <t>CHOOSE RATING</t>
        </is>
      </c>
      <c r="DZ106" s="53" t="inlineStr">
        <is>
          <t>CHOOSE RATING</t>
        </is>
      </c>
      <c r="EA106" s="54" t="inlineStr">
        <is>
          <t>Add the Tutor's Comment . . .</t>
        </is>
      </c>
      <c r="EB106" s="55" t="inlineStr">
        <is>
          <t>Choose Principals comment</t>
        </is>
      </c>
      <c r="EC106" s="56" t="n"/>
      <c r="ED106" s="57" t="inlineStr">
        <is>
          <t>Next Term Begins on Monday, 22nd September, 2025</t>
        </is>
      </c>
    </row>
    <row r="107" ht="30.6" customHeight="1" s="6">
      <c r="A107" s="18" t="n">
        <v>104</v>
      </c>
      <c r="B107" s="19" t="n"/>
      <c r="C107" s="20" t="n"/>
      <c r="D107" s="128" t="n"/>
      <c r="E107" s="21" t="n"/>
      <c r="F107" s="22" t="n"/>
      <c r="G107" s="22" t="n"/>
      <c r="H107" s="22" t="n"/>
      <c r="I107" s="26">
        <f>G107-H107</f>
        <v/>
      </c>
      <c r="J107" s="21" t="n"/>
      <c r="K107" s="21" t="n"/>
      <c r="L107" s="27">
        <f>SUM(J107:K107)</f>
        <v/>
      </c>
      <c r="M107" s="28" t="n"/>
      <c r="N107" s="28" t="n"/>
      <c r="O107" s="29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1" t="n"/>
      <c r="Q107" s="21" t="n"/>
      <c r="R107" s="27">
        <f>SUM(P107:Q107)</f>
        <v/>
      </c>
      <c r="S107" s="28" t="n"/>
      <c r="T107" s="28" t="n"/>
      <c r="U107" s="29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1" t="n"/>
      <c r="W107" s="21" t="n"/>
      <c r="X107" s="27">
        <f>SUM(V107:W107)</f>
        <v/>
      </c>
      <c r="Y107" s="28" t="n"/>
      <c r="Z107" s="28" t="n"/>
      <c r="AA107" s="29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1" t="n"/>
      <c r="AC107" s="21" t="n"/>
      <c r="AD107" s="27">
        <f>SUM(AB107:AC107)</f>
        <v/>
      </c>
      <c r="AE107" s="28" t="n"/>
      <c r="AF107" s="28" t="n"/>
      <c r="AG107" s="29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1" t="n"/>
      <c r="AI107" s="21" t="n"/>
      <c r="AJ107" s="27">
        <f>SUM(AH107:AI107)</f>
        <v/>
      </c>
      <c r="AK107" s="28" t="n"/>
      <c r="AL107" s="28" t="n"/>
      <c r="AM107" s="29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1" t="n"/>
      <c r="AO107" s="21" t="n"/>
      <c r="AP107" s="27">
        <f>SUM(AN107:AO107)</f>
        <v/>
      </c>
      <c r="AQ107" s="28" t="n"/>
      <c r="AR107" s="30" t="n"/>
      <c r="AS107" s="29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1" t="n"/>
      <c r="AU107" s="21" t="n"/>
      <c r="AV107" s="27">
        <f>SUM(AT107:AU107)</f>
        <v/>
      </c>
      <c r="AW107" s="28" t="n"/>
      <c r="AX107" s="30" t="n"/>
      <c r="AY107" s="29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1" t="n"/>
      <c r="BA107" s="21" t="n"/>
      <c r="BB107" s="27">
        <f>SUM(AZ107:BA107)</f>
        <v/>
      </c>
      <c r="BC107" s="28" t="n"/>
      <c r="BD107" s="28" t="n"/>
      <c r="BE107" s="29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1" t="n"/>
      <c r="BG107" s="21" t="n"/>
      <c r="BH107" s="27">
        <f>SUM(BF107:BG107)</f>
        <v/>
      </c>
      <c r="BI107" s="28" t="n"/>
      <c r="BJ107" s="28" t="n"/>
      <c r="BK107" s="29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1" t="n"/>
      <c r="BM107" s="21" t="n"/>
      <c r="BN107" s="27">
        <f>SUM(BL107:BM107)</f>
        <v/>
      </c>
      <c r="BO107" s="28" t="n"/>
      <c r="BP107" s="31" t="n"/>
      <c r="BQ107" s="29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1" t="n"/>
      <c r="BS107" s="21" t="n"/>
      <c r="BT107" s="27">
        <f>SUM(BR107:BS107)</f>
        <v/>
      </c>
      <c r="BU107" s="28" t="n"/>
      <c r="BV107" s="31" t="n"/>
      <c r="BW107" s="29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1" t="n"/>
      <c r="BY107" s="21" t="n"/>
      <c r="BZ107" s="27">
        <f>SUM(BX107:BY107)</f>
        <v/>
      </c>
      <c r="CA107" s="28" t="n"/>
      <c r="CB107" s="31" t="n"/>
      <c r="CC107" s="29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1" t="n"/>
      <c r="CE107" s="21" t="n"/>
      <c r="CF107" s="27">
        <f>SUM(CD107:CE107)</f>
        <v/>
      </c>
      <c r="CG107" s="28" t="n"/>
      <c r="CH107" s="31" t="n"/>
      <c r="CI107" s="29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1" t="n"/>
      <c r="CK107" s="21" t="n"/>
      <c r="CL107" s="27">
        <f>SUM(CJ107:CK107)</f>
        <v/>
      </c>
      <c r="CM107" s="28" t="n"/>
      <c r="CN107" s="31" t="n"/>
      <c r="CO107" s="29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1" t="n"/>
      <c r="CQ107" s="21" t="n"/>
      <c r="CR107" s="27">
        <f>SUM(CP107:CQ107)</f>
        <v/>
      </c>
      <c r="CS107" s="28" t="n"/>
      <c r="CT107" s="31" t="n"/>
      <c r="CU107" s="29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1" t="n"/>
      <c r="CW107" s="21" t="n"/>
      <c r="CX107" s="27">
        <f>SUM(CV107:CW107)</f>
        <v/>
      </c>
      <c r="CY107" s="28" t="n"/>
      <c r="CZ107" s="31" t="n"/>
      <c r="DA107" s="29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1" t="n"/>
      <c r="DC107" s="21" t="n"/>
      <c r="DD107" s="27">
        <f>SUM(DB107:DC107)</f>
        <v/>
      </c>
      <c r="DE107" s="28" t="n"/>
      <c r="DF107" s="31" t="n"/>
      <c r="DG107" s="29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34">
        <f>SUM(O107,U107,AA107,AG107,AM107,AS107,AY107,BE107,BK107,BQ107,BW107,CC107,CI107,CO107,CU107,DA107,DG107)</f>
        <v/>
      </c>
      <c r="DI107" s="39">
        <f>RANK(DH107,DH$4:DH$503)</f>
        <v/>
      </c>
      <c r="DJ107" s="40" t="inlineStr">
        <is>
          <t>CHOOSE RATING</t>
        </is>
      </c>
      <c r="DK107" s="40" t="inlineStr">
        <is>
          <t>CHOOSE RATING</t>
        </is>
      </c>
      <c r="DL107" s="40" t="inlineStr">
        <is>
          <t>CHOOSE RATING</t>
        </is>
      </c>
      <c r="DM107" s="40" t="inlineStr">
        <is>
          <t>CHOOSE RATING</t>
        </is>
      </c>
      <c r="DN107" s="40" t="inlineStr">
        <is>
          <t>CHOOSE RATING</t>
        </is>
      </c>
      <c r="DO107" s="40" t="inlineStr">
        <is>
          <t>CHOOSE RATING</t>
        </is>
      </c>
      <c r="DP107" s="40" t="inlineStr">
        <is>
          <t>CHOOSE RATING</t>
        </is>
      </c>
      <c r="DQ107" s="40" t="inlineStr">
        <is>
          <t>CHOOSE RATING</t>
        </is>
      </c>
      <c r="DR107" s="43" t="inlineStr">
        <is>
          <t>2024/2025</t>
        </is>
      </c>
      <c r="DS107" s="45" t="inlineStr">
        <is>
          <t>THIRD</t>
        </is>
      </c>
      <c r="DT107" s="40" t="inlineStr">
        <is>
          <t>CHOOSE RATING</t>
        </is>
      </c>
      <c r="DU107" s="40" t="inlineStr">
        <is>
          <t>CHOOSE RATING</t>
        </is>
      </c>
      <c r="DV107" s="40" t="inlineStr">
        <is>
          <t>CHOOSE RATING</t>
        </is>
      </c>
      <c r="DW107" s="40" t="inlineStr">
        <is>
          <t>CHOOSE RATING</t>
        </is>
      </c>
      <c r="DX107" s="40" t="inlineStr">
        <is>
          <t>CHOOSE RATING</t>
        </is>
      </c>
      <c r="DY107" s="40" t="inlineStr">
        <is>
          <t>CHOOSE RATING</t>
        </is>
      </c>
      <c r="DZ107" s="53" t="inlineStr">
        <is>
          <t>CHOOSE RATING</t>
        </is>
      </c>
      <c r="EA107" s="54" t="inlineStr">
        <is>
          <t>Add the Tutor's Comment . . .</t>
        </is>
      </c>
      <c r="EB107" s="55" t="inlineStr">
        <is>
          <t>Choose Principals comment</t>
        </is>
      </c>
      <c r="EC107" s="56" t="n"/>
      <c r="ED107" s="57" t="inlineStr">
        <is>
          <t>Next Term Begins on Monday, 22nd September, 2025</t>
        </is>
      </c>
    </row>
    <row r="108" ht="30.6" customHeight="1" s="6">
      <c r="A108" s="18" t="n">
        <v>105</v>
      </c>
      <c r="B108" s="19" t="n"/>
      <c r="C108" s="20" t="n"/>
      <c r="D108" s="128" t="n"/>
      <c r="E108" s="21" t="n"/>
      <c r="F108" s="22" t="n"/>
      <c r="G108" s="22" t="n"/>
      <c r="H108" s="22" t="n"/>
      <c r="I108" s="26">
        <f>G108-H108</f>
        <v/>
      </c>
      <c r="J108" s="21" t="n"/>
      <c r="K108" s="21" t="n"/>
      <c r="L108" s="27">
        <f>SUM(J108:K108)</f>
        <v/>
      </c>
      <c r="M108" s="28" t="n"/>
      <c r="N108" s="28" t="n"/>
      <c r="O108" s="29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1" t="n"/>
      <c r="Q108" s="21" t="n"/>
      <c r="R108" s="27">
        <f>SUM(P108:Q108)</f>
        <v/>
      </c>
      <c r="S108" s="28" t="n"/>
      <c r="T108" s="28" t="n"/>
      <c r="U108" s="29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1" t="n"/>
      <c r="W108" s="21" t="n"/>
      <c r="X108" s="27">
        <f>SUM(V108:W108)</f>
        <v/>
      </c>
      <c r="Y108" s="28" t="n"/>
      <c r="Z108" s="28" t="n"/>
      <c r="AA108" s="29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1" t="n"/>
      <c r="AC108" s="21" t="n"/>
      <c r="AD108" s="27">
        <f>SUM(AB108:AC108)</f>
        <v/>
      </c>
      <c r="AE108" s="28" t="n"/>
      <c r="AF108" s="28" t="n"/>
      <c r="AG108" s="29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1" t="n"/>
      <c r="AI108" s="21" t="n"/>
      <c r="AJ108" s="27">
        <f>SUM(AH108:AI108)</f>
        <v/>
      </c>
      <c r="AK108" s="28" t="n"/>
      <c r="AL108" s="28" t="n"/>
      <c r="AM108" s="29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1" t="n"/>
      <c r="AO108" s="21" t="n"/>
      <c r="AP108" s="27">
        <f>SUM(AN108:AO108)</f>
        <v/>
      </c>
      <c r="AQ108" s="28" t="n"/>
      <c r="AR108" s="30" t="n"/>
      <c r="AS108" s="29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1" t="n"/>
      <c r="AU108" s="21" t="n"/>
      <c r="AV108" s="27">
        <f>SUM(AT108:AU108)</f>
        <v/>
      </c>
      <c r="AW108" s="28" t="n"/>
      <c r="AX108" s="30" t="n"/>
      <c r="AY108" s="29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1" t="n"/>
      <c r="BA108" s="21" t="n"/>
      <c r="BB108" s="27">
        <f>SUM(AZ108:BA108)</f>
        <v/>
      </c>
      <c r="BC108" s="28" t="n"/>
      <c r="BD108" s="28" t="n"/>
      <c r="BE108" s="29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1" t="n"/>
      <c r="BG108" s="21" t="n"/>
      <c r="BH108" s="27">
        <f>SUM(BF108:BG108)</f>
        <v/>
      </c>
      <c r="BI108" s="28" t="n"/>
      <c r="BJ108" s="28" t="n"/>
      <c r="BK108" s="29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1" t="n"/>
      <c r="BM108" s="21" t="n"/>
      <c r="BN108" s="27">
        <f>SUM(BL108:BM108)</f>
        <v/>
      </c>
      <c r="BO108" s="28" t="n"/>
      <c r="BP108" s="31" t="n"/>
      <c r="BQ108" s="29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1" t="n"/>
      <c r="BS108" s="21" t="n"/>
      <c r="BT108" s="27">
        <f>SUM(BR108:BS108)</f>
        <v/>
      </c>
      <c r="BU108" s="28" t="n"/>
      <c r="BV108" s="31" t="n"/>
      <c r="BW108" s="29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1" t="n"/>
      <c r="BY108" s="21" t="n"/>
      <c r="BZ108" s="27">
        <f>SUM(BX108:BY108)</f>
        <v/>
      </c>
      <c r="CA108" s="28" t="n"/>
      <c r="CB108" s="31" t="n"/>
      <c r="CC108" s="29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1" t="n"/>
      <c r="CE108" s="21" t="n"/>
      <c r="CF108" s="27">
        <f>SUM(CD108:CE108)</f>
        <v/>
      </c>
      <c r="CG108" s="28" t="n"/>
      <c r="CH108" s="31" t="n"/>
      <c r="CI108" s="29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1" t="n"/>
      <c r="CK108" s="21" t="n"/>
      <c r="CL108" s="27">
        <f>SUM(CJ108:CK108)</f>
        <v/>
      </c>
      <c r="CM108" s="28" t="n"/>
      <c r="CN108" s="31" t="n"/>
      <c r="CO108" s="29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1" t="n"/>
      <c r="CQ108" s="21" t="n"/>
      <c r="CR108" s="27">
        <f>SUM(CP108:CQ108)</f>
        <v/>
      </c>
      <c r="CS108" s="28" t="n"/>
      <c r="CT108" s="31" t="n"/>
      <c r="CU108" s="29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1" t="n"/>
      <c r="CW108" s="21" t="n"/>
      <c r="CX108" s="27">
        <f>SUM(CV108:CW108)</f>
        <v/>
      </c>
      <c r="CY108" s="28" t="n"/>
      <c r="CZ108" s="31" t="n"/>
      <c r="DA108" s="29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1" t="n"/>
      <c r="DC108" s="21" t="n"/>
      <c r="DD108" s="27">
        <f>SUM(DB108:DC108)</f>
        <v/>
      </c>
      <c r="DE108" s="28" t="n"/>
      <c r="DF108" s="31" t="n"/>
      <c r="DG108" s="29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34">
        <f>SUM(O108,U108,AA108,AG108,AM108,AS108,AY108,BE108,BK108,BQ108,BW108,CC108,CI108,CO108,CU108,DA108,DG108)</f>
        <v/>
      </c>
      <c r="DI108" s="39">
        <f>RANK(DH108,DH$4:DH$503)</f>
        <v/>
      </c>
      <c r="DJ108" s="40" t="inlineStr">
        <is>
          <t>CHOOSE RATING</t>
        </is>
      </c>
      <c r="DK108" s="40" t="inlineStr">
        <is>
          <t>CHOOSE RATING</t>
        </is>
      </c>
      <c r="DL108" s="40" t="inlineStr">
        <is>
          <t>CHOOSE RATING</t>
        </is>
      </c>
      <c r="DM108" s="40" t="inlineStr">
        <is>
          <t>CHOOSE RATING</t>
        </is>
      </c>
      <c r="DN108" s="40" t="inlineStr">
        <is>
          <t>CHOOSE RATING</t>
        </is>
      </c>
      <c r="DO108" s="40" t="inlineStr">
        <is>
          <t>CHOOSE RATING</t>
        </is>
      </c>
      <c r="DP108" s="40" t="inlineStr">
        <is>
          <t>CHOOSE RATING</t>
        </is>
      </c>
      <c r="DQ108" s="40" t="inlineStr">
        <is>
          <t>CHOOSE RATING</t>
        </is>
      </c>
      <c r="DR108" s="43" t="inlineStr">
        <is>
          <t>2024/2025</t>
        </is>
      </c>
      <c r="DS108" s="45" t="inlineStr">
        <is>
          <t>THIRD</t>
        </is>
      </c>
      <c r="DT108" s="40" t="inlineStr">
        <is>
          <t>CHOOSE RATING</t>
        </is>
      </c>
      <c r="DU108" s="40" t="inlineStr">
        <is>
          <t>CHOOSE RATING</t>
        </is>
      </c>
      <c r="DV108" s="40" t="inlineStr">
        <is>
          <t>CHOOSE RATING</t>
        </is>
      </c>
      <c r="DW108" s="40" t="inlineStr">
        <is>
          <t>CHOOSE RATING</t>
        </is>
      </c>
      <c r="DX108" s="40" t="inlineStr">
        <is>
          <t>CHOOSE RATING</t>
        </is>
      </c>
      <c r="DY108" s="40" t="inlineStr">
        <is>
          <t>CHOOSE RATING</t>
        </is>
      </c>
      <c r="DZ108" s="53" t="inlineStr">
        <is>
          <t>CHOOSE RATING</t>
        </is>
      </c>
      <c r="EA108" s="54" t="inlineStr">
        <is>
          <t>Add the Tutor's Comment . . .</t>
        </is>
      </c>
      <c r="EB108" s="55" t="inlineStr">
        <is>
          <t>Choose Principals comment</t>
        </is>
      </c>
      <c r="EC108" s="56" t="n"/>
      <c r="ED108" s="57" t="inlineStr">
        <is>
          <t>Next Term Begins on Monday, 22nd September, 2025</t>
        </is>
      </c>
    </row>
    <row r="109" ht="30.6" customHeight="1" s="6">
      <c r="A109" s="18" t="n">
        <v>106</v>
      </c>
      <c r="B109" s="19" t="n"/>
      <c r="C109" s="20" t="n"/>
      <c r="D109" s="128" t="n"/>
      <c r="E109" s="21" t="n"/>
      <c r="F109" s="22" t="n"/>
      <c r="G109" s="22" t="n"/>
      <c r="H109" s="22" t="n"/>
      <c r="I109" s="26">
        <f>G109-H109</f>
        <v/>
      </c>
      <c r="J109" s="21" t="n"/>
      <c r="K109" s="21" t="n"/>
      <c r="L109" s="27">
        <f>SUM(J109:K109)</f>
        <v/>
      </c>
      <c r="M109" s="28" t="n"/>
      <c r="N109" s="28" t="n"/>
      <c r="O109" s="29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1" t="n"/>
      <c r="Q109" s="21" t="n"/>
      <c r="R109" s="27">
        <f>SUM(P109:Q109)</f>
        <v/>
      </c>
      <c r="S109" s="28" t="n"/>
      <c r="T109" s="28" t="n"/>
      <c r="U109" s="29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1" t="n"/>
      <c r="W109" s="21" t="n"/>
      <c r="X109" s="27">
        <f>SUM(V109:W109)</f>
        <v/>
      </c>
      <c r="Y109" s="28" t="n"/>
      <c r="Z109" s="28" t="n"/>
      <c r="AA109" s="29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1" t="n"/>
      <c r="AC109" s="21" t="n"/>
      <c r="AD109" s="27">
        <f>SUM(AB109:AC109)</f>
        <v/>
      </c>
      <c r="AE109" s="28" t="n"/>
      <c r="AF109" s="28" t="n"/>
      <c r="AG109" s="29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1" t="n"/>
      <c r="AI109" s="21" t="n"/>
      <c r="AJ109" s="27">
        <f>SUM(AH109:AI109)</f>
        <v/>
      </c>
      <c r="AK109" s="28" t="n"/>
      <c r="AL109" s="28" t="n"/>
      <c r="AM109" s="29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1" t="n"/>
      <c r="AO109" s="21" t="n"/>
      <c r="AP109" s="27">
        <f>SUM(AN109:AO109)</f>
        <v/>
      </c>
      <c r="AQ109" s="28" t="n"/>
      <c r="AR109" s="30" t="n"/>
      <c r="AS109" s="29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1" t="n"/>
      <c r="AU109" s="21" t="n"/>
      <c r="AV109" s="27">
        <f>SUM(AT109:AU109)</f>
        <v/>
      </c>
      <c r="AW109" s="28" t="n"/>
      <c r="AX109" s="30" t="n"/>
      <c r="AY109" s="29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1" t="n"/>
      <c r="BA109" s="21" t="n"/>
      <c r="BB109" s="27">
        <f>SUM(AZ109:BA109)</f>
        <v/>
      </c>
      <c r="BC109" s="28" t="n"/>
      <c r="BD109" s="28" t="n"/>
      <c r="BE109" s="29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1" t="n"/>
      <c r="BG109" s="21" t="n"/>
      <c r="BH109" s="27">
        <f>SUM(BF109:BG109)</f>
        <v/>
      </c>
      <c r="BI109" s="28" t="n"/>
      <c r="BJ109" s="28" t="n"/>
      <c r="BK109" s="29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1" t="n"/>
      <c r="BM109" s="21" t="n"/>
      <c r="BN109" s="27">
        <f>SUM(BL109:BM109)</f>
        <v/>
      </c>
      <c r="BO109" s="28" t="n"/>
      <c r="BP109" s="31" t="n"/>
      <c r="BQ109" s="29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1" t="n"/>
      <c r="BS109" s="21" t="n"/>
      <c r="BT109" s="27">
        <f>SUM(BR109:BS109)</f>
        <v/>
      </c>
      <c r="BU109" s="28" t="n"/>
      <c r="BV109" s="31" t="n"/>
      <c r="BW109" s="29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1" t="n"/>
      <c r="BY109" s="21" t="n"/>
      <c r="BZ109" s="27">
        <f>SUM(BX109:BY109)</f>
        <v/>
      </c>
      <c r="CA109" s="28" t="n"/>
      <c r="CB109" s="31" t="n"/>
      <c r="CC109" s="29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1" t="n"/>
      <c r="CE109" s="21" t="n"/>
      <c r="CF109" s="27">
        <f>SUM(CD109:CE109)</f>
        <v/>
      </c>
      <c r="CG109" s="28" t="n"/>
      <c r="CH109" s="31" t="n"/>
      <c r="CI109" s="29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1" t="n"/>
      <c r="CK109" s="21" t="n"/>
      <c r="CL109" s="27">
        <f>SUM(CJ109:CK109)</f>
        <v/>
      </c>
      <c r="CM109" s="28" t="n"/>
      <c r="CN109" s="31" t="n"/>
      <c r="CO109" s="29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1" t="n"/>
      <c r="CQ109" s="21" t="n"/>
      <c r="CR109" s="27">
        <f>SUM(CP109:CQ109)</f>
        <v/>
      </c>
      <c r="CS109" s="28" t="n"/>
      <c r="CT109" s="31" t="n"/>
      <c r="CU109" s="29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1" t="n"/>
      <c r="CW109" s="21" t="n"/>
      <c r="CX109" s="27">
        <f>SUM(CV109:CW109)</f>
        <v/>
      </c>
      <c r="CY109" s="28" t="n"/>
      <c r="CZ109" s="31" t="n"/>
      <c r="DA109" s="29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1" t="n"/>
      <c r="DC109" s="21" t="n"/>
      <c r="DD109" s="27">
        <f>SUM(DB109:DC109)</f>
        <v/>
      </c>
      <c r="DE109" s="28" t="n"/>
      <c r="DF109" s="31" t="n"/>
      <c r="DG109" s="29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34">
        <f>SUM(O109,U109,AA109,AG109,AM109,AS109,AY109,BE109,BK109,BQ109,BW109,CC109,CI109,CO109,CU109,DA109,DG109)</f>
        <v/>
      </c>
      <c r="DI109" s="39">
        <f>RANK(DH109,DH$4:DH$503)</f>
        <v/>
      </c>
      <c r="DJ109" s="40" t="inlineStr">
        <is>
          <t>CHOOSE RATING</t>
        </is>
      </c>
      <c r="DK109" s="40" t="inlineStr">
        <is>
          <t>CHOOSE RATING</t>
        </is>
      </c>
      <c r="DL109" s="40" t="inlineStr">
        <is>
          <t>CHOOSE RATING</t>
        </is>
      </c>
      <c r="DM109" s="40" t="inlineStr">
        <is>
          <t>CHOOSE RATING</t>
        </is>
      </c>
      <c r="DN109" s="40" t="inlineStr">
        <is>
          <t>CHOOSE RATING</t>
        </is>
      </c>
      <c r="DO109" s="40" t="inlineStr">
        <is>
          <t>CHOOSE RATING</t>
        </is>
      </c>
      <c r="DP109" s="40" t="inlineStr">
        <is>
          <t>CHOOSE RATING</t>
        </is>
      </c>
      <c r="DQ109" s="40" t="inlineStr">
        <is>
          <t>CHOOSE RATING</t>
        </is>
      </c>
      <c r="DR109" s="43" t="inlineStr">
        <is>
          <t>2024/2025</t>
        </is>
      </c>
      <c r="DS109" s="45" t="inlineStr">
        <is>
          <t>THIRD</t>
        </is>
      </c>
      <c r="DT109" s="40" t="inlineStr">
        <is>
          <t>CHOOSE RATING</t>
        </is>
      </c>
      <c r="DU109" s="40" t="inlineStr">
        <is>
          <t>CHOOSE RATING</t>
        </is>
      </c>
      <c r="DV109" s="40" t="inlineStr">
        <is>
          <t>CHOOSE RATING</t>
        </is>
      </c>
      <c r="DW109" s="40" t="inlineStr">
        <is>
          <t>CHOOSE RATING</t>
        </is>
      </c>
      <c r="DX109" s="40" t="inlineStr">
        <is>
          <t>CHOOSE RATING</t>
        </is>
      </c>
      <c r="DY109" s="40" t="inlineStr">
        <is>
          <t>CHOOSE RATING</t>
        </is>
      </c>
      <c r="DZ109" s="53" t="inlineStr">
        <is>
          <t>CHOOSE RATING</t>
        </is>
      </c>
      <c r="EA109" s="54" t="inlineStr">
        <is>
          <t>Add the Tutor's Comment . . .</t>
        </is>
      </c>
      <c r="EB109" s="55" t="inlineStr">
        <is>
          <t>Choose Principals comment</t>
        </is>
      </c>
      <c r="EC109" s="56" t="n"/>
      <c r="ED109" s="57" t="inlineStr">
        <is>
          <t>Next Term Begins on Monday, 22nd September, 2025</t>
        </is>
      </c>
    </row>
    <row r="110" ht="30.6" customHeight="1" s="6">
      <c r="A110" s="18" t="n">
        <v>107</v>
      </c>
      <c r="B110" s="19" t="n"/>
      <c r="C110" s="20" t="n"/>
      <c r="D110" s="128" t="n"/>
      <c r="E110" s="21" t="n"/>
      <c r="F110" s="22" t="n"/>
      <c r="G110" s="22" t="n"/>
      <c r="H110" s="22" t="n"/>
      <c r="I110" s="26">
        <f>G110-H110</f>
        <v/>
      </c>
      <c r="J110" s="21" t="n"/>
      <c r="K110" s="21" t="n"/>
      <c r="L110" s="27">
        <f>SUM(J110:K110)</f>
        <v/>
      </c>
      <c r="M110" s="28" t="n"/>
      <c r="N110" s="28" t="n"/>
      <c r="O110" s="29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1" t="n"/>
      <c r="Q110" s="21" t="n"/>
      <c r="R110" s="27">
        <f>SUM(P110:Q110)</f>
        <v/>
      </c>
      <c r="S110" s="28" t="n"/>
      <c r="T110" s="28" t="n"/>
      <c r="U110" s="29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1" t="n"/>
      <c r="W110" s="21" t="n"/>
      <c r="X110" s="27">
        <f>SUM(V110:W110)</f>
        <v/>
      </c>
      <c r="Y110" s="28" t="n"/>
      <c r="Z110" s="28" t="n"/>
      <c r="AA110" s="29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1" t="n"/>
      <c r="AC110" s="21" t="n"/>
      <c r="AD110" s="27">
        <f>SUM(AB110:AC110)</f>
        <v/>
      </c>
      <c r="AE110" s="28" t="n"/>
      <c r="AF110" s="28" t="n"/>
      <c r="AG110" s="29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1" t="n"/>
      <c r="AI110" s="21" t="n"/>
      <c r="AJ110" s="27">
        <f>SUM(AH110:AI110)</f>
        <v/>
      </c>
      <c r="AK110" s="28" t="n"/>
      <c r="AL110" s="28" t="n"/>
      <c r="AM110" s="29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1" t="n"/>
      <c r="AO110" s="21" t="n"/>
      <c r="AP110" s="27">
        <f>SUM(AN110:AO110)</f>
        <v/>
      </c>
      <c r="AQ110" s="28" t="n"/>
      <c r="AR110" s="30" t="n"/>
      <c r="AS110" s="29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1" t="n"/>
      <c r="AU110" s="21" t="n"/>
      <c r="AV110" s="27">
        <f>SUM(AT110:AU110)</f>
        <v/>
      </c>
      <c r="AW110" s="28" t="n"/>
      <c r="AX110" s="30" t="n"/>
      <c r="AY110" s="29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1" t="n"/>
      <c r="BA110" s="21" t="n"/>
      <c r="BB110" s="27">
        <f>SUM(AZ110:BA110)</f>
        <v/>
      </c>
      <c r="BC110" s="28" t="n"/>
      <c r="BD110" s="28" t="n"/>
      <c r="BE110" s="29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1" t="n"/>
      <c r="BG110" s="21" t="n"/>
      <c r="BH110" s="27">
        <f>SUM(BF110:BG110)</f>
        <v/>
      </c>
      <c r="BI110" s="28" t="n"/>
      <c r="BJ110" s="28" t="n"/>
      <c r="BK110" s="29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1" t="n"/>
      <c r="BM110" s="21" t="n"/>
      <c r="BN110" s="27">
        <f>SUM(BL110:BM110)</f>
        <v/>
      </c>
      <c r="BO110" s="28" t="n"/>
      <c r="BP110" s="31" t="n"/>
      <c r="BQ110" s="29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1" t="n"/>
      <c r="BS110" s="21" t="n"/>
      <c r="BT110" s="27">
        <f>SUM(BR110:BS110)</f>
        <v/>
      </c>
      <c r="BU110" s="28" t="n"/>
      <c r="BV110" s="31" t="n"/>
      <c r="BW110" s="29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1" t="n"/>
      <c r="BY110" s="21" t="n"/>
      <c r="BZ110" s="27">
        <f>SUM(BX110:BY110)</f>
        <v/>
      </c>
      <c r="CA110" s="28" t="n"/>
      <c r="CB110" s="31" t="n"/>
      <c r="CC110" s="29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1" t="n"/>
      <c r="CE110" s="21" t="n"/>
      <c r="CF110" s="27">
        <f>SUM(CD110:CE110)</f>
        <v/>
      </c>
      <c r="CG110" s="28" t="n"/>
      <c r="CH110" s="31" t="n"/>
      <c r="CI110" s="29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1" t="n"/>
      <c r="CK110" s="21" t="n"/>
      <c r="CL110" s="27">
        <f>SUM(CJ110:CK110)</f>
        <v/>
      </c>
      <c r="CM110" s="28" t="n"/>
      <c r="CN110" s="31" t="n"/>
      <c r="CO110" s="29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1" t="n"/>
      <c r="CQ110" s="21" t="n"/>
      <c r="CR110" s="27">
        <f>SUM(CP110:CQ110)</f>
        <v/>
      </c>
      <c r="CS110" s="28" t="n"/>
      <c r="CT110" s="31" t="n"/>
      <c r="CU110" s="29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1" t="n"/>
      <c r="CW110" s="21" t="n"/>
      <c r="CX110" s="27">
        <f>SUM(CV110:CW110)</f>
        <v/>
      </c>
      <c r="CY110" s="28" t="n"/>
      <c r="CZ110" s="31" t="n"/>
      <c r="DA110" s="29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1" t="n"/>
      <c r="DC110" s="21" t="n"/>
      <c r="DD110" s="27">
        <f>SUM(DB110:DC110)</f>
        <v/>
      </c>
      <c r="DE110" s="28" t="n"/>
      <c r="DF110" s="31" t="n"/>
      <c r="DG110" s="29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34">
        <f>SUM(O110,U110,AA110,AG110,AM110,AS110,AY110,BE110,BK110,BQ110,BW110,CC110,CI110,CO110,CU110,DA110,DG110)</f>
        <v/>
      </c>
      <c r="DI110" s="39">
        <f>RANK(DH110,DH$4:DH$503)</f>
        <v/>
      </c>
      <c r="DJ110" s="40" t="inlineStr">
        <is>
          <t>CHOOSE RATING</t>
        </is>
      </c>
      <c r="DK110" s="40" t="inlineStr">
        <is>
          <t>CHOOSE RATING</t>
        </is>
      </c>
      <c r="DL110" s="40" t="inlineStr">
        <is>
          <t>CHOOSE RATING</t>
        </is>
      </c>
      <c r="DM110" s="40" t="inlineStr">
        <is>
          <t>CHOOSE RATING</t>
        </is>
      </c>
      <c r="DN110" s="40" t="inlineStr">
        <is>
          <t>CHOOSE RATING</t>
        </is>
      </c>
      <c r="DO110" s="40" t="inlineStr">
        <is>
          <t>CHOOSE RATING</t>
        </is>
      </c>
      <c r="DP110" s="40" t="inlineStr">
        <is>
          <t>CHOOSE RATING</t>
        </is>
      </c>
      <c r="DQ110" s="40" t="inlineStr">
        <is>
          <t>CHOOSE RATING</t>
        </is>
      </c>
      <c r="DR110" s="43" t="inlineStr">
        <is>
          <t>2024/2025</t>
        </is>
      </c>
      <c r="DS110" s="45" t="inlineStr">
        <is>
          <t>THIRD</t>
        </is>
      </c>
      <c r="DT110" s="40" t="inlineStr">
        <is>
          <t>CHOOSE RATING</t>
        </is>
      </c>
      <c r="DU110" s="40" t="inlineStr">
        <is>
          <t>CHOOSE RATING</t>
        </is>
      </c>
      <c r="DV110" s="40" t="inlineStr">
        <is>
          <t>CHOOSE RATING</t>
        </is>
      </c>
      <c r="DW110" s="40" t="inlineStr">
        <is>
          <t>CHOOSE RATING</t>
        </is>
      </c>
      <c r="DX110" s="40" t="inlineStr">
        <is>
          <t>CHOOSE RATING</t>
        </is>
      </c>
      <c r="DY110" s="40" t="inlineStr">
        <is>
          <t>CHOOSE RATING</t>
        </is>
      </c>
      <c r="DZ110" s="53" t="inlineStr">
        <is>
          <t>CHOOSE RATING</t>
        </is>
      </c>
      <c r="EA110" s="54" t="inlineStr">
        <is>
          <t>Add the Tutor's Comment . . .</t>
        </is>
      </c>
      <c r="EB110" s="55" t="inlineStr">
        <is>
          <t>Choose Principals comment</t>
        </is>
      </c>
      <c r="EC110" s="56" t="n"/>
      <c r="ED110" s="57" t="inlineStr">
        <is>
          <t>Next Term Begins on Monday, 22nd September, 2025</t>
        </is>
      </c>
    </row>
    <row r="111" ht="30.6" customHeight="1" s="6">
      <c r="A111" s="18" t="n">
        <v>108</v>
      </c>
      <c r="B111" s="19" t="n"/>
      <c r="C111" s="20" t="n"/>
      <c r="D111" s="128" t="n"/>
      <c r="E111" s="21" t="n"/>
      <c r="F111" s="22" t="n"/>
      <c r="G111" s="22" t="n"/>
      <c r="H111" s="22" t="n"/>
      <c r="I111" s="26">
        <f>G111-H111</f>
        <v/>
      </c>
      <c r="J111" s="21" t="n"/>
      <c r="K111" s="21" t="n"/>
      <c r="L111" s="27">
        <f>SUM(J111:K111)</f>
        <v/>
      </c>
      <c r="M111" s="28" t="n"/>
      <c r="N111" s="28" t="n"/>
      <c r="O111" s="29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1" t="n"/>
      <c r="Q111" s="21" t="n"/>
      <c r="R111" s="27">
        <f>SUM(P111:Q111)</f>
        <v/>
      </c>
      <c r="S111" s="28" t="n"/>
      <c r="T111" s="28" t="n"/>
      <c r="U111" s="29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1" t="n"/>
      <c r="W111" s="21" t="n"/>
      <c r="X111" s="27">
        <f>SUM(V111:W111)</f>
        <v/>
      </c>
      <c r="Y111" s="28" t="n"/>
      <c r="Z111" s="28" t="n"/>
      <c r="AA111" s="29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1" t="n"/>
      <c r="AC111" s="21" t="n"/>
      <c r="AD111" s="27">
        <f>SUM(AB111:AC111)</f>
        <v/>
      </c>
      <c r="AE111" s="28" t="n"/>
      <c r="AF111" s="28" t="n"/>
      <c r="AG111" s="29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1" t="n"/>
      <c r="AI111" s="21" t="n"/>
      <c r="AJ111" s="27">
        <f>SUM(AH111:AI111)</f>
        <v/>
      </c>
      <c r="AK111" s="28" t="n"/>
      <c r="AL111" s="28" t="n"/>
      <c r="AM111" s="29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1" t="n"/>
      <c r="AO111" s="21" t="n"/>
      <c r="AP111" s="27">
        <f>SUM(AN111:AO111)</f>
        <v/>
      </c>
      <c r="AQ111" s="28" t="n"/>
      <c r="AR111" s="30" t="n"/>
      <c r="AS111" s="29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1" t="n"/>
      <c r="AU111" s="21" t="n"/>
      <c r="AV111" s="27">
        <f>SUM(AT111:AU111)</f>
        <v/>
      </c>
      <c r="AW111" s="28" t="n"/>
      <c r="AX111" s="30" t="n"/>
      <c r="AY111" s="29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1" t="n"/>
      <c r="BA111" s="21" t="n"/>
      <c r="BB111" s="27">
        <f>SUM(AZ111:BA111)</f>
        <v/>
      </c>
      <c r="BC111" s="28" t="n"/>
      <c r="BD111" s="28" t="n"/>
      <c r="BE111" s="29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1" t="n"/>
      <c r="BG111" s="21" t="n"/>
      <c r="BH111" s="27">
        <f>SUM(BF111:BG111)</f>
        <v/>
      </c>
      <c r="BI111" s="28" t="n"/>
      <c r="BJ111" s="28" t="n"/>
      <c r="BK111" s="29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1" t="n"/>
      <c r="BM111" s="21" t="n"/>
      <c r="BN111" s="27">
        <f>SUM(BL111:BM111)</f>
        <v/>
      </c>
      <c r="BO111" s="28" t="n"/>
      <c r="BP111" s="31" t="n"/>
      <c r="BQ111" s="29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1" t="n"/>
      <c r="BS111" s="21" t="n"/>
      <c r="BT111" s="27">
        <f>SUM(BR111:BS111)</f>
        <v/>
      </c>
      <c r="BU111" s="28" t="n"/>
      <c r="BV111" s="31" t="n"/>
      <c r="BW111" s="29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1" t="n"/>
      <c r="BY111" s="21" t="n"/>
      <c r="BZ111" s="27">
        <f>SUM(BX111:BY111)</f>
        <v/>
      </c>
      <c r="CA111" s="28" t="n"/>
      <c r="CB111" s="31" t="n"/>
      <c r="CC111" s="29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1" t="n"/>
      <c r="CE111" s="21" t="n"/>
      <c r="CF111" s="27">
        <f>SUM(CD111:CE111)</f>
        <v/>
      </c>
      <c r="CG111" s="28" t="n"/>
      <c r="CH111" s="31" t="n"/>
      <c r="CI111" s="29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1" t="n"/>
      <c r="CK111" s="21" t="n"/>
      <c r="CL111" s="27">
        <f>SUM(CJ111:CK111)</f>
        <v/>
      </c>
      <c r="CM111" s="28" t="n"/>
      <c r="CN111" s="31" t="n"/>
      <c r="CO111" s="29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1" t="n"/>
      <c r="CQ111" s="21" t="n"/>
      <c r="CR111" s="27">
        <f>SUM(CP111:CQ111)</f>
        <v/>
      </c>
      <c r="CS111" s="28" t="n"/>
      <c r="CT111" s="31" t="n"/>
      <c r="CU111" s="29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1" t="n"/>
      <c r="CW111" s="21" t="n"/>
      <c r="CX111" s="27">
        <f>SUM(CV111:CW111)</f>
        <v/>
      </c>
      <c r="CY111" s="28" t="n"/>
      <c r="CZ111" s="31" t="n"/>
      <c r="DA111" s="29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1" t="n"/>
      <c r="DC111" s="21" t="n"/>
      <c r="DD111" s="27">
        <f>SUM(DB111:DC111)</f>
        <v/>
      </c>
      <c r="DE111" s="28" t="n"/>
      <c r="DF111" s="31" t="n"/>
      <c r="DG111" s="29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34">
        <f>SUM(O111,U111,AA111,AG111,AM111,AS111,AY111,BE111,BK111,BQ111,BW111,CC111,CI111,CO111,CU111,DA111,DG111)</f>
        <v/>
      </c>
      <c r="DI111" s="39">
        <f>RANK(DH111,DH$4:DH$503)</f>
        <v/>
      </c>
      <c r="DJ111" s="40" t="inlineStr">
        <is>
          <t>CHOOSE RATING</t>
        </is>
      </c>
      <c r="DK111" s="40" t="inlineStr">
        <is>
          <t>CHOOSE RATING</t>
        </is>
      </c>
      <c r="DL111" s="40" t="inlineStr">
        <is>
          <t>CHOOSE RATING</t>
        </is>
      </c>
      <c r="DM111" s="40" t="inlineStr">
        <is>
          <t>CHOOSE RATING</t>
        </is>
      </c>
      <c r="DN111" s="40" t="inlineStr">
        <is>
          <t>CHOOSE RATING</t>
        </is>
      </c>
      <c r="DO111" s="40" t="inlineStr">
        <is>
          <t>CHOOSE RATING</t>
        </is>
      </c>
      <c r="DP111" s="40" t="inlineStr">
        <is>
          <t>CHOOSE RATING</t>
        </is>
      </c>
      <c r="DQ111" s="40" t="inlineStr">
        <is>
          <t>CHOOSE RATING</t>
        </is>
      </c>
      <c r="DR111" s="43" t="inlineStr">
        <is>
          <t>2024/2025</t>
        </is>
      </c>
      <c r="DS111" s="45" t="inlineStr">
        <is>
          <t>THIRD</t>
        </is>
      </c>
      <c r="DT111" s="40" t="inlineStr">
        <is>
          <t>CHOOSE RATING</t>
        </is>
      </c>
      <c r="DU111" s="40" t="inlineStr">
        <is>
          <t>CHOOSE RATING</t>
        </is>
      </c>
      <c r="DV111" s="40" t="inlineStr">
        <is>
          <t>CHOOSE RATING</t>
        </is>
      </c>
      <c r="DW111" s="40" t="inlineStr">
        <is>
          <t>CHOOSE RATING</t>
        </is>
      </c>
      <c r="DX111" s="40" t="inlineStr">
        <is>
          <t>CHOOSE RATING</t>
        </is>
      </c>
      <c r="DY111" s="40" t="inlineStr">
        <is>
          <t>CHOOSE RATING</t>
        </is>
      </c>
      <c r="DZ111" s="53" t="inlineStr">
        <is>
          <t>CHOOSE RATING</t>
        </is>
      </c>
      <c r="EA111" s="54" t="inlineStr">
        <is>
          <t>Add the Tutor's Comment . . .</t>
        </is>
      </c>
      <c r="EB111" s="55" t="inlineStr">
        <is>
          <t>Choose Principals comment</t>
        </is>
      </c>
      <c r="EC111" s="56" t="n"/>
      <c r="ED111" s="57" t="inlineStr">
        <is>
          <t>Next Term Begins on Monday, 22nd September, 2025</t>
        </is>
      </c>
    </row>
    <row r="112" ht="30.6" customHeight="1" s="6">
      <c r="A112" s="18" t="n">
        <v>109</v>
      </c>
      <c r="B112" s="19" t="n"/>
      <c r="C112" s="20" t="n"/>
      <c r="D112" s="128" t="n"/>
      <c r="E112" s="21" t="n"/>
      <c r="F112" s="22" t="n"/>
      <c r="G112" s="22" t="n"/>
      <c r="H112" s="22" t="n"/>
      <c r="I112" s="26">
        <f>G112-H112</f>
        <v/>
      </c>
      <c r="J112" s="21" t="n"/>
      <c r="K112" s="21" t="n"/>
      <c r="L112" s="27">
        <f>SUM(J112:K112)</f>
        <v/>
      </c>
      <c r="M112" s="28" t="n"/>
      <c r="N112" s="28" t="n"/>
      <c r="O112" s="29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1" t="n"/>
      <c r="Q112" s="21" t="n"/>
      <c r="R112" s="27">
        <f>SUM(P112:Q112)</f>
        <v/>
      </c>
      <c r="S112" s="28" t="n"/>
      <c r="T112" s="28" t="n"/>
      <c r="U112" s="29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1" t="n"/>
      <c r="W112" s="21" t="n"/>
      <c r="X112" s="27">
        <f>SUM(V112:W112)</f>
        <v/>
      </c>
      <c r="Y112" s="28" t="n"/>
      <c r="Z112" s="28" t="n"/>
      <c r="AA112" s="29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1" t="n"/>
      <c r="AC112" s="21" t="n"/>
      <c r="AD112" s="27">
        <f>SUM(AB112:AC112)</f>
        <v/>
      </c>
      <c r="AE112" s="28" t="n"/>
      <c r="AF112" s="28" t="n"/>
      <c r="AG112" s="29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1" t="n"/>
      <c r="AI112" s="21" t="n"/>
      <c r="AJ112" s="27">
        <f>SUM(AH112:AI112)</f>
        <v/>
      </c>
      <c r="AK112" s="28" t="n"/>
      <c r="AL112" s="28" t="n"/>
      <c r="AM112" s="29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1" t="n"/>
      <c r="AO112" s="21" t="n"/>
      <c r="AP112" s="27">
        <f>SUM(AN112:AO112)</f>
        <v/>
      </c>
      <c r="AQ112" s="28" t="n"/>
      <c r="AR112" s="30" t="n"/>
      <c r="AS112" s="29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1" t="n"/>
      <c r="AU112" s="21" t="n"/>
      <c r="AV112" s="27">
        <f>SUM(AT112:AU112)</f>
        <v/>
      </c>
      <c r="AW112" s="28" t="n"/>
      <c r="AX112" s="30" t="n"/>
      <c r="AY112" s="29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1" t="n"/>
      <c r="BA112" s="21" t="n"/>
      <c r="BB112" s="27">
        <f>SUM(AZ112:BA112)</f>
        <v/>
      </c>
      <c r="BC112" s="28" t="n"/>
      <c r="BD112" s="28" t="n"/>
      <c r="BE112" s="29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1" t="n"/>
      <c r="BG112" s="21" t="n"/>
      <c r="BH112" s="27">
        <f>SUM(BF112:BG112)</f>
        <v/>
      </c>
      <c r="BI112" s="28" t="n"/>
      <c r="BJ112" s="28" t="n"/>
      <c r="BK112" s="29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1" t="n"/>
      <c r="BM112" s="21" t="n"/>
      <c r="BN112" s="27">
        <f>SUM(BL112:BM112)</f>
        <v/>
      </c>
      <c r="BO112" s="28" t="n"/>
      <c r="BP112" s="31" t="n"/>
      <c r="BQ112" s="29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1" t="n"/>
      <c r="BS112" s="21" t="n"/>
      <c r="BT112" s="27">
        <f>SUM(BR112:BS112)</f>
        <v/>
      </c>
      <c r="BU112" s="28" t="n"/>
      <c r="BV112" s="31" t="n"/>
      <c r="BW112" s="29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1" t="n"/>
      <c r="BY112" s="21" t="n"/>
      <c r="BZ112" s="27">
        <f>SUM(BX112:BY112)</f>
        <v/>
      </c>
      <c r="CA112" s="28" t="n"/>
      <c r="CB112" s="31" t="n"/>
      <c r="CC112" s="29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1" t="n"/>
      <c r="CE112" s="21" t="n"/>
      <c r="CF112" s="27">
        <f>SUM(CD112:CE112)</f>
        <v/>
      </c>
      <c r="CG112" s="28" t="n"/>
      <c r="CH112" s="31" t="n"/>
      <c r="CI112" s="29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1" t="n"/>
      <c r="CK112" s="21" t="n"/>
      <c r="CL112" s="27">
        <f>SUM(CJ112:CK112)</f>
        <v/>
      </c>
      <c r="CM112" s="28" t="n"/>
      <c r="CN112" s="31" t="n"/>
      <c r="CO112" s="29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1" t="n"/>
      <c r="CQ112" s="21" t="n"/>
      <c r="CR112" s="27">
        <f>SUM(CP112:CQ112)</f>
        <v/>
      </c>
      <c r="CS112" s="28" t="n"/>
      <c r="CT112" s="31" t="n"/>
      <c r="CU112" s="29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1" t="n"/>
      <c r="CW112" s="21" t="n"/>
      <c r="CX112" s="27">
        <f>SUM(CV112:CW112)</f>
        <v/>
      </c>
      <c r="CY112" s="28" t="n"/>
      <c r="CZ112" s="31" t="n"/>
      <c r="DA112" s="29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1" t="n"/>
      <c r="DC112" s="21" t="n"/>
      <c r="DD112" s="27">
        <f>SUM(DB112:DC112)</f>
        <v/>
      </c>
      <c r="DE112" s="28" t="n"/>
      <c r="DF112" s="31" t="n"/>
      <c r="DG112" s="29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34">
        <f>SUM(O112,U112,AA112,AG112,AM112,AS112,AY112,BE112,BK112,BQ112,BW112,CC112,CI112,CO112,CU112,DA112,DG112)</f>
        <v/>
      </c>
      <c r="DI112" s="39">
        <f>RANK(DH112,DH$4:DH$503)</f>
        <v/>
      </c>
      <c r="DJ112" s="40" t="inlineStr">
        <is>
          <t>CHOOSE RATING</t>
        </is>
      </c>
      <c r="DK112" s="40" t="inlineStr">
        <is>
          <t>CHOOSE RATING</t>
        </is>
      </c>
      <c r="DL112" s="40" t="inlineStr">
        <is>
          <t>CHOOSE RATING</t>
        </is>
      </c>
      <c r="DM112" s="40" t="inlineStr">
        <is>
          <t>CHOOSE RATING</t>
        </is>
      </c>
      <c r="DN112" s="40" t="inlineStr">
        <is>
          <t>CHOOSE RATING</t>
        </is>
      </c>
      <c r="DO112" s="40" t="inlineStr">
        <is>
          <t>CHOOSE RATING</t>
        </is>
      </c>
      <c r="DP112" s="40" t="inlineStr">
        <is>
          <t>CHOOSE RATING</t>
        </is>
      </c>
      <c r="DQ112" s="40" t="inlineStr">
        <is>
          <t>CHOOSE RATING</t>
        </is>
      </c>
      <c r="DR112" s="43" t="inlineStr">
        <is>
          <t>2024/2025</t>
        </is>
      </c>
      <c r="DS112" s="45" t="inlineStr">
        <is>
          <t>THIRD</t>
        </is>
      </c>
      <c r="DT112" s="40" t="inlineStr">
        <is>
          <t>CHOOSE RATING</t>
        </is>
      </c>
      <c r="DU112" s="40" t="inlineStr">
        <is>
          <t>CHOOSE RATING</t>
        </is>
      </c>
      <c r="DV112" s="40" t="inlineStr">
        <is>
          <t>CHOOSE RATING</t>
        </is>
      </c>
      <c r="DW112" s="40" t="inlineStr">
        <is>
          <t>CHOOSE RATING</t>
        </is>
      </c>
      <c r="DX112" s="40" t="inlineStr">
        <is>
          <t>CHOOSE RATING</t>
        </is>
      </c>
      <c r="DY112" s="40" t="inlineStr">
        <is>
          <t>CHOOSE RATING</t>
        </is>
      </c>
      <c r="DZ112" s="53" t="inlineStr">
        <is>
          <t>CHOOSE RATING</t>
        </is>
      </c>
      <c r="EA112" s="54" t="inlineStr">
        <is>
          <t>Add the Tutor's Comment . . .</t>
        </is>
      </c>
      <c r="EB112" s="55" t="inlineStr">
        <is>
          <t>Choose Principals comment</t>
        </is>
      </c>
      <c r="EC112" s="56" t="n"/>
      <c r="ED112" s="57" t="inlineStr">
        <is>
          <t>Next Term Begins on Monday, 22nd September, 2025</t>
        </is>
      </c>
    </row>
    <row r="113" ht="30.6" customHeight="1" s="6">
      <c r="A113" s="18" t="n">
        <v>110</v>
      </c>
      <c r="B113" s="19" t="n"/>
      <c r="C113" s="20" t="n"/>
      <c r="D113" s="128" t="n"/>
      <c r="E113" s="21" t="n"/>
      <c r="F113" s="22" t="n"/>
      <c r="G113" s="22" t="n"/>
      <c r="H113" s="22" t="n"/>
      <c r="I113" s="26">
        <f>G113-H113</f>
        <v/>
      </c>
      <c r="J113" s="21" t="n"/>
      <c r="K113" s="21" t="n"/>
      <c r="L113" s="27">
        <f>SUM(J113:K113)</f>
        <v/>
      </c>
      <c r="M113" s="28" t="n"/>
      <c r="N113" s="28" t="n"/>
      <c r="O113" s="29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1" t="n"/>
      <c r="Q113" s="21" t="n"/>
      <c r="R113" s="27">
        <f>SUM(P113:Q113)</f>
        <v/>
      </c>
      <c r="S113" s="28" t="n"/>
      <c r="T113" s="28" t="n"/>
      <c r="U113" s="29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1" t="n"/>
      <c r="W113" s="21" t="n"/>
      <c r="X113" s="27">
        <f>SUM(V113:W113)</f>
        <v/>
      </c>
      <c r="Y113" s="28" t="n"/>
      <c r="Z113" s="28" t="n"/>
      <c r="AA113" s="29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1" t="n"/>
      <c r="AC113" s="21" t="n"/>
      <c r="AD113" s="27">
        <f>SUM(AB113:AC113)</f>
        <v/>
      </c>
      <c r="AE113" s="28" t="n"/>
      <c r="AF113" s="28" t="n"/>
      <c r="AG113" s="29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1" t="n"/>
      <c r="AI113" s="21" t="n"/>
      <c r="AJ113" s="27">
        <f>SUM(AH113:AI113)</f>
        <v/>
      </c>
      <c r="AK113" s="28" t="n"/>
      <c r="AL113" s="28" t="n"/>
      <c r="AM113" s="29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1" t="n"/>
      <c r="AO113" s="21" t="n"/>
      <c r="AP113" s="27">
        <f>SUM(AN113:AO113)</f>
        <v/>
      </c>
      <c r="AQ113" s="28" t="n"/>
      <c r="AR113" s="30" t="n"/>
      <c r="AS113" s="29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1" t="n"/>
      <c r="AU113" s="21" t="n"/>
      <c r="AV113" s="27">
        <f>SUM(AT113:AU113)</f>
        <v/>
      </c>
      <c r="AW113" s="28" t="n"/>
      <c r="AX113" s="30" t="n"/>
      <c r="AY113" s="29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1" t="n"/>
      <c r="BA113" s="21" t="n"/>
      <c r="BB113" s="27">
        <f>SUM(AZ113:BA113)</f>
        <v/>
      </c>
      <c r="BC113" s="28" t="n"/>
      <c r="BD113" s="28" t="n"/>
      <c r="BE113" s="29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1" t="n"/>
      <c r="BG113" s="21" t="n"/>
      <c r="BH113" s="27">
        <f>SUM(BF113:BG113)</f>
        <v/>
      </c>
      <c r="BI113" s="28" t="n"/>
      <c r="BJ113" s="28" t="n"/>
      <c r="BK113" s="29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1" t="n"/>
      <c r="BM113" s="21" t="n"/>
      <c r="BN113" s="27">
        <f>SUM(BL113:BM113)</f>
        <v/>
      </c>
      <c r="BO113" s="28" t="n"/>
      <c r="BP113" s="31" t="n"/>
      <c r="BQ113" s="29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1" t="n"/>
      <c r="BS113" s="21" t="n"/>
      <c r="BT113" s="27">
        <f>SUM(BR113:BS113)</f>
        <v/>
      </c>
      <c r="BU113" s="28" t="n"/>
      <c r="BV113" s="31" t="n"/>
      <c r="BW113" s="29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1" t="n"/>
      <c r="BY113" s="21" t="n"/>
      <c r="BZ113" s="27">
        <f>SUM(BX113:BY113)</f>
        <v/>
      </c>
      <c r="CA113" s="28" t="n"/>
      <c r="CB113" s="31" t="n"/>
      <c r="CC113" s="29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1" t="n"/>
      <c r="CE113" s="21" t="n"/>
      <c r="CF113" s="27">
        <f>SUM(CD113:CE113)</f>
        <v/>
      </c>
      <c r="CG113" s="28" t="n"/>
      <c r="CH113" s="31" t="n"/>
      <c r="CI113" s="29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1" t="n"/>
      <c r="CK113" s="21" t="n"/>
      <c r="CL113" s="27">
        <f>SUM(CJ113:CK113)</f>
        <v/>
      </c>
      <c r="CM113" s="28" t="n"/>
      <c r="CN113" s="31" t="n"/>
      <c r="CO113" s="29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1" t="n"/>
      <c r="CQ113" s="21" t="n"/>
      <c r="CR113" s="27">
        <f>SUM(CP113:CQ113)</f>
        <v/>
      </c>
      <c r="CS113" s="28" t="n"/>
      <c r="CT113" s="31" t="n"/>
      <c r="CU113" s="29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1" t="n"/>
      <c r="CW113" s="21" t="n"/>
      <c r="CX113" s="27">
        <f>SUM(CV113:CW113)</f>
        <v/>
      </c>
      <c r="CY113" s="28" t="n"/>
      <c r="CZ113" s="31" t="n"/>
      <c r="DA113" s="29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1" t="n"/>
      <c r="DC113" s="21" t="n"/>
      <c r="DD113" s="27">
        <f>SUM(DB113:DC113)</f>
        <v/>
      </c>
      <c r="DE113" s="28" t="n"/>
      <c r="DF113" s="31" t="n"/>
      <c r="DG113" s="29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34">
        <f>SUM(O113,U113,AA113,AG113,AM113,AS113,AY113,BE113,BK113,BQ113,BW113,CC113,CI113,CO113,CU113,DA113,DG113)</f>
        <v/>
      </c>
      <c r="DI113" s="39">
        <f>RANK(DH113,DH$4:DH$503)</f>
        <v/>
      </c>
      <c r="DJ113" s="40" t="inlineStr">
        <is>
          <t>CHOOSE RATING</t>
        </is>
      </c>
      <c r="DK113" s="40" t="inlineStr">
        <is>
          <t>CHOOSE RATING</t>
        </is>
      </c>
      <c r="DL113" s="40" t="inlineStr">
        <is>
          <t>CHOOSE RATING</t>
        </is>
      </c>
      <c r="DM113" s="40" t="inlineStr">
        <is>
          <t>CHOOSE RATING</t>
        </is>
      </c>
      <c r="DN113" s="40" t="inlineStr">
        <is>
          <t>CHOOSE RATING</t>
        </is>
      </c>
      <c r="DO113" s="40" t="inlineStr">
        <is>
          <t>CHOOSE RATING</t>
        </is>
      </c>
      <c r="DP113" s="40" t="inlineStr">
        <is>
          <t>CHOOSE RATING</t>
        </is>
      </c>
      <c r="DQ113" s="40" t="inlineStr">
        <is>
          <t>CHOOSE RATING</t>
        </is>
      </c>
      <c r="DR113" s="43" t="inlineStr">
        <is>
          <t>2024/2025</t>
        </is>
      </c>
      <c r="DS113" s="45" t="inlineStr">
        <is>
          <t>THIRD</t>
        </is>
      </c>
      <c r="DT113" s="40" t="inlineStr">
        <is>
          <t>CHOOSE RATING</t>
        </is>
      </c>
      <c r="DU113" s="40" t="inlineStr">
        <is>
          <t>CHOOSE RATING</t>
        </is>
      </c>
      <c r="DV113" s="40" t="inlineStr">
        <is>
          <t>CHOOSE RATING</t>
        </is>
      </c>
      <c r="DW113" s="40" t="inlineStr">
        <is>
          <t>CHOOSE RATING</t>
        </is>
      </c>
      <c r="DX113" s="40" t="inlineStr">
        <is>
          <t>CHOOSE RATING</t>
        </is>
      </c>
      <c r="DY113" s="40" t="inlineStr">
        <is>
          <t>CHOOSE RATING</t>
        </is>
      </c>
      <c r="DZ113" s="53" t="inlineStr">
        <is>
          <t>CHOOSE RATING</t>
        </is>
      </c>
      <c r="EA113" s="54" t="inlineStr">
        <is>
          <t>Add the Tutor's Comment . . .</t>
        </is>
      </c>
      <c r="EB113" s="55" t="inlineStr">
        <is>
          <t>Choose Principals comment</t>
        </is>
      </c>
      <c r="EC113" s="56" t="n"/>
      <c r="ED113" s="57" t="inlineStr">
        <is>
          <t>Next Term Begins on Monday, 22nd September, 2025</t>
        </is>
      </c>
    </row>
    <row r="114" ht="30.6" customHeight="1" s="6">
      <c r="A114" s="18" t="n">
        <v>111</v>
      </c>
      <c r="B114" s="19" t="n"/>
      <c r="C114" s="20" t="n"/>
      <c r="D114" s="128" t="n"/>
      <c r="E114" s="21" t="n"/>
      <c r="F114" s="22" t="n"/>
      <c r="G114" s="22" t="n"/>
      <c r="H114" s="22" t="n"/>
      <c r="I114" s="26">
        <f>G114-H114</f>
        <v/>
      </c>
      <c r="J114" s="21" t="n"/>
      <c r="K114" s="21" t="n"/>
      <c r="L114" s="27">
        <f>SUM(J114:K114)</f>
        <v/>
      </c>
      <c r="M114" s="28" t="n"/>
      <c r="N114" s="28" t="n"/>
      <c r="O114" s="29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1" t="n"/>
      <c r="Q114" s="21" t="n"/>
      <c r="R114" s="27">
        <f>SUM(P114:Q114)</f>
        <v/>
      </c>
      <c r="S114" s="28" t="n"/>
      <c r="T114" s="28" t="n"/>
      <c r="U114" s="29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1" t="n"/>
      <c r="W114" s="21" t="n"/>
      <c r="X114" s="27">
        <f>SUM(V114:W114)</f>
        <v/>
      </c>
      <c r="Y114" s="28" t="n"/>
      <c r="Z114" s="28" t="n"/>
      <c r="AA114" s="29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1" t="n"/>
      <c r="AC114" s="21" t="n"/>
      <c r="AD114" s="27">
        <f>SUM(AB114:AC114)</f>
        <v/>
      </c>
      <c r="AE114" s="28" t="n"/>
      <c r="AF114" s="28" t="n"/>
      <c r="AG114" s="29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1" t="n"/>
      <c r="AI114" s="21" t="n"/>
      <c r="AJ114" s="27">
        <f>SUM(AH114:AI114)</f>
        <v/>
      </c>
      <c r="AK114" s="28" t="n"/>
      <c r="AL114" s="28" t="n"/>
      <c r="AM114" s="29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1" t="n"/>
      <c r="AO114" s="21" t="n"/>
      <c r="AP114" s="27">
        <f>SUM(AN114:AO114)</f>
        <v/>
      </c>
      <c r="AQ114" s="28" t="n"/>
      <c r="AR114" s="30" t="n"/>
      <c r="AS114" s="29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1" t="n"/>
      <c r="AU114" s="21" t="n"/>
      <c r="AV114" s="27">
        <f>SUM(AT114:AU114)</f>
        <v/>
      </c>
      <c r="AW114" s="28" t="n"/>
      <c r="AX114" s="30" t="n"/>
      <c r="AY114" s="29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1" t="n"/>
      <c r="BA114" s="21" t="n"/>
      <c r="BB114" s="27">
        <f>SUM(AZ114:BA114)</f>
        <v/>
      </c>
      <c r="BC114" s="28" t="n"/>
      <c r="BD114" s="28" t="n"/>
      <c r="BE114" s="29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1" t="n"/>
      <c r="BG114" s="21" t="n"/>
      <c r="BH114" s="27">
        <f>SUM(BF114:BG114)</f>
        <v/>
      </c>
      <c r="BI114" s="28" t="n"/>
      <c r="BJ114" s="28" t="n"/>
      <c r="BK114" s="29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1" t="n"/>
      <c r="BM114" s="21" t="n"/>
      <c r="BN114" s="27">
        <f>SUM(BL114:BM114)</f>
        <v/>
      </c>
      <c r="BO114" s="28" t="n"/>
      <c r="BP114" s="31" t="n"/>
      <c r="BQ114" s="29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1" t="n"/>
      <c r="BS114" s="21" t="n"/>
      <c r="BT114" s="27">
        <f>SUM(BR114:BS114)</f>
        <v/>
      </c>
      <c r="BU114" s="28" t="n"/>
      <c r="BV114" s="31" t="n"/>
      <c r="BW114" s="29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1" t="n"/>
      <c r="BY114" s="21" t="n"/>
      <c r="BZ114" s="27">
        <f>SUM(BX114:BY114)</f>
        <v/>
      </c>
      <c r="CA114" s="28" t="n"/>
      <c r="CB114" s="31" t="n"/>
      <c r="CC114" s="29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1" t="n"/>
      <c r="CE114" s="21" t="n"/>
      <c r="CF114" s="27">
        <f>SUM(CD114:CE114)</f>
        <v/>
      </c>
      <c r="CG114" s="28" t="n"/>
      <c r="CH114" s="31" t="n"/>
      <c r="CI114" s="29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1" t="n"/>
      <c r="CK114" s="21" t="n"/>
      <c r="CL114" s="27">
        <f>SUM(CJ114:CK114)</f>
        <v/>
      </c>
      <c r="CM114" s="28" t="n"/>
      <c r="CN114" s="31" t="n"/>
      <c r="CO114" s="29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1" t="n"/>
      <c r="CQ114" s="21" t="n"/>
      <c r="CR114" s="27">
        <f>SUM(CP114:CQ114)</f>
        <v/>
      </c>
      <c r="CS114" s="28" t="n"/>
      <c r="CT114" s="31" t="n"/>
      <c r="CU114" s="29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1" t="n"/>
      <c r="CW114" s="21" t="n"/>
      <c r="CX114" s="27">
        <f>SUM(CV114:CW114)</f>
        <v/>
      </c>
      <c r="CY114" s="28" t="n"/>
      <c r="CZ114" s="31" t="n"/>
      <c r="DA114" s="29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1" t="n"/>
      <c r="DC114" s="21" t="n"/>
      <c r="DD114" s="27">
        <f>SUM(DB114:DC114)</f>
        <v/>
      </c>
      <c r="DE114" s="28" t="n"/>
      <c r="DF114" s="31" t="n"/>
      <c r="DG114" s="29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34">
        <f>SUM(O114,U114,AA114,AG114,AM114,AS114,AY114,BE114,BK114,BQ114,BW114,CC114,CI114,CO114,CU114,DA114,DG114)</f>
        <v/>
      </c>
      <c r="DI114" s="39">
        <f>RANK(DH114,DH$4:DH$503)</f>
        <v/>
      </c>
      <c r="DJ114" s="40" t="inlineStr">
        <is>
          <t>CHOOSE RATING</t>
        </is>
      </c>
      <c r="DK114" s="40" t="inlineStr">
        <is>
          <t>CHOOSE RATING</t>
        </is>
      </c>
      <c r="DL114" s="40" t="inlineStr">
        <is>
          <t>CHOOSE RATING</t>
        </is>
      </c>
      <c r="DM114" s="40" t="inlineStr">
        <is>
          <t>CHOOSE RATING</t>
        </is>
      </c>
      <c r="DN114" s="40" t="inlineStr">
        <is>
          <t>CHOOSE RATING</t>
        </is>
      </c>
      <c r="DO114" s="40" t="inlineStr">
        <is>
          <t>CHOOSE RATING</t>
        </is>
      </c>
      <c r="DP114" s="40" t="inlineStr">
        <is>
          <t>CHOOSE RATING</t>
        </is>
      </c>
      <c r="DQ114" s="40" t="inlineStr">
        <is>
          <t>CHOOSE RATING</t>
        </is>
      </c>
      <c r="DR114" s="43" t="inlineStr">
        <is>
          <t>2024/2025</t>
        </is>
      </c>
      <c r="DS114" s="45" t="inlineStr">
        <is>
          <t>THIRD</t>
        </is>
      </c>
      <c r="DT114" s="40" t="inlineStr">
        <is>
          <t>CHOOSE RATING</t>
        </is>
      </c>
      <c r="DU114" s="40" t="inlineStr">
        <is>
          <t>CHOOSE RATING</t>
        </is>
      </c>
      <c r="DV114" s="40" t="inlineStr">
        <is>
          <t>CHOOSE RATING</t>
        </is>
      </c>
      <c r="DW114" s="40" t="inlineStr">
        <is>
          <t>CHOOSE RATING</t>
        </is>
      </c>
      <c r="DX114" s="40" t="inlineStr">
        <is>
          <t>CHOOSE RATING</t>
        </is>
      </c>
      <c r="DY114" s="40" t="inlineStr">
        <is>
          <t>CHOOSE RATING</t>
        </is>
      </c>
      <c r="DZ114" s="53" t="inlineStr">
        <is>
          <t>CHOOSE RATING</t>
        </is>
      </c>
      <c r="EA114" s="54" t="inlineStr">
        <is>
          <t>Add the Tutor's Comment . . .</t>
        </is>
      </c>
      <c r="EB114" s="55" t="inlineStr">
        <is>
          <t>Choose Principals comment</t>
        </is>
      </c>
      <c r="EC114" s="56" t="n"/>
      <c r="ED114" s="57" t="inlineStr">
        <is>
          <t>Next Term Begins on Monday, 22nd September, 2025</t>
        </is>
      </c>
    </row>
    <row r="115" ht="30.6" customHeight="1" s="6">
      <c r="A115" s="18" t="n">
        <v>112</v>
      </c>
      <c r="B115" s="19" t="n"/>
      <c r="C115" s="20" t="n"/>
      <c r="D115" s="128" t="n"/>
      <c r="E115" s="21" t="n"/>
      <c r="F115" s="22" t="n"/>
      <c r="G115" s="22" t="n"/>
      <c r="H115" s="22" t="n"/>
      <c r="I115" s="26">
        <f>G115-H115</f>
        <v/>
      </c>
      <c r="J115" s="21" t="n"/>
      <c r="K115" s="21" t="n"/>
      <c r="L115" s="27">
        <f>SUM(J115:K115)</f>
        <v/>
      </c>
      <c r="M115" s="28" t="n"/>
      <c r="N115" s="28" t="n"/>
      <c r="O115" s="29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1" t="n"/>
      <c r="Q115" s="21" t="n"/>
      <c r="R115" s="27">
        <f>SUM(P115:Q115)</f>
        <v/>
      </c>
      <c r="S115" s="28" t="n"/>
      <c r="T115" s="28" t="n"/>
      <c r="U115" s="29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1" t="n"/>
      <c r="W115" s="21" t="n"/>
      <c r="X115" s="27">
        <f>SUM(V115:W115)</f>
        <v/>
      </c>
      <c r="Y115" s="28" t="n"/>
      <c r="Z115" s="28" t="n"/>
      <c r="AA115" s="29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1" t="n"/>
      <c r="AC115" s="21" t="n"/>
      <c r="AD115" s="27">
        <f>SUM(AB115:AC115)</f>
        <v/>
      </c>
      <c r="AE115" s="28" t="n"/>
      <c r="AF115" s="28" t="n"/>
      <c r="AG115" s="29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1" t="n"/>
      <c r="AI115" s="21" t="n"/>
      <c r="AJ115" s="27">
        <f>SUM(AH115:AI115)</f>
        <v/>
      </c>
      <c r="AK115" s="28" t="n"/>
      <c r="AL115" s="28" t="n"/>
      <c r="AM115" s="29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1" t="n"/>
      <c r="AO115" s="21" t="n"/>
      <c r="AP115" s="27">
        <f>SUM(AN115:AO115)</f>
        <v/>
      </c>
      <c r="AQ115" s="28" t="n"/>
      <c r="AR115" s="30" t="n"/>
      <c r="AS115" s="29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1" t="n"/>
      <c r="AU115" s="21" t="n"/>
      <c r="AV115" s="27">
        <f>SUM(AT115:AU115)</f>
        <v/>
      </c>
      <c r="AW115" s="28" t="n"/>
      <c r="AX115" s="30" t="n"/>
      <c r="AY115" s="29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1" t="n"/>
      <c r="BA115" s="21" t="n"/>
      <c r="BB115" s="27">
        <f>SUM(AZ115:BA115)</f>
        <v/>
      </c>
      <c r="BC115" s="28" t="n"/>
      <c r="BD115" s="28" t="n"/>
      <c r="BE115" s="29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1" t="n"/>
      <c r="BG115" s="21" t="n"/>
      <c r="BH115" s="27">
        <f>SUM(BF115:BG115)</f>
        <v/>
      </c>
      <c r="BI115" s="28" t="n"/>
      <c r="BJ115" s="28" t="n"/>
      <c r="BK115" s="29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1" t="n"/>
      <c r="BM115" s="21" t="n"/>
      <c r="BN115" s="27">
        <f>SUM(BL115:BM115)</f>
        <v/>
      </c>
      <c r="BO115" s="28" t="n"/>
      <c r="BP115" s="31" t="n"/>
      <c r="BQ115" s="29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1" t="n"/>
      <c r="BS115" s="21" t="n"/>
      <c r="BT115" s="27">
        <f>SUM(BR115:BS115)</f>
        <v/>
      </c>
      <c r="BU115" s="28" t="n"/>
      <c r="BV115" s="31" t="n"/>
      <c r="BW115" s="29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1" t="n"/>
      <c r="BY115" s="21" t="n"/>
      <c r="BZ115" s="27">
        <f>SUM(BX115:BY115)</f>
        <v/>
      </c>
      <c r="CA115" s="28" t="n"/>
      <c r="CB115" s="31" t="n"/>
      <c r="CC115" s="29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1" t="n"/>
      <c r="CE115" s="21" t="n"/>
      <c r="CF115" s="27">
        <f>SUM(CD115:CE115)</f>
        <v/>
      </c>
      <c r="CG115" s="28" t="n"/>
      <c r="CH115" s="31" t="n"/>
      <c r="CI115" s="29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1" t="n"/>
      <c r="CK115" s="21" t="n"/>
      <c r="CL115" s="27">
        <f>SUM(CJ115:CK115)</f>
        <v/>
      </c>
      <c r="CM115" s="28" t="n"/>
      <c r="CN115" s="31" t="n"/>
      <c r="CO115" s="29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1" t="n"/>
      <c r="CQ115" s="21" t="n"/>
      <c r="CR115" s="27">
        <f>SUM(CP115:CQ115)</f>
        <v/>
      </c>
      <c r="CS115" s="28" t="n"/>
      <c r="CT115" s="31" t="n"/>
      <c r="CU115" s="29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1" t="n"/>
      <c r="CW115" s="21" t="n"/>
      <c r="CX115" s="27">
        <f>SUM(CV115:CW115)</f>
        <v/>
      </c>
      <c r="CY115" s="28" t="n"/>
      <c r="CZ115" s="31" t="n"/>
      <c r="DA115" s="29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1" t="n"/>
      <c r="DC115" s="21" t="n"/>
      <c r="DD115" s="27">
        <f>SUM(DB115:DC115)</f>
        <v/>
      </c>
      <c r="DE115" s="28" t="n"/>
      <c r="DF115" s="31" t="n"/>
      <c r="DG115" s="29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34">
        <f>SUM(O115,U115,AA115,AG115,AM115,AS115,AY115,BE115,BK115,BQ115,BW115,CC115,CI115,CO115,CU115,DA115,DG115)</f>
        <v/>
      </c>
      <c r="DI115" s="39">
        <f>RANK(DH115,DH$4:DH$503)</f>
        <v/>
      </c>
      <c r="DJ115" s="40" t="inlineStr">
        <is>
          <t>CHOOSE RATING</t>
        </is>
      </c>
      <c r="DK115" s="40" t="inlineStr">
        <is>
          <t>CHOOSE RATING</t>
        </is>
      </c>
      <c r="DL115" s="40" t="inlineStr">
        <is>
          <t>CHOOSE RATING</t>
        </is>
      </c>
      <c r="DM115" s="40" t="inlineStr">
        <is>
          <t>CHOOSE RATING</t>
        </is>
      </c>
      <c r="DN115" s="40" t="inlineStr">
        <is>
          <t>CHOOSE RATING</t>
        </is>
      </c>
      <c r="DO115" s="40" t="inlineStr">
        <is>
          <t>CHOOSE RATING</t>
        </is>
      </c>
      <c r="DP115" s="40" t="inlineStr">
        <is>
          <t>CHOOSE RATING</t>
        </is>
      </c>
      <c r="DQ115" s="40" t="inlineStr">
        <is>
          <t>CHOOSE RATING</t>
        </is>
      </c>
      <c r="DR115" s="43" t="inlineStr">
        <is>
          <t>2024/2025</t>
        </is>
      </c>
      <c r="DS115" s="45" t="inlineStr">
        <is>
          <t>THIRD</t>
        </is>
      </c>
      <c r="DT115" s="40" t="inlineStr">
        <is>
          <t>CHOOSE RATING</t>
        </is>
      </c>
      <c r="DU115" s="40" t="inlineStr">
        <is>
          <t>CHOOSE RATING</t>
        </is>
      </c>
      <c r="DV115" s="40" t="inlineStr">
        <is>
          <t>CHOOSE RATING</t>
        </is>
      </c>
      <c r="DW115" s="40" t="inlineStr">
        <is>
          <t>CHOOSE RATING</t>
        </is>
      </c>
      <c r="DX115" s="40" t="inlineStr">
        <is>
          <t>CHOOSE RATING</t>
        </is>
      </c>
      <c r="DY115" s="40" t="inlineStr">
        <is>
          <t>CHOOSE RATING</t>
        </is>
      </c>
      <c r="DZ115" s="53" t="inlineStr">
        <is>
          <t>CHOOSE RATING</t>
        </is>
      </c>
      <c r="EA115" s="54" t="inlineStr">
        <is>
          <t>Add the Tutor's Comment . . .</t>
        </is>
      </c>
      <c r="EB115" s="55" t="inlineStr">
        <is>
          <t>Choose Principals comment</t>
        </is>
      </c>
      <c r="EC115" s="56" t="n"/>
      <c r="ED115" s="57" t="inlineStr">
        <is>
          <t>Next Term Begins on Monday, 22nd September, 2025</t>
        </is>
      </c>
    </row>
    <row r="116" ht="30.6" customHeight="1" s="6">
      <c r="A116" s="18" t="n">
        <v>113</v>
      </c>
      <c r="B116" s="19" t="n"/>
      <c r="C116" s="20" t="n"/>
      <c r="D116" s="128" t="n"/>
      <c r="E116" s="21" t="n"/>
      <c r="F116" s="22" t="n"/>
      <c r="G116" s="22" t="n"/>
      <c r="H116" s="22" t="n"/>
      <c r="I116" s="26">
        <f>G116-H116</f>
        <v/>
      </c>
      <c r="J116" s="21" t="n"/>
      <c r="K116" s="21" t="n"/>
      <c r="L116" s="27">
        <f>SUM(J116:K116)</f>
        <v/>
      </c>
      <c r="M116" s="28" t="n"/>
      <c r="N116" s="28" t="n"/>
      <c r="O116" s="29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1" t="n"/>
      <c r="Q116" s="21" t="n"/>
      <c r="R116" s="27">
        <f>SUM(P116:Q116)</f>
        <v/>
      </c>
      <c r="S116" s="28" t="n"/>
      <c r="T116" s="28" t="n"/>
      <c r="U116" s="29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1" t="n"/>
      <c r="W116" s="21" t="n"/>
      <c r="X116" s="27">
        <f>SUM(V116:W116)</f>
        <v/>
      </c>
      <c r="Y116" s="28" t="n"/>
      <c r="Z116" s="28" t="n"/>
      <c r="AA116" s="29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1" t="n"/>
      <c r="AC116" s="21" t="n"/>
      <c r="AD116" s="27">
        <f>SUM(AB116:AC116)</f>
        <v/>
      </c>
      <c r="AE116" s="28" t="n"/>
      <c r="AF116" s="28" t="n"/>
      <c r="AG116" s="29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1" t="n"/>
      <c r="AI116" s="21" t="n"/>
      <c r="AJ116" s="27">
        <f>SUM(AH116:AI116)</f>
        <v/>
      </c>
      <c r="AK116" s="28" t="n"/>
      <c r="AL116" s="28" t="n"/>
      <c r="AM116" s="29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1" t="n"/>
      <c r="AO116" s="21" t="n"/>
      <c r="AP116" s="27">
        <f>SUM(AN116:AO116)</f>
        <v/>
      </c>
      <c r="AQ116" s="28" t="n"/>
      <c r="AR116" s="30" t="n"/>
      <c r="AS116" s="29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1" t="n"/>
      <c r="AU116" s="21" t="n"/>
      <c r="AV116" s="27">
        <f>SUM(AT116:AU116)</f>
        <v/>
      </c>
      <c r="AW116" s="28" t="n"/>
      <c r="AX116" s="30" t="n"/>
      <c r="AY116" s="29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1" t="n"/>
      <c r="BA116" s="21" t="n"/>
      <c r="BB116" s="27">
        <f>SUM(AZ116:BA116)</f>
        <v/>
      </c>
      <c r="BC116" s="28" t="n"/>
      <c r="BD116" s="28" t="n"/>
      <c r="BE116" s="29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1" t="n"/>
      <c r="BG116" s="21" t="n"/>
      <c r="BH116" s="27">
        <f>SUM(BF116:BG116)</f>
        <v/>
      </c>
      <c r="BI116" s="28" t="n"/>
      <c r="BJ116" s="28" t="n"/>
      <c r="BK116" s="29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1" t="n"/>
      <c r="BM116" s="21" t="n"/>
      <c r="BN116" s="27">
        <f>SUM(BL116:BM116)</f>
        <v/>
      </c>
      <c r="BO116" s="28" t="n"/>
      <c r="BP116" s="31" t="n"/>
      <c r="BQ116" s="29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1" t="n"/>
      <c r="BS116" s="21" t="n"/>
      <c r="BT116" s="27">
        <f>SUM(BR116:BS116)</f>
        <v/>
      </c>
      <c r="BU116" s="28" t="n"/>
      <c r="BV116" s="31" t="n"/>
      <c r="BW116" s="29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1" t="n"/>
      <c r="BY116" s="21" t="n"/>
      <c r="BZ116" s="27">
        <f>SUM(BX116:BY116)</f>
        <v/>
      </c>
      <c r="CA116" s="28" t="n"/>
      <c r="CB116" s="31" t="n"/>
      <c r="CC116" s="29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1" t="n"/>
      <c r="CE116" s="21" t="n"/>
      <c r="CF116" s="27">
        <f>SUM(CD116:CE116)</f>
        <v/>
      </c>
      <c r="CG116" s="28" t="n"/>
      <c r="CH116" s="31" t="n"/>
      <c r="CI116" s="29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1" t="n"/>
      <c r="CK116" s="21" t="n"/>
      <c r="CL116" s="27">
        <f>SUM(CJ116:CK116)</f>
        <v/>
      </c>
      <c r="CM116" s="28" t="n"/>
      <c r="CN116" s="31" t="n"/>
      <c r="CO116" s="29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1" t="n"/>
      <c r="CQ116" s="21" t="n"/>
      <c r="CR116" s="27">
        <f>SUM(CP116:CQ116)</f>
        <v/>
      </c>
      <c r="CS116" s="28" t="n"/>
      <c r="CT116" s="31" t="n"/>
      <c r="CU116" s="29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1" t="n"/>
      <c r="CW116" s="21" t="n"/>
      <c r="CX116" s="27">
        <f>SUM(CV116:CW116)</f>
        <v/>
      </c>
      <c r="CY116" s="28" t="n"/>
      <c r="CZ116" s="31" t="n"/>
      <c r="DA116" s="29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1" t="n"/>
      <c r="DC116" s="21" t="n"/>
      <c r="DD116" s="27">
        <f>SUM(DB116:DC116)</f>
        <v/>
      </c>
      <c r="DE116" s="28" t="n"/>
      <c r="DF116" s="31" t="n"/>
      <c r="DG116" s="29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34">
        <f>SUM(O116,U116,AA116,AG116,AM116,AS116,AY116,BE116,BK116,BQ116,BW116,CC116,CI116,CO116,CU116,DA116,DG116)</f>
        <v/>
      </c>
      <c r="DI116" s="39">
        <f>RANK(DH116,DH$4:DH$503)</f>
        <v/>
      </c>
      <c r="DJ116" s="40" t="inlineStr">
        <is>
          <t>CHOOSE RATING</t>
        </is>
      </c>
      <c r="DK116" s="40" t="inlineStr">
        <is>
          <t>CHOOSE RATING</t>
        </is>
      </c>
      <c r="DL116" s="40" t="inlineStr">
        <is>
          <t>CHOOSE RATING</t>
        </is>
      </c>
      <c r="DM116" s="40" t="inlineStr">
        <is>
          <t>CHOOSE RATING</t>
        </is>
      </c>
      <c r="DN116" s="40" t="inlineStr">
        <is>
          <t>CHOOSE RATING</t>
        </is>
      </c>
      <c r="DO116" s="40" t="inlineStr">
        <is>
          <t>CHOOSE RATING</t>
        </is>
      </c>
      <c r="DP116" s="40" t="inlineStr">
        <is>
          <t>CHOOSE RATING</t>
        </is>
      </c>
      <c r="DQ116" s="40" t="inlineStr">
        <is>
          <t>CHOOSE RATING</t>
        </is>
      </c>
      <c r="DR116" s="43" t="inlineStr">
        <is>
          <t>2024/2025</t>
        </is>
      </c>
      <c r="DS116" s="45" t="inlineStr">
        <is>
          <t>THIRD</t>
        </is>
      </c>
      <c r="DT116" s="40" t="inlineStr">
        <is>
          <t>CHOOSE RATING</t>
        </is>
      </c>
      <c r="DU116" s="40" t="inlineStr">
        <is>
          <t>CHOOSE RATING</t>
        </is>
      </c>
      <c r="DV116" s="40" t="inlineStr">
        <is>
          <t>CHOOSE RATING</t>
        </is>
      </c>
      <c r="DW116" s="40" t="inlineStr">
        <is>
          <t>CHOOSE RATING</t>
        </is>
      </c>
      <c r="DX116" s="40" t="inlineStr">
        <is>
          <t>CHOOSE RATING</t>
        </is>
      </c>
      <c r="DY116" s="40" t="inlineStr">
        <is>
          <t>CHOOSE RATING</t>
        </is>
      </c>
      <c r="DZ116" s="53" t="inlineStr">
        <is>
          <t>CHOOSE RATING</t>
        </is>
      </c>
      <c r="EA116" s="54" t="inlineStr">
        <is>
          <t>Add the Tutor's Comment . . .</t>
        </is>
      </c>
      <c r="EB116" s="55" t="inlineStr">
        <is>
          <t>Choose Principals comment</t>
        </is>
      </c>
      <c r="EC116" s="56" t="n"/>
      <c r="ED116" s="57" t="inlineStr">
        <is>
          <t>Next Term Begins on Monday, 22nd September, 2025</t>
        </is>
      </c>
    </row>
    <row r="117" ht="30.6" customHeight="1" s="6">
      <c r="A117" s="18" t="n">
        <v>114</v>
      </c>
      <c r="B117" s="19" t="n"/>
      <c r="C117" s="20" t="n"/>
      <c r="D117" s="128" t="n"/>
      <c r="E117" s="21" t="n"/>
      <c r="F117" s="22" t="n"/>
      <c r="G117" s="22" t="n"/>
      <c r="H117" s="22" t="n"/>
      <c r="I117" s="26">
        <f>G117-H117</f>
        <v/>
      </c>
      <c r="J117" s="21" t="n"/>
      <c r="K117" s="21" t="n"/>
      <c r="L117" s="27">
        <f>SUM(J117:K117)</f>
        <v/>
      </c>
      <c r="M117" s="28" t="n"/>
      <c r="N117" s="28" t="n"/>
      <c r="O117" s="29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1" t="n"/>
      <c r="Q117" s="21" t="n"/>
      <c r="R117" s="27">
        <f>SUM(P117:Q117)</f>
        <v/>
      </c>
      <c r="S117" s="28" t="n"/>
      <c r="T117" s="28" t="n"/>
      <c r="U117" s="29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1" t="n"/>
      <c r="W117" s="21" t="n"/>
      <c r="X117" s="27">
        <f>SUM(V117:W117)</f>
        <v/>
      </c>
      <c r="Y117" s="28" t="n"/>
      <c r="Z117" s="28" t="n"/>
      <c r="AA117" s="29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1" t="n"/>
      <c r="AC117" s="21" t="n"/>
      <c r="AD117" s="27">
        <f>SUM(AB117:AC117)</f>
        <v/>
      </c>
      <c r="AE117" s="28" t="n"/>
      <c r="AF117" s="28" t="n"/>
      <c r="AG117" s="29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1" t="n"/>
      <c r="AI117" s="21" t="n"/>
      <c r="AJ117" s="27">
        <f>SUM(AH117:AI117)</f>
        <v/>
      </c>
      <c r="AK117" s="28" t="n"/>
      <c r="AL117" s="28" t="n"/>
      <c r="AM117" s="29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1" t="n"/>
      <c r="AO117" s="21" t="n"/>
      <c r="AP117" s="27">
        <f>SUM(AN117:AO117)</f>
        <v/>
      </c>
      <c r="AQ117" s="28" t="n"/>
      <c r="AR117" s="30" t="n"/>
      <c r="AS117" s="29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1" t="n"/>
      <c r="AU117" s="21" t="n"/>
      <c r="AV117" s="27">
        <f>SUM(AT117:AU117)</f>
        <v/>
      </c>
      <c r="AW117" s="28" t="n"/>
      <c r="AX117" s="30" t="n"/>
      <c r="AY117" s="29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1" t="n"/>
      <c r="BA117" s="21" t="n"/>
      <c r="BB117" s="27">
        <f>SUM(AZ117:BA117)</f>
        <v/>
      </c>
      <c r="BC117" s="28" t="n"/>
      <c r="BD117" s="28" t="n"/>
      <c r="BE117" s="29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1" t="n"/>
      <c r="BG117" s="21" t="n"/>
      <c r="BH117" s="27">
        <f>SUM(BF117:BG117)</f>
        <v/>
      </c>
      <c r="BI117" s="28" t="n"/>
      <c r="BJ117" s="28" t="n"/>
      <c r="BK117" s="29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1" t="n"/>
      <c r="BM117" s="21" t="n"/>
      <c r="BN117" s="27">
        <f>SUM(BL117:BM117)</f>
        <v/>
      </c>
      <c r="BO117" s="28" t="n"/>
      <c r="BP117" s="31" t="n"/>
      <c r="BQ117" s="29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1" t="n"/>
      <c r="BS117" s="21" t="n"/>
      <c r="BT117" s="27">
        <f>SUM(BR117:BS117)</f>
        <v/>
      </c>
      <c r="BU117" s="28" t="n"/>
      <c r="BV117" s="31" t="n"/>
      <c r="BW117" s="29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1" t="n"/>
      <c r="BY117" s="21" t="n"/>
      <c r="BZ117" s="27">
        <f>SUM(BX117:BY117)</f>
        <v/>
      </c>
      <c r="CA117" s="28" t="n"/>
      <c r="CB117" s="31" t="n"/>
      <c r="CC117" s="29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1" t="n"/>
      <c r="CE117" s="21" t="n"/>
      <c r="CF117" s="27">
        <f>SUM(CD117:CE117)</f>
        <v/>
      </c>
      <c r="CG117" s="28" t="n"/>
      <c r="CH117" s="31" t="n"/>
      <c r="CI117" s="29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1" t="n"/>
      <c r="CK117" s="21" t="n"/>
      <c r="CL117" s="27">
        <f>SUM(CJ117:CK117)</f>
        <v/>
      </c>
      <c r="CM117" s="28" t="n"/>
      <c r="CN117" s="31" t="n"/>
      <c r="CO117" s="29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1" t="n"/>
      <c r="CQ117" s="21" t="n"/>
      <c r="CR117" s="27">
        <f>SUM(CP117:CQ117)</f>
        <v/>
      </c>
      <c r="CS117" s="28" t="n"/>
      <c r="CT117" s="31" t="n"/>
      <c r="CU117" s="29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1" t="n"/>
      <c r="CW117" s="21" t="n"/>
      <c r="CX117" s="27">
        <f>SUM(CV117:CW117)</f>
        <v/>
      </c>
      <c r="CY117" s="28" t="n"/>
      <c r="CZ117" s="31" t="n"/>
      <c r="DA117" s="29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1" t="n"/>
      <c r="DC117" s="21" t="n"/>
      <c r="DD117" s="27">
        <f>SUM(DB117:DC117)</f>
        <v/>
      </c>
      <c r="DE117" s="28" t="n"/>
      <c r="DF117" s="31" t="n"/>
      <c r="DG117" s="29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34">
        <f>SUM(O117,U117,AA117,AG117,AM117,AS117,AY117,BE117,BK117,BQ117,BW117,CC117,CI117,CO117,CU117,DA117,DG117)</f>
        <v/>
      </c>
      <c r="DI117" s="39">
        <f>RANK(DH117,DH$4:DH$503)</f>
        <v/>
      </c>
      <c r="DJ117" s="40" t="inlineStr">
        <is>
          <t>CHOOSE RATING</t>
        </is>
      </c>
      <c r="DK117" s="40" t="inlineStr">
        <is>
          <t>CHOOSE RATING</t>
        </is>
      </c>
      <c r="DL117" s="40" t="inlineStr">
        <is>
          <t>CHOOSE RATING</t>
        </is>
      </c>
      <c r="DM117" s="40" t="inlineStr">
        <is>
          <t>CHOOSE RATING</t>
        </is>
      </c>
      <c r="DN117" s="40" t="inlineStr">
        <is>
          <t>CHOOSE RATING</t>
        </is>
      </c>
      <c r="DO117" s="40" t="inlineStr">
        <is>
          <t>CHOOSE RATING</t>
        </is>
      </c>
      <c r="DP117" s="40" t="inlineStr">
        <is>
          <t>CHOOSE RATING</t>
        </is>
      </c>
      <c r="DQ117" s="40" t="inlineStr">
        <is>
          <t>CHOOSE RATING</t>
        </is>
      </c>
      <c r="DR117" s="43" t="inlineStr">
        <is>
          <t>2024/2025</t>
        </is>
      </c>
      <c r="DS117" s="45" t="inlineStr">
        <is>
          <t>THIRD</t>
        </is>
      </c>
      <c r="DT117" s="40" t="inlineStr">
        <is>
          <t>CHOOSE RATING</t>
        </is>
      </c>
      <c r="DU117" s="40" t="inlineStr">
        <is>
          <t>CHOOSE RATING</t>
        </is>
      </c>
      <c r="DV117" s="40" t="inlineStr">
        <is>
          <t>CHOOSE RATING</t>
        </is>
      </c>
      <c r="DW117" s="40" t="inlineStr">
        <is>
          <t>CHOOSE RATING</t>
        </is>
      </c>
      <c r="DX117" s="40" t="inlineStr">
        <is>
          <t>CHOOSE RATING</t>
        </is>
      </c>
      <c r="DY117" s="40" t="inlineStr">
        <is>
          <t>CHOOSE RATING</t>
        </is>
      </c>
      <c r="DZ117" s="53" t="inlineStr">
        <is>
          <t>CHOOSE RATING</t>
        </is>
      </c>
      <c r="EA117" s="54" t="inlineStr">
        <is>
          <t>Add the Tutor's Comment . . .</t>
        </is>
      </c>
      <c r="EB117" s="55" t="inlineStr">
        <is>
          <t>Choose Principals comment</t>
        </is>
      </c>
      <c r="EC117" s="56" t="n"/>
      <c r="ED117" s="57" t="inlineStr">
        <is>
          <t>Next Term Begins on Monday, 22nd September, 2025</t>
        </is>
      </c>
    </row>
    <row r="118" ht="30.6" customHeight="1" s="6">
      <c r="A118" s="18" t="n">
        <v>115</v>
      </c>
      <c r="B118" s="19" t="n"/>
      <c r="C118" s="20" t="n"/>
      <c r="D118" s="128" t="n"/>
      <c r="E118" s="21" t="n"/>
      <c r="F118" s="22" t="n"/>
      <c r="G118" s="22" t="n"/>
      <c r="H118" s="22" t="n"/>
      <c r="I118" s="26">
        <f>G118-H118</f>
        <v/>
      </c>
      <c r="J118" s="21" t="n"/>
      <c r="K118" s="21" t="n"/>
      <c r="L118" s="27">
        <f>SUM(J118:K118)</f>
        <v/>
      </c>
      <c r="M118" s="28" t="n"/>
      <c r="N118" s="28" t="n"/>
      <c r="O118" s="29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1" t="n"/>
      <c r="Q118" s="21" t="n"/>
      <c r="R118" s="27">
        <f>SUM(P118:Q118)</f>
        <v/>
      </c>
      <c r="S118" s="28" t="n"/>
      <c r="T118" s="28" t="n"/>
      <c r="U118" s="29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1" t="n"/>
      <c r="W118" s="21" t="n"/>
      <c r="X118" s="27">
        <f>SUM(V118:W118)</f>
        <v/>
      </c>
      <c r="Y118" s="28" t="n"/>
      <c r="Z118" s="28" t="n"/>
      <c r="AA118" s="29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1" t="n"/>
      <c r="AC118" s="21" t="n"/>
      <c r="AD118" s="27">
        <f>SUM(AB118:AC118)</f>
        <v/>
      </c>
      <c r="AE118" s="28" t="n"/>
      <c r="AF118" s="28" t="n"/>
      <c r="AG118" s="29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1" t="n"/>
      <c r="AI118" s="21" t="n"/>
      <c r="AJ118" s="27">
        <f>SUM(AH118:AI118)</f>
        <v/>
      </c>
      <c r="AK118" s="28" t="n"/>
      <c r="AL118" s="28" t="n"/>
      <c r="AM118" s="29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1" t="n"/>
      <c r="AO118" s="21" t="n"/>
      <c r="AP118" s="27">
        <f>SUM(AN118:AO118)</f>
        <v/>
      </c>
      <c r="AQ118" s="28" t="n"/>
      <c r="AR118" s="30" t="n"/>
      <c r="AS118" s="29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1" t="n"/>
      <c r="AU118" s="21" t="n"/>
      <c r="AV118" s="27">
        <f>SUM(AT118:AU118)</f>
        <v/>
      </c>
      <c r="AW118" s="28" t="n"/>
      <c r="AX118" s="30" t="n"/>
      <c r="AY118" s="29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1" t="n"/>
      <c r="BA118" s="21" t="n"/>
      <c r="BB118" s="27">
        <f>SUM(AZ118:BA118)</f>
        <v/>
      </c>
      <c r="BC118" s="28" t="n"/>
      <c r="BD118" s="28" t="n"/>
      <c r="BE118" s="29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1" t="n"/>
      <c r="BG118" s="21" t="n"/>
      <c r="BH118" s="27">
        <f>SUM(BF118:BG118)</f>
        <v/>
      </c>
      <c r="BI118" s="28" t="n"/>
      <c r="BJ118" s="28" t="n"/>
      <c r="BK118" s="29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1" t="n"/>
      <c r="BM118" s="21" t="n"/>
      <c r="BN118" s="27">
        <f>SUM(BL118:BM118)</f>
        <v/>
      </c>
      <c r="BO118" s="28" t="n"/>
      <c r="BP118" s="31" t="n"/>
      <c r="BQ118" s="29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1" t="n"/>
      <c r="BS118" s="21" t="n"/>
      <c r="BT118" s="27">
        <f>SUM(BR118:BS118)</f>
        <v/>
      </c>
      <c r="BU118" s="28" t="n"/>
      <c r="BV118" s="31" t="n"/>
      <c r="BW118" s="29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1" t="n"/>
      <c r="BY118" s="21" t="n"/>
      <c r="BZ118" s="27">
        <f>SUM(BX118:BY118)</f>
        <v/>
      </c>
      <c r="CA118" s="28" t="n"/>
      <c r="CB118" s="31" t="n"/>
      <c r="CC118" s="29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1" t="n"/>
      <c r="CE118" s="21" t="n"/>
      <c r="CF118" s="27">
        <f>SUM(CD118:CE118)</f>
        <v/>
      </c>
      <c r="CG118" s="28" t="n"/>
      <c r="CH118" s="31" t="n"/>
      <c r="CI118" s="29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1" t="n"/>
      <c r="CK118" s="21" t="n"/>
      <c r="CL118" s="27">
        <f>SUM(CJ118:CK118)</f>
        <v/>
      </c>
      <c r="CM118" s="28" t="n"/>
      <c r="CN118" s="31" t="n"/>
      <c r="CO118" s="29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1" t="n"/>
      <c r="CQ118" s="21" t="n"/>
      <c r="CR118" s="27">
        <f>SUM(CP118:CQ118)</f>
        <v/>
      </c>
      <c r="CS118" s="28" t="n"/>
      <c r="CT118" s="31" t="n"/>
      <c r="CU118" s="29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1" t="n"/>
      <c r="CW118" s="21" t="n"/>
      <c r="CX118" s="27">
        <f>SUM(CV118:CW118)</f>
        <v/>
      </c>
      <c r="CY118" s="28" t="n"/>
      <c r="CZ118" s="31" t="n"/>
      <c r="DA118" s="29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1" t="n"/>
      <c r="DC118" s="21" t="n"/>
      <c r="DD118" s="27">
        <f>SUM(DB118:DC118)</f>
        <v/>
      </c>
      <c r="DE118" s="28" t="n"/>
      <c r="DF118" s="31" t="n"/>
      <c r="DG118" s="29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34">
        <f>SUM(O118,U118,AA118,AG118,AM118,AS118,AY118,BE118,BK118,BQ118,BW118,CC118,CI118,CO118,CU118,DA118,DG118)</f>
        <v/>
      </c>
      <c r="DI118" s="39">
        <f>RANK(DH118,DH$4:DH$503)</f>
        <v/>
      </c>
      <c r="DJ118" s="40" t="inlineStr">
        <is>
          <t>CHOOSE RATING</t>
        </is>
      </c>
      <c r="DK118" s="40" t="inlineStr">
        <is>
          <t>CHOOSE RATING</t>
        </is>
      </c>
      <c r="DL118" s="40" t="inlineStr">
        <is>
          <t>CHOOSE RATING</t>
        </is>
      </c>
      <c r="DM118" s="40" t="inlineStr">
        <is>
          <t>CHOOSE RATING</t>
        </is>
      </c>
      <c r="DN118" s="40" t="inlineStr">
        <is>
          <t>CHOOSE RATING</t>
        </is>
      </c>
      <c r="DO118" s="40" t="inlineStr">
        <is>
          <t>CHOOSE RATING</t>
        </is>
      </c>
      <c r="DP118" s="40" t="inlineStr">
        <is>
          <t>CHOOSE RATING</t>
        </is>
      </c>
      <c r="DQ118" s="40" t="inlineStr">
        <is>
          <t>CHOOSE RATING</t>
        </is>
      </c>
      <c r="DR118" s="43" t="inlineStr">
        <is>
          <t>2024/2025</t>
        </is>
      </c>
      <c r="DS118" s="45" t="inlineStr">
        <is>
          <t>THIRD</t>
        </is>
      </c>
      <c r="DT118" s="40" t="inlineStr">
        <is>
          <t>CHOOSE RATING</t>
        </is>
      </c>
      <c r="DU118" s="40" t="inlineStr">
        <is>
          <t>CHOOSE RATING</t>
        </is>
      </c>
      <c r="DV118" s="40" t="inlineStr">
        <is>
          <t>CHOOSE RATING</t>
        </is>
      </c>
      <c r="DW118" s="40" t="inlineStr">
        <is>
          <t>CHOOSE RATING</t>
        </is>
      </c>
      <c r="DX118" s="40" t="inlineStr">
        <is>
          <t>CHOOSE RATING</t>
        </is>
      </c>
      <c r="DY118" s="40" t="inlineStr">
        <is>
          <t>CHOOSE RATING</t>
        </is>
      </c>
      <c r="DZ118" s="53" t="inlineStr">
        <is>
          <t>CHOOSE RATING</t>
        </is>
      </c>
      <c r="EA118" s="54" t="inlineStr">
        <is>
          <t>Add the Tutor's Comment . . .</t>
        </is>
      </c>
      <c r="EB118" s="55" t="inlineStr">
        <is>
          <t>Choose Principals comment</t>
        </is>
      </c>
      <c r="EC118" s="56" t="n"/>
      <c r="ED118" s="57" t="inlineStr">
        <is>
          <t>Next Term Begins on Monday, 22nd September, 2025</t>
        </is>
      </c>
    </row>
    <row r="119" ht="30.6" customHeight="1" s="6">
      <c r="A119" s="18" t="n">
        <v>116</v>
      </c>
      <c r="B119" s="19" t="n"/>
      <c r="C119" s="20" t="n"/>
      <c r="D119" s="128" t="n"/>
      <c r="E119" s="21" t="n"/>
      <c r="F119" s="22" t="n"/>
      <c r="G119" s="22" t="n"/>
      <c r="H119" s="22" t="n"/>
      <c r="I119" s="26">
        <f>G119-H119</f>
        <v/>
      </c>
      <c r="J119" s="21" t="n"/>
      <c r="K119" s="21" t="n"/>
      <c r="L119" s="27">
        <f>SUM(J119:K119)</f>
        <v/>
      </c>
      <c r="M119" s="28" t="n"/>
      <c r="N119" s="28" t="n"/>
      <c r="O119" s="29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1" t="n"/>
      <c r="Q119" s="21" t="n"/>
      <c r="R119" s="27">
        <f>SUM(P119:Q119)</f>
        <v/>
      </c>
      <c r="S119" s="28" t="n"/>
      <c r="T119" s="28" t="n"/>
      <c r="U119" s="29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1" t="n"/>
      <c r="W119" s="21" t="n"/>
      <c r="X119" s="27">
        <f>SUM(V119:W119)</f>
        <v/>
      </c>
      <c r="Y119" s="28" t="n"/>
      <c r="Z119" s="28" t="n"/>
      <c r="AA119" s="29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1" t="n"/>
      <c r="AC119" s="21" t="n"/>
      <c r="AD119" s="27">
        <f>SUM(AB119:AC119)</f>
        <v/>
      </c>
      <c r="AE119" s="28" t="n"/>
      <c r="AF119" s="28" t="n"/>
      <c r="AG119" s="29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1" t="n"/>
      <c r="AI119" s="21" t="n"/>
      <c r="AJ119" s="27">
        <f>SUM(AH119:AI119)</f>
        <v/>
      </c>
      <c r="AK119" s="28" t="n"/>
      <c r="AL119" s="28" t="n"/>
      <c r="AM119" s="29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1" t="n"/>
      <c r="AO119" s="21" t="n"/>
      <c r="AP119" s="27">
        <f>SUM(AN119:AO119)</f>
        <v/>
      </c>
      <c r="AQ119" s="28" t="n"/>
      <c r="AR119" s="30" t="n"/>
      <c r="AS119" s="29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1" t="n"/>
      <c r="AU119" s="21" t="n"/>
      <c r="AV119" s="27">
        <f>SUM(AT119:AU119)</f>
        <v/>
      </c>
      <c r="AW119" s="28" t="n"/>
      <c r="AX119" s="30" t="n"/>
      <c r="AY119" s="29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1" t="n"/>
      <c r="BA119" s="21" t="n"/>
      <c r="BB119" s="27">
        <f>SUM(AZ119:BA119)</f>
        <v/>
      </c>
      <c r="BC119" s="28" t="n"/>
      <c r="BD119" s="28" t="n"/>
      <c r="BE119" s="29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1" t="n"/>
      <c r="BG119" s="21" t="n"/>
      <c r="BH119" s="27">
        <f>SUM(BF119:BG119)</f>
        <v/>
      </c>
      <c r="BI119" s="28" t="n"/>
      <c r="BJ119" s="28" t="n"/>
      <c r="BK119" s="29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1" t="n"/>
      <c r="BM119" s="21" t="n"/>
      <c r="BN119" s="27">
        <f>SUM(BL119:BM119)</f>
        <v/>
      </c>
      <c r="BO119" s="28" t="n"/>
      <c r="BP119" s="31" t="n"/>
      <c r="BQ119" s="29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1" t="n"/>
      <c r="BS119" s="21" t="n"/>
      <c r="BT119" s="27">
        <f>SUM(BR119:BS119)</f>
        <v/>
      </c>
      <c r="BU119" s="28" t="n"/>
      <c r="BV119" s="31" t="n"/>
      <c r="BW119" s="29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1" t="n"/>
      <c r="BY119" s="21" t="n"/>
      <c r="BZ119" s="27">
        <f>SUM(BX119:BY119)</f>
        <v/>
      </c>
      <c r="CA119" s="28" t="n"/>
      <c r="CB119" s="31" t="n"/>
      <c r="CC119" s="29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1" t="n"/>
      <c r="CE119" s="21" t="n"/>
      <c r="CF119" s="27">
        <f>SUM(CD119:CE119)</f>
        <v/>
      </c>
      <c r="CG119" s="28" t="n"/>
      <c r="CH119" s="31" t="n"/>
      <c r="CI119" s="29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1" t="n"/>
      <c r="CK119" s="21" t="n"/>
      <c r="CL119" s="27">
        <f>SUM(CJ119:CK119)</f>
        <v/>
      </c>
      <c r="CM119" s="28" t="n"/>
      <c r="CN119" s="31" t="n"/>
      <c r="CO119" s="29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1" t="n"/>
      <c r="CQ119" s="21" t="n"/>
      <c r="CR119" s="27">
        <f>SUM(CP119:CQ119)</f>
        <v/>
      </c>
      <c r="CS119" s="28" t="n"/>
      <c r="CT119" s="31" t="n"/>
      <c r="CU119" s="29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1" t="n"/>
      <c r="CW119" s="21" t="n"/>
      <c r="CX119" s="27">
        <f>SUM(CV119:CW119)</f>
        <v/>
      </c>
      <c r="CY119" s="28" t="n"/>
      <c r="CZ119" s="31" t="n"/>
      <c r="DA119" s="29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1" t="n"/>
      <c r="DC119" s="21" t="n"/>
      <c r="DD119" s="27">
        <f>SUM(DB119:DC119)</f>
        <v/>
      </c>
      <c r="DE119" s="28" t="n"/>
      <c r="DF119" s="31" t="n"/>
      <c r="DG119" s="29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34">
        <f>SUM(O119,U119,AA119,AG119,AM119,AS119,AY119,BE119,BK119,BQ119,BW119,CC119,CI119,CO119,CU119,DA119,DG119)</f>
        <v/>
      </c>
      <c r="DI119" s="39">
        <f>RANK(DH119,DH$4:DH$503)</f>
        <v/>
      </c>
      <c r="DJ119" s="40" t="inlineStr">
        <is>
          <t>CHOOSE RATING</t>
        </is>
      </c>
      <c r="DK119" s="40" t="inlineStr">
        <is>
          <t>CHOOSE RATING</t>
        </is>
      </c>
      <c r="DL119" s="40" t="inlineStr">
        <is>
          <t>CHOOSE RATING</t>
        </is>
      </c>
      <c r="DM119" s="40" t="inlineStr">
        <is>
          <t>CHOOSE RATING</t>
        </is>
      </c>
      <c r="DN119" s="40" t="inlineStr">
        <is>
          <t>CHOOSE RATING</t>
        </is>
      </c>
      <c r="DO119" s="40" t="inlineStr">
        <is>
          <t>CHOOSE RATING</t>
        </is>
      </c>
      <c r="DP119" s="40" t="inlineStr">
        <is>
          <t>CHOOSE RATING</t>
        </is>
      </c>
      <c r="DQ119" s="40" t="inlineStr">
        <is>
          <t>CHOOSE RATING</t>
        </is>
      </c>
      <c r="DR119" s="43" t="inlineStr">
        <is>
          <t>2024/2025</t>
        </is>
      </c>
      <c r="DS119" s="45" t="inlineStr">
        <is>
          <t>THIRD</t>
        </is>
      </c>
      <c r="DT119" s="40" t="inlineStr">
        <is>
          <t>CHOOSE RATING</t>
        </is>
      </c>
      <c r="DU119" s="40" t="inlineStr">
        <is>
          <t>CHOOSE RATING</t>
        </is>
      </c>
      <c r="DV119" s="40" t="inlineStr">
        <is>
          <t>CHOOSE RATING</t>
        </is>
      </c>
      <c r="DW119" s="40" t="inlineStr">
        <is>
          <t>CHOOSE RATING</t>
        </is>
      </c>
      <c r="DX119" s="40" t="inlineStr">
        <is>
          <t>CHOOSE RATING</t>
        </is>
      </c>
      <c r="DY119" s="40" t="inlineStr">
        <is>
          <t>CHOOSE RATING</t>
        </is>
      </c>
      <c r="DZ119" s="53" t="inlineStr">
        <is>
          <t>CHOOSE RATING</t>
        </is>
      </c>
      <c r="EA119" s="54" t="inlineStr">
        <is>
          <t>Add the Tutor's Comment . . .</t>
        </is>
      </c>
      <c r="EB119" s="55" t="inlineStr">
        <is>
          <t>Choose Principals comment</t>
        </is>
      </c>
      <c r="EC119" s="56" t="n"/>
      <c r="ED119" s="57" t="inlineStr">
        <is>
          <t>Next Term Begins on Monday, 22nd September, 2025</t>
        </is>
      </c>
    </row>
    <row r="120" ht="30.6" customHeight="1" s="6">
      <c r="A120" s="18" t="n">
        <v>117</v>
      </c>
      <c r="B120" s="19" t="n"/>
      <c r="C120" s="20" t="n"/>
      <c r="D120" s="128" t="n"/>
      <c r="E120" s="21" t="n"/>
      <c r="F120" s="22" t="n"/>
      <c r="G120" s="22" t="n"/>
      <c r="H120" s="22" t="n"/>
      <c r="I120" s="26">
        <f>G120-H120</f>
        <v/>
      </c>
      <c r="J120" s="21" t="n"/>
      <c r="K120" s="21" t="n"/>
      <c r="L120" s="27">
        <f>SUM(J120:K120)</f>
        <v/>
      </c>
      <c r="M120" s="28" t="n"/>
      <c r="N120" s="28" t="n"/>
      <c r="O120" s="29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1" t="n"/>
      <c r="Q120" s="21" t="n"/>
      <c r="R120" s="27">
        <f>SUM(P120:Q120)</f>
        <v/>
      </c>
      <c r="S120" s="28" t="n"/>
      <c r="T120" s="28" t="n"/>
      <c r="U120" s="29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1" t="n"/>
      <c r="W120" s="21" t="n"/>
      <c r="X120" s="27">
        <f>SUM(V120:W120)</f>
        <v/>
      </c>
      <c r="Y120" s="28" t="n"/>
      <c r="Z120" s="28" t="n"/>
      <c r="AA120" s="29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1" t="n"/>
      <c r="AC120" s="21" t="n"/>
      <c r="AD120" s="27">
        <f>SUM(AB120:AC120)</f>
        <v/>
      </c>
      <c r="AE120" s="28" t="n"/>
      <c r="AF120" s="28" t="n"/>
      <c r="AG120" s="29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1" t="n"/>
      <c r="AI120" s="21" t="n"/>
      <c r="AJ120" s="27">
        <f>SUM(AH120:AI120)</f>
        <v/>
      </c>
      <c r="AK120" s="28" t="n"/>
      <c r="AL120" s="28" t="n"/>
      <c r="AM120" s="29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1" t="n"/>
      <c r="AO120" s="21" t="n"/>
      <c r="AP120" s="27">
        <f>SUM(AN120:AO120)</f>
        <v/>
      </c>
      <c r="AQ120" s="28" t="n"/>
      <c r="AR120" s="30" t="n"/>
      <c r="AS120" s="29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1" t="n"/>
      <c r="AU120" s="21" t="n"/>
      <c r="AV120" s="27">
        <f>SUM(AT120:AU120)</f>
        <v/>
      </c>
      <c r="AW120" s="28" t="n"/>
      <c r="AX120" s="30" t="n"/>
      <c r="AY120" s="29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1" t="n"/>
      <c r="BA120" s="21" t="n"/>
      <c r="BB120" s="27">
        <f>SUM(AZ120:BA120)</f>
        <v/>
      </c>
      <c r="BC120" s="28" t="n"/>
      <c r="BD120" s="28" t="n"/>
      <c r="BE120" s="29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1" t="n"/>
      <c r="BG120" s="21" t="n"/>
      <c r="BH120" s="27">
        <f>SUM(BF120:BG120)</f>
        <v/>
      </c>
      <c r="BI120" s="28" t="n"/>
      <c r="BJ120" s="28" t="n"/>
      <c r="BK120" s="29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1" t="n"/>
      <c r="BM120" s="21" t="n"/>
      <c r="BN120" s="27">
        <f>SUM(BL120:BM120)</f>
        <v/>
      </c>
      <c r="BO120" s="28" t="n"/>
      <c r="BP120" s="31" t="n"/>
      <c r="BQ120" s="29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1" t="n"/>
      <c r="BS120" s="21" t="n"/>
      <c r="BT120" s="27">
        <f>SUM(BR120:BS120)</f>
        <v/>
      </c>
      <c r="BU120" s="28" t="n"/>
      <c r="BV120" s="31" t="n"/>
      <c r="BW120" s="29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1" t="n"/>
      <c r="BY120" s="21" t="n"/>
      <c r="BZ120" s="27">
        <f>SUM(BX120:BY120)</f>
        <v/>
      </c>
      <c r="CA120" s="28" t="n"/>
      <c r="CB120" s="31" t="n"/>
      <c r="CC120" s="29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1" t="n"/>
      <c r="CE120" s="21" t="n"/>
      <c r="CF120" s="27">
        <f>SUM(CD120:CE120)</f>
        <v/>
      </c>
      <c r="CG120" s="28" t="n"/>
      <c r="CH120" s="31" t="n"/>
      <c r="CI120" s="29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1" t="n"/>
      <c r="CK120" s="21" t="n"/>
      <c r="CL120" s="27">
        <f>SUM(CJ120:CK120)</f>
        <v/>
      </c>
      <c r="CM120" s="28" t="n"/>
      <c r="CN120" s="31" t="n"/>
      <c r="CO120" s="29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1" t="n"/>
      <c r="CQ120" s="21" t="n"/>
      <c r="CR120" s="27">
        <f>SUM(CP120:CQ120)</f>
        <v/>
      </c>
      <c r="CS120" s="28" t="n"/>
      <c r="CT120" s="31" t="n"/>
      <c r="CU120" s="29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1" t="n"/>
      <c r="CW120" s="21" t="n"/>
      <c r="CX120" s="27">
        <f>SUM(CV120:CW120)</f>
        <v/>
      </c>
      <c r="CY120" s="28" t="n"/>
      <c r="CZ120" s="31" t="n"/>
      <c r="DA120" s="29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1" t="n"/>
      <c r="DC120" s="21" t="n"/>
      <c r="DD120" s="27">
        <f>SUM(DB120:DC120)</f>
        <v/>
      </c>
      <c r="DE120" s="28" t="n"/>
      <c r="DF120" s="31" t="n"/>
      <c r="DG120" s="29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34">
        <f>SUM(O120,U120,AA120,AG120,AM120,AS120,AY120,BE120,BK120,BQ120,BW120,CC120,CI120,CO120,CU120,DA120,DG120)</f>
        <v/>
      </c>
      <c r="DI120" s="39">
        <f>RANK(DH120,DH$4:DH$503)</f>
        <v/>
      </c>
      <c r="DJ120" s="40" t="inlineStr">
        <is>
          <t>CHOOSE RATING</t>
        </is>
      </c>
      <c r="DK120" s="40" t="inlineStr">
        <is>
          <t>CHOOSE RATING</t>
        </is>
      </c>
      <c r="DL120" s="40" t="inlineStr">
        <is>
          <t>CHOOSE RATING</t>
        </is>
      </c>
      <c r="DM120" s="40" t="inlineStr">
        <is>
          <t>CHOOSE RATING</t>
        </is>
      </c>
      <c r="DN120" s="40" t="inlineStr">
        <is>
          <t>CHOOSE RATING</t>
        </is>
      </c>
      <c r="DO120" s="40" t="inlineStr">
        <is>
          <t>CHOOSE RATING</t>
        </is>
      </c>
      <c r="DP120" s="40" t="inlineStr">
        <is>
          <t>CHOOSE RATING</t>
        </is>
      </c>
      <c r="DQ120" s="40" t="inlineStr">
        <is>
          <t>CHOOSE RATING</t>
        </is>
      </c>
      <c r="DR120" s="43" t="inlineStr">
        <is>
          <t>2024/2025</t>
        </is>
      </c>
      <c r="DS120" s="45" t="inlineStr">
        <is>
          <t>THIRD</t>
        </is>
      </c>
      <c r="DT120" s="40" t="inlineStr">
        <is>
          <t>CHOOSE RATING</t>
        </is>
      </c>
      <c r="DU120" s="40" t="inlineStr">
        <is>
          <t>CHOOSE RATING</t>
        </is>
      </c>
      <c r="DV120" s="40" t="inlineStr">
        <is>
          <t>CHOOSE RATING</t>
        </is>
      </c>
      <c r="DW120" s="40" t="inlineStr">
        <is>
          <t>CHOOSE RATING</t>
        </is>
      </c>
      <c r="DX120" s="40" t="inlineStr">
        <is>
          <t>CHOOSE RATING</t>
        </is>
      </c>
      <c r="DY120" s="40" t="inlineStr">
        <is>
          <t>CHOOSE RATING</t>
        </is>
      </c>
      <c r="DZ120" s="53" t="inlineStr">
        <is>
          <t>CHOOSE RATING</t>
        </is>
      </c>
      <c r="EA120" s="54" t="inlineStr">
        <is>
          <t>Add the Tutor's Comment . . .</t>
        </is>
      </c>
      <c r="EB120" s="55" t="inlineStr">
        <is>
          <t>Choose Principals comment</t>
        </is>
      </c>
      <c r="EC120" s="56" t="n"/>
      <c r="ED120" s="57" t="inlineStr">
        <is>
          <t>Next Term Begins on Monday, 22nd September, 2025</t>
        </is>
      </c>
    </row>
    <row r="121" ht="30.6" customHeight="1" s="6">
      <c r="A121" s="18" t="n">
        <v>118</v>
      </c>
      <c r="B121" s="19" t="n"/>
      <c r="C121" s="20" t="n"/>
      <c r="D121" s="128" t="n"/>
      <c r="E121" s="21" t="n"/>
      <c r="F121" s="22" t="n"/>
      <c r="G121" s="22" t="n"/>
      <c r="H121" s="22" t="n"/>
      <c r="I121" s="26">
        <f>G121-H121</f>
        <v/>
      </c>
      <c r="J121" s="21" t="n"/>
      <c r="K121" s="21" t="n"/>
      <c r="L121" s="27">
        <f>SUM(J121:K121)</f>
        <v/>
      </c>
      <c r="M121" s="28" t="n"/>
      <c r="N121" s="28" t="n"/>
      <c r="O121" s="29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1" t="n"/>
      <c r="Q121" s="21" t="n"/>
      <c r="R121" s="27">
        <f>SUM(P121:Q121)</f>
        <v/>
      </c>
      <c r="S121" s="28" t="n"/>
      <c r="T121" s="28" t="n"/>
      <c r="U121" s="29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1" t="n"/>
      <c r="W121" s="21" t="n"/>
      <c r="X121" s="27">
        <f>SUM(V121:W121)</f>
        <v/>
      </c>
      <c r="Y121" s="28" t="n"/>
      <c r="Z121" s="28" t="n"/>
      <c r="AA121" s="29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1" t="n"/>
      <c r="AC121" s="21" t="n"/>
      <c r="AD121" s="27">
        <f>SUM(AB121:AC121)</f>
        <v/>
      </c>
      <c r="AE121" s="28" t="n"/>
      <c r="AF121" s="28" t="n"/>
      <c r="AG121" s="29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1" t="n"/>
      <c r="AI121" s="21" t="n"/>
      <c r="AJ121" s="27">
        <f>SUM(AH121:AI121)</f>
        <v/>
      </c>
      <c r="AK121" s="28" t="n"/>
      <c r="AL121" s="28" t="n"/>
      <c r="AM121" s="29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1" t="n"/>
      <c r="AO121" s="21" t="n"/>
      <c r="AP121" s="27">
        <f>SUM(AN121:AO121)</f>
        <v/>
      </c>
      <c r="AQ121" s="28" t="n"/>
      <c r="AR121" s="30" t="n"/>
      <c r="AS121" s="29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1" t="n"/>
      <c r="AU121" s="21" t="n"/>
      <c r="AV121" s="27">
        <f>SUM(AT121:AU121)</f>
        <v/>
      </c>
      <c r="AW121" s="28" t="n"/>
      <c r="AX121" s="30" t="n"/>
      <c r="AY121" s="29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1" t="n"/>
      <c r="BA121" s="21" t="n"/>
      <c r="BB121" s="27">
        <f>SUM(AZ121:BA121)</f>
        <v/>
      </c>
      <c r="BC121" s="28" t="n"/>
      <c r="BD121" s="28" t="n"/>
      <c r="BE121" s="29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1" t="n"/>
      <c r="BG121" s="21" t="n"/>
      <c r="BH121" s="27">
        <f>SUM(BF121:BG121)</f>
        <v/>
      </c>
      <c r="BI121" s="28" t="n"/>
      <c r="BJ121" s="28" t="n"/>
      <c r="BK121" s="29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1" t="n"/>
      <c r="BM121" s="21" t="n"/>
      <c r="BN121" s="27">
        <f>SUM(BL121:BM121)</f>
        <v/>
      </c>
      <c r="BO121" s="28" t="n"/>
      <c r="BP121" s="31" t="n"/>
      <c r="BQ121" s="29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1" t="n"/>
      <c r="BS121" s="21" t="n"/>
      <c r="BT121" s="27">
        <f>SUM(BR121:BS121)</f>
        <v/>
      </c>
      <c r="BU121" s="28" t="n"/>
      <c r="BV121" s="31" t="n"/>
      <c r="BW121" s="29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1" t="n"/>
      <c r="BY121" s="21" t="n"/>
      <c r="BZ121" s="27">
        <f>SUM(BX121:BY121)</f>
        <v/>
      </c>
      <c r="CA121" s="28" t="n"/>
      <c r="CB121" s="31" t="n"/>
      <c r="CC121" s="29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1" t="n"/>
      <c r="CE121" s="21" t="n"/>
      <c r="CF121" s="27">
        <f>SUM(CD121:CE121)</f>
        <v/>
      </c>
      <c r="CG121" s="28" t="n"/>
      <c r="CH121" s="31" t="n"/>
      <c r="CI121" s="29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1" t="n"/>
      <c r="CK121" s="21" t="n"/>
      <c r="CL121" s="27">
        <f>SUM(CJ121:CK121)</f>
        <v/>
      </c>
      <c r="CM121" s="28" t="n"/>
      <c r="CN121" s="31" t="n"/>
      <c r="CO121" s="29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1" t="n"/>
      <c r="CQ121" s="21" t="n"/>
      <c r="CR121" s="27">
        <f>SUM(CP121:CQ121)</f>
        <v/>
      </c>
      <c r="CS121" s="28" t="n"/>
      <c r="CT121" s="31" t="n"/>
      <c r="CU121" s="29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1" t="n"/>
      <c r="CW121" s="21" t="n"/>
      <c r="CX121" s="27">
        <f>SUM(CV121:CW121)</f>
        <v/>
      </c>
      <c r="CY121" s="28" t="n"/>
      <c r="CZ121" s="31" t="n"/>
      <c r="DA121" s="29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1" t="n"/>
      <c r="DC121" s="21" t="n"/>
      <c r="DD121" s="27">
        <f>SUM(DB121:DC121)</f>
        <v/>
      </c>
      <c r="DE121" s="28" t="n"/>
      <c r="DF121" s="31" t="n"/>
      <c r="DG121" s="29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34">
        <f>SUM(O121,U121,AA121,AG121,AM121,AS121,AY121,BE121,BK121,BQ121,BW121,CC121,CI121,CO121,CU121,DA121,DG121)</f>
        <v/>
      </c>
      <c r="DI121" s="39">
        <f>RANK(DH121,DH$4:DH$503)</f>
        <v/>
      </c>
      <c r="DJ121" s="40" t="inlineStr">
        <is>
          <t>CHOOSE RATING</t>
        </is>
      </c>
      <c r="DK121" s="40" t="inlineStr">
        <is>
          <t>CHOOSE RATING</t>
        </is>
      </c>
      <c r="DL121" s="40" t="inlineStr">
        <is>
          <t>CHOOSE RATING</t>
        </is>
      </c>
      <c r="DM121" s="40" t="inlineStr">
        <is>
          <t>CHOOSE RATING</t>
        </is>
      </c>
      <c r="DN121" s="40" t="inlineStr">
        <is>
          <t>CHOOSE RATING</t>
        </is>
      </c>
      <c r="DO121" s="40" t="inlineStr">
        <is>
          <t>CHOOSE RATING</t>
        </is>
      </c>
      <c r="DP121" s="40" t="inlineStr">
        <is>
          <t>CHOOSE RATING</t>
        </is>
      </c>
      <c r="DQ121" s="40" t="inlineStr">
        <is>
          <t>CHOOSE RATING</t>
        </is>
      </c>
      <c r="DR121" s="43" t="inlineStr">
        <is>
          <t>2024/2025</t>
        </is>
      </c>
      <c r="DS121" s="45" t="inlineStr">
        <is>
          <t>THIRD</t>
        </is>
      </c>
      <c r="DT121" s="40" t="inlineStr">
        <is>
          <t>CHOOSE RATING</t>
        </is>
      </c>
      <c r="DU121" s="40" t="inlineStr">
        <is>
          <t>CHOOSE RATING</t>
        </is>
      </c>
      <c r="DV121" s="40" t="inlineStr">
        <is>
          <t>CHOOSE RATING</t>
        </is>
      </c>
      <c r="DW121" s="40" t="inlineStr">
        <is>
          <t>CHOOSE RATING</t>
        </is>
      </c>
      <c r="DX121" s="40" t="inlineStr">
        <is>
          <t>CHOOSE RATING</t>
        </is>
      </c>
      <c r="DY121" s="40" t="inlineStr">
        <is>
          <t>CHOOSE RATING</t>
        </is>
      </c>
      <c r="DZ121" s="53" t="inlineStr">
        <is>
          <t>CHOOSE RATING</t>
        </is>
      </c>
      <c r="EA121" s="54" t="inlineStr">
        <is>
          <t>Add the Tutor's Comment . . .</t>
        </is>
      </c>
      <c r="EB121" s="55" t="inlineStr">
        <is>
          <t>Choose Principals comment</t>
        </is>
      </c>
      <c r="EC121" s="56" t="n"/>
      <c r="ED121" s="57" t="inlineStr">
        <is>
          <t>Next Term Begins on Monday, 22nd September, 2025</t>
        </is>
      </c>
    </row>
    <row r="122" ht="30.6" customHeight="1" s="6">
      <c r="A122" s="18" t="n">
        <v>119</v>
      </c>
      <c r="B122" s="19" t="n"/>
      <c r="C122" s="20" t="n"/>
      <c r="D122" s="128" t="n"/>
      <c r="E122" s="21" t="n"/>
      <c r="F122" s="22" t="n"/>
      <c r="G122" s="22" t="n"/>
      <c r="H122" s="22" t="n"/>
      <c r="I122" s="26">
        <f>G122-H122</f>
        <v/>
      </c>
      <c r="J122" s="21" t="n"/>
      <c r="K122" s="21" t="n"/>
      <c r="L122" s="27">
        <f>SUM(J122:K122)</f>
        <v/>
      </c>
      <c r="M122" s="28" t="n"/>
      <c r="N122" s="28" t="n"/>
      <c r="O122" s="29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1" t="n"/>
      <c r="Q122" s="21" t="n"/>
      <c r="R122" s="27">
        <f>SUM(P122:Q122)</f>
        <v/>
      </c>
      <c r="S122" s="28" t="n"/>
      <c r="T122" s="28" t="n"/>
      <c r="U122" s="29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1" t="n"/>
      <c r="W122" s="21" t="n"/>
      <c r="X122" s="27">
        <f>SUM(V122:W122)</f>
        <v/>
      </c>
      <c r="Y122" s="28" t="n"/>
      <c r="Z122" s="28" t="n"/>
      <c r="AA122" s="29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1" t="n"/>
      <c r="AC122" s="21" t="n"/>
      <c r="AD122" s="27">
        <f>SUM(AB122:AC122)</f>
        <v/>
      </c>
      <c r="AE122" s="28" t="n"/>
      <c r="AF122" s="28" t="n"/>
      <c r="AG122" s="29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1" t="n"/>
      <c r="AI122" s="21" t="n"/>
      <c r="AJ122" s="27">
        <f>SUM(AH122:AI122)</f>
        <v/>
      </c>
      <c r="AK122" s="28" t="n"/>
      <c r="AL122" s="28" t="n"/>
      <c r="AM122" s="29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1" t="n"/>
      <c r="AO122" s="21" t="n"/>
      <c r="AP122" s="27">
        <f>SUM(AN122:AO122)</f>
        <v/>
      </c>
      <c r="AQ122" s="28" t="n"/>
      <c r="AR122" s="30" t="n"/>
      <c r="AS122" s="29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1" t="n"/>
      <c r="AU122" s="21" t="n"/>
      <c r="AV122" s="27">
        <f>SUM(AT122:AU122)</f>
        <v/>
      </c>
      <c r="AW122" s="28" t="n"/>
      <c r="AX122" s="30" t="n"/>
      <c r="AY122" s="29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1" t="n"/>
      <c r="BA122" s="21" t="n"/>
      <c r="BB122" s="27">
        <f>SUM(AZ122:BA122)</f>
        <v/>
      </c>
      <c r="BC122" s="28" t="n"/>
      <c r="BD122" s="28" t="n"/>
      <c r="BE122" s="29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1" t="n"/>
      <c r="BG122" s="21" t="n"/>
      <c r="BH122" s="27">
        <f>SUM(BF122:BG122)</f>
        <v/>
      </c>
      <c r="BI122" s="28" t="n"/>
      <c r="BJ122" s="28" t="n"/>
      <c r="BK122" s="29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1" t="n"/>
      <c r="BM122" s="21" t="n"/>
      <c r="BN122" s="27">
        <f>SUM(BL122:BM122)</f>
        <v/>
      </c>
      <c r="BO122" s="28" t="n"/>
      <c r="BP122" s="31" t="n"/>
      <c r="BQ122" s="29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1" t="n"/>
      <c r="BS122" s="21" t="n"/>
      <c r="BT122" s="27">
        <f>SUM(BR122:BS122)</f>
        <v/>
      </c>
      <c r="BU122" s="28" t="n"/>
      <c r="BV122" s="31" t="n"/>
      <c r="BW122" s="29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1" t="n"/>
      <c r="BY122" s="21" t="n"/>
      <c r="BZ122" s="27">
        <f>SUM(BX122:BY122)</f>
        <v/>
      </c>
      <c r="CA122" s="28" t="n"/>
      <c r="CB122" s="31" t="n"/>
      <c r="CC122" s="29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1" t="n"/>
      <c r="CE122" s="21" t="n"/>
      <c r="CF122" s="27">
        <f>SUM(CD122:CE122)</f>
        <v/>
      </c>
      <c r="CG122" s="28" t="n"/>
      <c r="CH122" s="31" t="n"/>
      <c r="CI122" s="29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1" t="n"/>
      <c r="CK122" s="21" t="n"/>
      <c r="CL122" s="27">
        <f>SUM(CJ122:CK122)</f>
        <v/>
      </c>
      <c r="CM122" s="28" t="n"/>
      <c r="CN122" s="31" t="n"/>
      <c r="CO122" s="29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1" t="n"/>
      <c r="CQ122" s="21" t="n"/>
      <c r="CR122" s="27">
        <f>SUM(CP122:CQ122)</f>
        <v/>
      </c>
      <c r="CS122" s="28" t="n"/>
      <c r="CT122" s="31" t="n"/>
      <c r="CU122" s="29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1" t="n"/>
      <c r="CW122" s="21" t="n"/>
      <c r="CX122" s="27">
        <f>SUM(CV122:CW122)</f>
        <v/>
      </c>
      <c r="CY122" s="28" t="n"/>
      <c r="CZ122" s="31" t="n"/>
      <c r="DA122" s="29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1" t="n"/>
      <c r="DC122" s="21" t="n"/>
      <c r="DD122" s="27">
        <f>SUM(DB122:DC122)</f>
        <v/>
      </c>
      <c r="DE122" s="28" t="n"/>
      <c r="DF122" s="31" t="n"/>
      <c r="DG122" s="29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34">
        <f>SUM(O122,U122,AA122,AG122,AM122,AS122,AY122,BE122,BK122,BQ122,BW122,CC122,CI122,CO122,CU122,DA122,DG122)</f>
        <v/>
      </c>
      <c r="DI122" s="39">
        <f>RANK(DH122,DH$4:DH$503)</f>
        <v/>
      </c>
      <c r="DJ122" s="40" t="inlineStr">
        <is>
          <t>CHOOSE RATING</t>
        </is>
      </c>
      <c r="DK122" s="40" t="inlineStr">
        <is>
          <t>CHOOSE RATING</t>
        </is>
      </c>
      <c r="DL122" s="40" t="inlineStr">
        <is>
          <t>CHOOSE RATING</t>
        </is>
      </c>
      <c r="DM122" s="40" t="inlineStr">
        <is>
          <t>CHOOSE RATING</t>
        </is>
      </c>
      <c r="DN122" s="40" t="inlineStr">
        <is>
          <t>CHOOSE RATING</t>
        </is>
      </c>
      <c r="DO122" s="40" t="inlineStr">
        <is>
          <t>CHOOSE RATING</t>
        </is>
      </c>
      <c r="DP122" s="40" t="inlineStr">
        <is>
          <t>CHOOSE RATING</t>
        </is>
      </c>
      <c r="DQ122" s="40" t="inlineStr">
        <is>
          <t>CHOOSE RATING</t>
        </is>
      </c>
      <c r="DR122" s="43" t="inlineStr">
        <is>
          <t>2024/2025</t>
        </is>
      </c>
      <c r="DS122" s="45" t="inlineStr">
        <is>
          <t>THIRD</t>
        </is>
      </c>
      <c r="DT122" s="40" t="inlineStr">
        <is>
          <t>CHOOSE RATING</t>
        </is>
      </c>
      <c r="DU122" s="40" t="inlineStr">
        <is>
          <t>CHOOSE RATING</t>
        </is>
      </c>
      <c r="DV122" s="40" t="inlineStr">
        <is>
          <t>CHOOSE RATING</t>
        </is>
      </c>
      <c r="DW122" s="40" t="inlineStr">
        <is>
          <t>CHOOSE RATING</t>
        </is>
      </c>
      <c r="DX122" s="40" t="inlineStr">
        <is>
          <t>CHOOSE RATING</t>
        </is>
      </c>
      <c r="DY122" s="40" t="inlineStr">
        <is>
          <t>CHOOSE RATING</t>
        </is>
      </c>
      <c r="DZ122" s="53" t="inlineStr">
        <is>
          <t>CHOOSE RATING</t>
        </is>
      </c>
      <c r="EA122" s="54" t="inlineStr">
        <is>
          <t>Add the Tutor's Comment . . .</t>
        </is>
      </c>
      <c r="EB122" s="55" t="inlineStr">
        <is>
          <t>Choose Principals comment</t>
        </is>
      </c>
      <c r="EC122" s="56" t="n"/>
      <c r="ED122" s="57" t="inlineStr">
        <is>
          <t>Next Term Begins on Monday, 22nd September, 2025</t>
        </is>
      </c>
    </row>
    <row r="123" ht="30.6" customHeight="1" s="6">
      <c r="A123" s="18" t="n">
        <v>120</v>
      </c>
      <c r="B123" s="19" t="n"/>
      <c r="C123" s="20" t="n"/>
      <c r="D123" s="128" t="n"/>
      <c r="E123" s="21" t="n"/>
      <c r="F123" s="22" t="n"/>
      <c r="G123" s="22" t="n"/>
      <c r="H123" s="22" t="n"/>
      <c r="I123" s="26">
        <f>G123-H123</f>
        <v/>
      </c>
      <c r="J123" s="21" t="n"/>
      <c r="K123" s="21" t="n"/>
      <c r="L123" s="27">
        <f>SUM(J123:K123)</f>
        <v/>
      </c>
      <c r="M123" s="28" t="n"/>
      <c r="N123" s="28" t="n"/>
      <c r="O123" s="29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1" t="n"/>
      <c r="Q123" s="21" t="n"/>
      <c r="R123" s="27">
        <f>SUM(P123:Q123)</f>
        <v/>
      </c>
      <c r="S123" s="28" t="n"/>
      <c r="T123" s="28" t="n"/>
      <c r="U123" s="29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1" t="n"/>
      <c r="W123" s="21" t="n"/>
      <c r="X123" s="27">
        <f>SUM(V123:W123)</f>
        <v/>
      </c>
      <c r="Y123" s="28" t="n"/>
      <c r="Z123" s="28" t="n"/>
      <c r="AA123" s="29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1" t="n"/>
      <c r="AC123" s="21" t="n"/>
      <c r="AD123" s="27">
        <f>SUM(AB123:AC123)</f>
        <v/>
      </c>
      <c r="AE123" s="28" t="n"/>
      <c r="AF123" s="28" t="n"/>
      <c r="AG123" s="29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1" t="n"/>
      <c r="AI123" s="21" t="n"/>
      <c r="AJ123" s="27">
        <f>SUM(AH123:AI123)</f>
        <v/>
      </c>
      <c r="AK123" s="28" t="n"/>
      <c r="AL123" s="28" t="n"/>
      <c r="AM123" s="29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1" t="n"/>
      <c r="AO123" s="21" t="n"/>
      <c r="AP123" s="27">
        <f>SUM(AN123:AO123)</f>
        <v/>
      </c>
      <c r="AQ123" s="28" t="n"/>
      <c r="AR123" s="30" t="n"/>
      <c r="AS123" s="29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1" t="n"/>
      <c r="AU123" s="21" t="n"/>
      <c r="AV123" s="27">
        <f>SUM(AT123:AU123)</f>
        <v/>
      </c>
      <c r="AW123" s="28" t="n"/>
      <c r="AX123" s="30" t="n"/>
      <c r="AY123" s="29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1" t="n"/>
      <c r="BA123" s="21" t="n"/>
      <c r="BB123" s="27">
        <f>SUM(AZ123:BA123)</f>
        <v/>
      </c>
      <c r="BC123" s="28" t="n"/>
      <c r="BD123" s="28" t="n"/>
      <c r="BE123" s="29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1" t="n"/>
      <c r="BG123" s="21" t="n"/>
      <c r="BH123" s="27">
        <f>SUM(BF123:BG123)</f>
        <v/>
      </c>
      <c r="BI123" s="28" t="n"/>
      <c r="BJ123" s="28" t="n"/>
      <c r="BK123" s="29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1" t="n"/>
      <c r="BM123" s="21" t="n"/>
      <c r="BN123" s="27">
        <f>SUM(BL123:BM123)</f>
        <v/>
      </c>
      <c r="BO123" s="28" t="n"/>
      <c r="BP123" s="31" t="n"/>
      <c r="BQ123" s="29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1" t="n"/>
      <c r="BS123" s="21" t="n"/>
      <c r="BT123" s="27">
        <f>SUM(BR123:BS123)</f>
        <v/>
      </c>
      <c r="BU123" s="28" t="n"/>
      <c r="BV123" s="31" t="n"/>
      <c r="BW123" s="29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1" t="n"/>
      <c r="BY123" s="21" t="n"/>
      <c r="BZ123" s="27">
        <f>SUM(BX123:BY123)</f>
        <v/>
      </c>
      <c r="CA123" s="28" t="n"/>
      <c r="CB123" s="31" t="n"/>
      <c r="CC123" s="29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1" t="n"/>
      <c r="CE123" s="21" t="n"/>
      <c r="CF123" s="27">
        <f>SUM(CD123:CE123)</f>
        <v/>
      </c>
      <c r="CG123" s="28" t="n"/>
      <c r="CH123" s="31" t="n"/>
      <c r="CI123" s="29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1" t="n"/>
      <c r="CK123" s="21" t="n"/>
      <c r="CL123" s="27">
        <f>SUM(CJ123:CK123)</f>
        <v/>
      </c>
      <c r="CM123" s="28" t="n"/>
      <c r="CN123" s="31" t="n"/>
      <c r="CO123" s="29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1" t="n"/>
      <c r="CQ123" s="21" t="n"/>
      <c r="CR123" s="27">
        <f>SUM(CP123:CQ123)</f>
        <v/>
      </c>
      <c r="CS123" s="28" t="n"/>
      <c r="CT123" s="31" t="n"/>
      <c r="CU123" s="29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1" t="n"/>
      <c r="CW123" s="21" t="n"/>
      <c r="CX123" s="27">
        <f>SUM(CV123:CW123)</f>
        <v/>
      </c>
      <c r="CY123" s="28" t="n"/>
      <c r="CZ123" s="31" t="n"/>
      <c r="DA123" s="29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1" t="n"/>
      <c r="DC123" s="21" t="n"/>
      <c r="DD123" s="27">
        <f>SUM(DB123:DC123)</f>
        <v/>
      </c>
      <c r="DE123" s="28" t="n"/>
      <c r="DF123" s="31" t="n"/>
      <c r="DG123" s="29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34">
        <f>SUM(O123,U123,AA123,AG123,AM123,AS123,AY123,BE123,BK123,BQ123,BW123,CC123,CI123,CO123,CU123,DA123,DG123)</f>
        <v/>
      </c>
      <c r="DI123" s="39">
        <f>RANK(DH123,DH$4:DH$503)</f>
        <v/>
      </c>
      <c r="DJ123" s="40" t="inlineStr">
        <is>
          <t>CHOOSE RATING</t>
        </is>
      </c>
      <c r="DK123" s="40" t="inlineStr">
        <is>
          <t>CHOOSE RATING</t>
        </is>
      </c>
      <c r="DL123" s="40" t="inlineStr">
        <is>
          <t>CHOOSE RATING</t>
        </is>
      </c>
      <c r="DM123" s="40" t="inlineStr">
        <is>
          <t>CHOOSE RATING</t>
        </is>
      </c>
      <c r="DN123" s="40" t="inlineStr">
        <is>
          <t>CHOOSE RATING</t>
        </is>
      </c>
      <c r="DO123" s="40" t="inlineStr">
        <is>
          <t>CHOOSE RATING</t>
        </is>
      </c>
      <c r="DP123" s="40" t="inlineStr">
        <is>
          <t>CHOOSE RATING</t>
        </is>
      </c>
      <c r="DQ123" s="40" t="inlineStr">
        <is>
          <t>CHOOSE RATING</t>
        </is>
      </c>
      <c r="DR123" s="43" t="inlineStr">
        <is>
          <t>2024/2025</t>
        </is>
      </c>
      <c r="DS123" s="45" t="inlineStr">
        <is>
          <t>THIRD</t>
        </is>
      </c>
      <c r="DT123" s="40" t="inlineStr">
        <is>
          <t>CHOOSE RATING</t>
        </is>
      </c>
      <c r="DU123" s="40" t="inlineStr">
        <is>
          <t>CHOOSE RATING</t>
        </is>
      </c>
      <c r="DV123" s="40" t="inlineStr">
        <is>
          <t>CHOOSE RATING</t>
        </is>
      </c>
      <c r="DW123" s="40" t="inlineStr">
        <is>
          <t>CHOOSE RATING</t>
        </is>
      </c>
      <c r="DX123" s="40" t="inlineStr">
        <is>
          <t>CHOOSE RATING</t>
        </is>
      </c>
      <c r="DY123" s="40" t="inlineStr">
        <is>
          <t>CHOOSE RATING</t>
        </is>
      </c>
      <c r="DZ123" s="53" t="inlineStr">
        <is>
          <t>CHOOSE RATING</t>
        </is>
      </c>
      <c r="EA123" s="54" t="inlineStr">
        <is>
          <t>Add the Tutor's Comment . . .</t>
        </is>
      </c>
      <c r="EB123" s="55" t="inlineStr">
        <is>
          <t>Choose Principals comment</t>
        </is>
      </c>
      <c r="EC123" s="56" t="n"/>
      <c r="ED123" s="57" t="inlineStr">
        <is>
          <t>Next Term Begins on Monday, 22nd September, 2025</t>
        </is>
      </c>
    </row>
    <row r="124" ht="30.6" customHeight="1" s="6">
      <c r="A124" s="18" t="n">
        <v>121</v>
      </c>
      <c r="B124" s="19" t="n"/>
      <c r="C124" s="20" t="n"/>
      <c r="D124" s="128" t="n"/>
      <c r="E124" s="21" t="n"/>
      <c r="F124" s="22" t="n"/>
      <c r="G124" s="22" t="n"/>
      <c r="H124" s="22" t="n"/>
      <c r="I124" s="26">
        <f>G124-H124</f>
        <v/>
      </c>
      <c r="J124" s="21" t="n"/>
      <c r="K124" s="21" t="n"/>
      <c r="L124" s="27">
        <f>SUM(J124:K124)</f>
        <v/>
      </c>
      <c r="M124" s="28" t="n"/>
      <c r="N124" s="28" t="n"/>
      <c r="O124" s="29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1" t="n"/>
      <c r="Q124" s="21" t="n"/>
      <c r="R124" s="27">
        <f>SUM(P124:Q124)</f>
        <v/>
      </c>
      <c r="S124" s="28" t="n"/>
      <c r="T124" s="28" t="n"/>
      <c r="U124" s="29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1" t="n"/>
      <c r="W124" s="21" t="n"/>
      <c r="X124" s="27">
        <f>SUM(V124:W124)</f>
        <v/>
      </c>
      <c r="Y124" s="28" t="n"/>
      <c r="Z124" s="28" t="n"/>
      <c r="AA124" s="29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1" t="n"/>
      <c r="AC124" s="21" t="n"/>
      <c r="AD124" s="27">
        <f>SUM(AB124:AC124)</f>
        <v/>
      </c>
      <c r="AE124" s="28" t="n"/>
      <c r="AF124" s="28" t="n"/>
      <c r="AG124" s="29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1" t="n"/>
      <c r="AI124" s="21" t="n"/>
      <c r="AJ124" s="27">
        <f>SUM(AH124:AI124)</f>
        <v/>
      </c>
      <c r="AK124" s="28" t="n"/>
      <c r="AL124" s="28" t="n"/>
      <c r="AM124" s="29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1" t="n"/>
      <c r="AO124" s="21" t="n"/>
      <c r="AP124" s="27">
        <f>SUM(AN124:AO124)</f>
        <v/>
      </c>
      <c r="AQ124" s="28" t="n"/>
      <c r="AR124" s="30" t="n"/>
      <c r="AS124" s="29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1" t="n"/>
      <c r="AU124" s="21" t="n"/>
      <c r="AV124" s="27">
        <f>SUM(AT124:AU124)</f>
        <v/>
      </c>
      <c r="AW124" s="28" t="n"/>
      <c r="AX124" s="30" t="n"/>
      <c r="AY124" s="29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1" t="n"/>
      <c r="BA124" s="21" t="n"/>
      <c r="BB124" s="27">
        <f>SUM(AZ124:BA124)</f>
        <v/>
      </c>
      <c r="BC124" s="28" t="n"/>
      <c r="BD124" s="28" t="n"/>
      <c r="BE124" s="29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1" t="n"/>
      <c r="BG124" s="21" t="n"/>
      <c r="BH124" s="27">
        <f>SUM(BF124:BG124)</f>
        <v/>
      </c>
      <c r="BI124" s="28" t="n"/>
      <c r="BJ124" s="28" t="n"/>
      <c r="BK124" s="29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1" t="n"/>
      <c r="BM124" s="21" t="n"/>
      <c r="BN124" s="27">
        <f>SUM(BL124:BM124)</f>
        <v/>
      </c>
      <c r="BO124" s="28" t="n"/>
      <c r="BP124" s="31" t="n"/>
      <c r="BQ124" s="29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1" t="n"/>
      <c r="BS124" s="21" t="n"/>
      <c r="BT124" s="27">
        <f>SUM(BR124:BS124)</f>
        <v/>
      </c>
      <c r="BU124" s="28" t="n"/>
      <c r="BV124" s="31" t="n"/>
      <c r="BW124" s="29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1" t="n"/>
      <c r="BY124" s="21" t="n"/>
      <c r="BZ124" s="27">
        <f>SUM(BX124:BY124)</f>
        <v/>
      </c>
      <c r="CA124" s="28" t="n"/>
      <c r="CB124" s="31" t="n"/>
      <c r="CC124" s="29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1" t="n"/>
      <c r="CE124" s="21" t="n"/>
      <c r="CF124" s="27">
        <f>SUM(CD124:CE124)</f>
        <v/>
      </c>
      <c r="CG124" s="28" t="n"/>
      <c r="CH124" s="31" t="n"/>
      <c r="CI124" s="29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1" t="n"/>
      <c r="CK124" s="21" t="n"/>
      <c r="CL124" s="27">
        <f>SUM(CJ124:CK124)</f>
        <v/>
      </c>
      <c r="CM124" s="28" t="n"/>
      <c r="CN124" s="31" t="n"/>
      <c r="CO124" s="29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1" t="n"/>
      <c r="CQ124" s="21" t="n"/>
      <c r="CR124" s="27">
        <f>SUM(CP124:CQ124)</f>
        <v/>
      </c>
      <c r="CS124" s="28" t="n"/>
      <c r="CT124" s="31" t="n"/>
      <c r="CU124" s="29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1" t="n"/>
      <c r="CW124" s="21" t="n"/>
      <c r="CX124" s="27">
        <f>SUM(CV124:CW124)</f>
        <v/>
      </c>
      <c r="CY124" s="28" t="n"/>
      <c r="CZ124" s="31" t="n"/>
      <c r="DA124" s="29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1" t="n"/>
      <c r="DC124" s="21" t="n"/>
      <c r="DD124" s="27">
        <f>SUM(DB124:DC124)</f>
        <v/>
      </c>
      <c r="DE124" s="28" t="n"/>
      <c r="DF124" s="31" t="n"/>
      <c r="DG124" s="29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34">
        <f>SUM(O124,U124,AA124,AG124,AM124,AS124,AY124,BE124,BK124,BQ124,BW124,CC124,CI124,CO124,CU124,DA124,DG124)</f>
        <v/>
      </c>
      <c r="DI124" s="39">
        <f>RANK(DH124,DH$4:DH$503)</f>
        <v/>
      </c>
      <c r="DJ124" s="40" t="inlineStr">
        <is>
          <t>CHOOSE RATING</t>
        </is>
      </c>
      <c r="DK124" s="40" t="inlineStr">
        <is>
          <t>CHOOSE RATING</t>
        </is>
      </c>
      <c r="DL124" s="40" t="inlineStr">
        <is>
          <t>CHOOSE RATING</t>
        </is>
      </c>
      <c r="DM124" s="40" t="inlineStr">
        <is>
          <t>CHOOSE RATING</t>
        </is>
      </c>
      <c r="DN124" s="40" t="inlineStr">
        <is>
          <t>CHOOSE RATING</t>
        </is>
      </c>
      <c r="DO124" s="40" t="inlineStr">
        <is>
          <t>CHOOSE RATING</t>
        </is>
      </c>
      <c r="DP124" s="40" t="inlineStr">
        <is>
          <t>CHOOSE RATING</t>
        </is>
      </c>
      <c r="DQ124" s="40" t="inlineStr">
        <is>
          <t>CHOOSE RATING</t>
        </is>
      </c>
      <c r="DR124" s="43" t="inlineStr">
        <is>
          <t>2024/2025</t>
        </is>
      </c>
      <c r="DS124" s="45" t="inlineStr">
        <is>
          <t>THIRD</t>
        </is>
      </c>
      <c r="DT124" s="40" t="inlineStr">
        <is>
          <t>CHOOSE RATING</t>
        </is>
      </c>
      <c r="DU124" s="40" t="inlineStr">
        <is>
          <t>CHOOSE RATING</t>
        </is>
      </c>
      <c r="DV124" s="40" t="inlineStr">
        <is>
          <t>CHOOSE RATING</t>
        </is>
      </c>
      <c r="DW124" s="40" t="inlineStr">
        <is>
          <t>CHOOSE RATING</t>
        </is>
      </c>
      <c r="DX124" s="40" t="inlineStr">
        <is>
          <t>CHOOSE RATING</t>
        </is>
      </c>
      <c r="DY124" s="40" t="inlineStr">
        <is>
          <t>CHOOSE RATING</t>
        </is>
      </c>
      <c r="DZ124" s="53" t="inlineStr">
        <is>
          <t>CHOOSE RATING</t>
        </is>
      </c>
      <c r="EA124" s="54" t="inlineStr">
        <is>
          <t>Add the Tutor's Comment . . .</t>
        </is>
      </c>
      <c r="EB124" s="55" t="inlineStr">
        <is>
          <t>Choose Principals comment</t>
        </is>
      </c>
      <c r="EC124" s="56" t="n"/>
      <c r="ED124" s="57" t="inlineStr">
        <is>
          <t>Next Term Begins on Monday, 22nd September, 2025</t>
        </is>
      </c>
    </row>
    <row r="125" ht="30.6" customHeight="1" s="6">
      <c r="A125" s="18" t="n">
        <v>122</v>
      </c>
      <c r="B125" s="19" t="n"/>
      <c r="C125" s="20" t="n"/>
      <c r="D125" s="128" t="n"/>
      <c r="E125" s="21" t="n"/>
      <c r="F125" s="22" t="n"/>
      <c r="G125" s="22" t="n"/>
      <c r="H125" s="22" t="n"/>
      <c r="I125" s="26">
        <f>G125-H125</f>
        <v/>
      </c>
      <c r="J125" s="21" t="n"/>
      <c r="K125" s="21" t="n"/>
      <c r="L125" s="27">
        <f>SUM(J125:K125)</f>
        <v/>
      </c>
      <c r="M125" s="28" t="n"/>
      <c r="N125" s="28" t="n"/>
      <c r="O125" s="29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1" t="n"/>
      <c r="Q125" s="21" t="n"/>
      <c r="R125" s="27">
        <f>SUM(P125:Q125)</f>
        <v/>
      </c>
      <c r="S125" s="28" t="n"/>
      <c r="T125" s="28" t="n"/>
      <c r="U125" s="29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1" t="n"/>
      <c r="W125" s="21" t="n"/>
      <c r="X125" s="27">
        <f>SUM(V125:W125)</f>
        <v/>
      </c>
      <c r="Y125" s="28" t="n"/>
      <c r="Z125" s="28" t="n"/>
      <c r="AA125" s="29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1" t="n"/>
      <c r="AC125" s="21" t="n"/>
      <c r="AD125" s="27">
        <f>SUM(AB125:AC125)</f>
        <v/>
      </c>
      <c r="AE125" s="28" t="n"/>
      <c r="AF125" s="28" t="n"/>
      <c r="AG125" s="29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1" t="n"/>
      <c r="AI125" s="21" t="n"/>
      <c r="AJ125" s="27">
        <f>SUM(AH125:AI125)</f>
        <v/>
      </c>
      <c r="AK125" s="28" t="n"/>
      <c r="AL125" s="28" t="n"/>
      <c r="AM125" s="29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1" t="n"/>
      <c r="AO125" s="21" t="n"/>
      <c r="AP125" s="27">
        <f>SUM(AN125:AO125)</f>
        <v/>
      </c>
      <c r="AQ125" s="28" t="n"/>
      <c r="AR125" s="30" t="n"/>
      <c r="AS125" s="29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1" t="n"/>
      <c r="AU125" s="21" t="n"/>
      <c r="AV125" s="27">
        <f>SUM(AT125:AU125)</f>
        <v/>
      </c>
      <c r="AW125" s="28" t="n"/>
      <c r="AX125" s="30" t="n"/>
      <c r="AY125" s="29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1" t="n"/>
      <c r="BA125" s="21" t="n"/>
      <c r="BB125" s="27">
        <f>SUM(AZ125:BA125)</f>
        <v/>
      </c>
      <c r="BC125" s="28" t="n"/>
      <c r="BD125" s="28" t="n"/>
      <c r="BE125" s="29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1" t="n"/>
      <c r="BG125" s="21" t="n"/>
      <c r="BH125" s="27">
        <f>SUM(BF125:BG125)</f>
        <v/>
      </c>
      <c r="BI125" s="28" t="n"/>
      <c r="BJ125" s="28" t="n"/>
      <c r="BK125" s="29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1" t="n"/>
      <c r="BM125" s="21" t="n"/>
      <c r="BN125" s="27">
        <f>SUM(BL125:BM125)</f>
        <v/>
      </c>
      <c r="BO125" s="28" t="n"/>
      <c r="BP125" s="31" t="n"/>
      <c r="BQ125" s="29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1" t="n"/>
      <c r="BS125" s="21" t="n"/>
      <c r="BT125" s="27">
        <f>SUM(BR125:BS125)</f>
        <v/>
      </c>
      <c r="BU125" s="28" t="n"/>
      <c r="BV125" s="31" t="n"/>
      <c r="BW125" s="29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1" t="n"/>
      <c r="BY125" s="21" t="n"/>
      <c r="BZ125" s="27">
        <f>SUM(BX125:BY125)</f>
        <v/>
      </c>
      <c r="CA125" s="28" t="n"/>
      <c r="CB125" s="31" t="n"/>
      <c r="CC125" s="29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1" t="n"/>
      <c r="CE125" s="21" t="n"/>
      <c r="CF125" s="27">
        <f>SUM(CD125:CE125)</f>
        <v/>
      </c>
      <c r="CG125" s="28" t="n"/>
      <c r="CH125" s="31" t="n"/>
      <c r="CI125" s="29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1" t="n"/>
      <c r="CK125" s="21" t="n"/>
      <c r="CL125" s="27">
        <f>SUM(CJ125:CK125)</f>
        <v/>
      </c>
      <c r="CM125" s="28" t="n"/>
      <c r="CN125" s="31" t="n"/>
      <c r="CO125" s="29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1" t="n"/>
      <c r="CQ125" s="21" t="n"/>
      <c r="CR125" s="27">
        <f>SUM(CP125:CQ125)</f>
        <v/>
      </c>
      <c r="CS125" s="28" t="n"/>
      <c r="CT125" s="31" t="n"/>
      <c r="CU125" s="29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1" t="n"/>
      <c r="CW125" s="21" t="n"/>
      <c r="CX125" s="27">
        <f>SUM(CV125:CW125)</f>
        <v/>
      </c>
      <c r="CY125" s="28" t="n"/>
      <c r="CZ125" s="31" t="n"/>
      <c r="DA125" s="29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1" t="n"/>
      <c r="DC125" s="21" t="n"/>
      <c r="DD125" s="27">
        <f>SUM(DB125:DC125)</f>
        <v/>
      </c>
      <c r="DE125" s="28" t="n"/>
      <c r="DF125" s="31" t="n"/>
      <c r="DG125" s="29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34">
        <f>SUM(O125,U125,AA125,AG125,AM125,AS125,AY125,BE125,BK125,BQ125,BW125,CC125,CI125,CO125,CU125,DA125,DG125)</f>
        <v/>
      </c>
      <c r="DI125" s="39">
        <f>RANK(DH125,DH$4:DH$503)</f>
        <v/>
      </c>
      <c r="DJ125" s="40" t="inlineStr">
        <is>
          <t>CHOOSE RATING</t>
        </is>
      </c>
      <c r="DK125" s="40" t="inlineStr">
        <is>
          <t>CHOOSE RATING</t>
        </is>
      </c>
      <c r="DL125" s="40" t="inlineStr">
        <is>
          <t>CHOOSE RATING</t>
        </is>
      </c>
      <c r="DM125" s="40" t="inlineStr">
        <is>
          <t>CHOOSE RATING</t>
        </is>
      </c>
      <c r="DN125" s="40" t="inlineStr">
        <is>
          <t>CHOOSE RATING</t>
        </is>
      </c>
      <c r="DO125" s="40" t="inlineStr">
        <is>
          <t>CHOOSE RATING</t>
        </is>
      </c>
      <c r="DP125" s="40" t="inlineStr">
        <is>
          <t>CHOOSE RATING</t>
        </is>
      </c>
      <c r="DQ125" s="40" t="inlineStr">
        <is>
          <t>CHOOSE RATING</t>
        </is>
      </c>
      <c r="DR125" s="43" t="inlineStr">
        <is>
          <t>2024/2025</t>
        </is>
      </c>
      <c r="DS125" s="45" t="inlineStr">
        <is>
          <t>THIRD</t>
        </is>
      </c>
      <c r="DT125" s="40" t="inlineStr">
        <is>
          <t>CHOOSE RATING</t>
        </is>
      </c>
      <c r="DU125" s="40" t="inlineStr">
        <is>
          <t>CHOOSE RATING</t>
        </is>
      </c>
      <c r="DV125" s="40" t="inlineStr">
        <is>
          <t>CHOOSE RATING</t>
        </is>
      </c>
      <c r="DW125" s="40" t="inlineStr">
        <is>
          <t>CHOOSE RATING</t>
        </is>
      </c>
      <c r="DX125" s="40" t="inlineStr">
        <is>
          <t>CHOOSE RATING</t>
        </is>
      </c>
      <c r="DY125" s="40" t="inlineStr">
        <is>
          <t>CHOOSE RATING</t>
        </is>
      </c>
      <c r="DZ125" s="53" t="inlineStr">
        <is>
          <t>CHOOSE RATING</t>
        </is>
      </c>
      <c r="EA125" s="54" t="inlineStr">
        <is>
          <t>Add the Tutor's Comment . . .</t>
        </is>
      </c>
      <c r="EB125" s="55" t="inlineStr">
        <is>
          <t>Choose Principals comment</t>
        </is>
      </c>
      <c r="EC125" s="56" t="n"/>
      <c r="ED125" s="57" t="inlineStr">
        <is>
          <t>Next Term Begins on Monday, 22nd September, 2025</t>
        </is>
      </c>
    </row>
    <row r="126" ht="30.6" customHeight="1" s="6">
      <c r="A126" s="18" t="n">
        <v>123</v>
      </c>
      <c r="B126" s="19" t="n"/>
      <c r="C126" s="20" t="n"/>
      <c r="D126" s="128" t="n"/>
      <c r="E126" s="21" t="n"/>
      <c r="F126" s="22" t="n"/>
      <c r="G126" s="22" t="n"/>
      <c r="H126" s="22" t="n"/>
      <c r="I126" s="26">
        <f>G126-H126</f>
        <v/>
      </c>
      <c r="J126" s="21" t="n"/>
      <c r="K126" s="21" t="n"/>
      <c r="L126" s="27">
        <f>SUM(J126:K126)</f>
        <v/>
      </c>
      <c r="M126" s="28" t="n"/>
      <c r="N126" s="28" t="n"/>
      <c r="O126" s="29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1" t="n"/>
      <c r="Q126" s="21" t="n"/>
      <c r="R126" s="27">
        <f>SUM(P126:Q126)</f>
        <v/>
      </c>
      <c r="S126" s="28" t="n"/>
      <c r="T126" s="28" t="n"/>
      <c r="U126" s="29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1" t="n"/>
      <c r="W126" s="21" t="n"/>
      <c r="X126" s="27">
        <f>SUM(V126:W126)</f>
        <v/>
      </c>
      <c r="Y126" s="28" t="n"/>
      <c r="Z126" s="28" t="n"/>
      <c r="AA126" s="29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1" t="n"/>
      <c r="AC126" s="21" t="n"/>
      <c r="AD126" s="27">
        <f>SUM(AB126:AC126)</f>
        <v/>
      </c>
      <c r="AE126" s="28" t="n"/>
      <c r="AF126" s="28" t="n"/>
      <c r="AG126" s="29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1" t="n"/>
      <c r="AI126" s="21" t="n"/>
      <c r="AJ126" s="27">
        <f>SUM(AH126:AI126)</f>
        <v/>
      </c>
      <c r="AK126" s="28" t="n"/>
      <c r="AL126" s="28" t="n"/>
      <c r="AM126" s="29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1" t="n"/>
      <c r="AO126" s="21" t="n"/>
      <c r="AP126" s="27">
        <f>SUM(AN126:AO126)</f>
        <v/>
      </c>
      <c r="AQ126" s="28" t="n"/>
      <c r="AR126" s="30" t="n"/>
      <c r="AS126" s="29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1" t="n"/>
      <c r="AU126" s="21" t="n"/>
      <c r="AV126" s="27">
        <f>SUM(AT126:AU126)</f>
        <v/>
      </c>
      <c r="AW126" s="28" t="n"/>
      <c r="AX126" s="30" t="n"/>
      <c r="AY126" s="29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1" t="n"/>
      <c r="BA126" s="21" t="n"/>
      <c r="BB126" s="27">
        <f>SUM(AZ126:BA126)</f>
        <v/>
      </c>
      <c r="BC126" s="28" t="n"/>
      <c r="BD126" s="28" t="n"/>
      <c r="BE126" s="29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1" t="n"/>
      <c r="BG126" s="21" t="n"/>
      <c r="BH126" s="27">
        <f>SUM(BF126:BG126)</f>
        <v/>
      </c>
      <c r="BI126" s="28" t="n"/>
      <c r="BJ126" s="28" t="n"/>
      <c r="BK126" s="29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1" t="n"/>
      <c r="BM126" s="21" t="n"/>
      <c r="BN126" s="27">
        <f>SUM(BL126:BM126)</f>
        <v/>
      </c>
      <c r="BO126" s="28" t="n"/>
      <c r="BP126" s="31" t="n"/>
      <c r="BQ126" s="29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1" t="n"/>
      <c r="BS126" s="21" t="n"/>
      <c r="BT126" s="27">
        <f>SUM(BR126:BS126)</f>
        <v/>
      </c>
      <c r="BU126" s="28" t="n"/>
      <c r="BV126" s="31" t="n"/>
      <c r="BW126" s="29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1" t="n"/>
      <c r="BY126" s="21" t="n"/>
      <c r="BZ126" s="27">
        <f>SUM(BX126:BY126)</f>
        <v/>
      </c>
      <c r="CA126" s="28" t="n"/>
      <c r="CB126" s="31" t="n"/>
      <c r="CC126" s="29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1" t="n"/>
      <c r="CE126" s="21" t="n"/>
      <c r="CF126" s="27">
        <f>SUM(CD126:CE126)</f>
        <v/>
      </c>
      <c r="CG126" s="28" t="n"/>
      <c r="CH126" s="31" t="n"/>
      <c r="CI126" s="29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1" t="n"/>
      <c r="CK126" s="21" t="n"/>
      <c r="CL126" s="27">
        <f>SUM(CJ126:CK126)</f>
        <v/>
      </c>
      <c r="CM126" s="28" t="n"/>
      <c r="CN126" s="31" t="n"/>
      <c r="CO126" s="29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1" t="n"/>
      <c r="CQ126" s="21" t="n"/>
      <c r="CR126" s="27">
        <f>SUM(CP126:CQ126)</f>
        <v/>
      </c>
      <c r="CS126" s="28" t="n"/>
      <c r="CT126" s="31" t="n"/>
      <c r="CU126" s="29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1" t="n"/>
      <c r="CW126" s="21" t="n"/>
      <c r="CX126" s="27">
        <f>SUM(CV126:CW126)</f>
        <v/>
      </c>
      <c r="CY126" s="28" t="n"/>
      <c r="CZ126" s="31" t="n"/>
      <c r="DA126" s="29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1" t="n"/>
      <c r="DC126" s="21" t="n"/>
      <c r="DD126" s="27">
        <f>SUM(DB126:DC126)</f>
        <v/>
      </c>
      <c r="DE126" s="28" t="n"/>
      <c r="DF126" s="31" t="n"/>
      <c r="DG126" s="29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34">
        <f>SUM(O126,U126,AA126,AG126,AM126,AS126,AY126,BE126,BK126,BQ126,BW126,CC126,CI126,CO126,CU126,DA126,DG126)</f>
        <v/>
      </c>
      <c r="DI126" s="39">
        <f>RANK(DH126,DH$4:DH$503)</f>
        <v/>
      </c>
      <c r="DJ126" s="40" t="inlineStr">
        <is>
          <t>CHOOSE RATING</t>
        </is>
      </c>
      <c r="DK126" s="40" t="inlineStr">
        <is>
          <t>CHOOSE RATING</t>
        </is>
      </c>
      <c r="DL126" s="40" t="inlineStr">
        <is>
          <t>CHOOSE RATING</t>
        </is>
      </c>
      <c r="DM126" s="40" t="inlineStr">
        <is>
          <t>CHOOSE RATING</t>
        </is>
      </c>
      <c r="DN126" s="40" t="inlineStr">
        <is>
          <t>CHOOSE RATING</t>
        </is>
      </c>
      <c r="DO126" s="40" t="inlineStr">
        <is>
          <t>CHOOSE RATING</t>
        </is>
      </c>
      <c r="DP126" s="40" t="inlineStr">
        <is>
          <t>CHOOSE RATING</t>
        </is>
      </c>
      <c r="DQ126" s="40" t="inlineStr">
        <is>
          <t>CHOOSE RATING</t>
        </is>
      </c>
      <c r="DR126" s="43" t="inlineStr">
        <is>
          <t>2024/2025</t>
        </is>
      </c>
      <c r="DS126" s="45" t="inlineStr">
        <is>
          <t>THIRD</t>
        </is>
      </c>
      <c r="DT126" s="40" t="inlineStr">
        <is>
          <t>CHOOSE RATING</t>
        </is>
      </c>
      <c r="DU126" s="40" t="inlineStr">
        <is>
          <t>CHOOSE RATING</t>
        </is>
      </c>
      <c r="DV126" s="40" t="inlineStr">
        <is>
          <t>CHOOSE RATING</t>
        </is>
      </c>
      <c r="DW126" s="40" t="inlineStr">
        <is>
          <t>CHOOSE RATING</t>
        </is>
      </c>
      <c r="DX126" s="40" t="inlineStr">
        <is>
          <t>CHOOSE RATING</t>
        </is>
      </c>
      <c r="DY126" s="40" t="inlineStr">
        <is>
          <t>CHOOSE RATING</t>
        </is>
      </c>
      <c r="DZ126" s="53" t="inlineStr">
        <is>
          <t>CHOOSE RATING</t>
        </is>
      </c>
      <c r="EA126" s="54" t="inlineStr">
        <is>
          <t>Add the Tutor's Comment . . .</t>
        </is>
      </c>
      <c r="EB126" s="55" t="inlineStr">
        <is>
          <t>Choose Principals comment</t>
        </is>
      </c>
      <c r="EC126" s="56" t="n"/>
      <c r="ED126" s="57" t="inlineStr">
        <is>
          <t>Next Term Begins on Monday, 22nd September, 2025</t>
        </is>
      </c>
    </row>
    <row r="127" ht="30.6" customHeight="1" s="6">
      <c r="A127" s="18" t="n">
        <v>124</v>
      </c>
      <c r="B127" s="19" t="n"/>
      <c r="C127" s="20" t="n"/>
      <c r="D127" s="128" t="n"/>
      <c r="E127" s="21" t="n"/>
      <c r="F127" s="22" t="n"/>
      <c r="G127" s="22" t="n"/>
      <c r="H127" s="22" t="n"/>
      <c r="I127" s="26">
        <f>G127-H127</f>
        <v/>
      </c>
      <c r="J127" s="21" t="n"/>
      <c r="K127" s="21" t="n"/>
      <c r="L127" s="27">
        <f>SUM(J127:K127)</f>
        <v/>
      </c>
      <c r="M127" s="28" t="n"/>
      <c r="N127" s="28" t="n"/>
      <c r="O127" s="29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1" t="n"/>
      <c r="Q127" s="21" t="n"/>
      <c r="R127" s="27">
        <f>SUM(P127:Q127)</f>
        <v/>
      </c>
      <c r="S127" s="28" t="n"/>
      <c r="T127" s="28" t="n"/>
      <c r="U127" s="29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1" t="n"/>
      <c r="W127" s="21" t="n"/>
      <c r="X127" s="27">
        <f>SUM(V127:W127)</f>
        <v/>
      </c>
      <c r="Y127" s="28" t="n"/>
      <c r="Z127" s="28" t="n"/>
      <c r="AA127" s="29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1" t="n"/>
      <c r="AC127" s="21" t="n"/>
      <c r="AD127" s="27">
        <f>SUM(AB127:AC127)</f>
        <v/>
      </c>
      <c r="AE127" s="28" t="n"/>
      <c r="AF127" s="28" t="n"/>
      <c r="AG127" s="29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1" t="n"/>
      <c r="AI127" s="21" t="n"/>
      <c r="AJ127" s="27">
        <f>SUM(AH127:AI127)</f>
        <v/>
      </c>
      <c r="AK127" s="28" t="n"/>
      <c r="AL127" s="28" t="n"/>
      <c r="AM127" s="29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1" t="n"/>
      <c r="AO127" s="21" t="n"/>
      <c r="AP127" s="27">
        <f>SUM(AN127:AO127)</f>
        <v/>
      </c>
      <c r="AQ127" s="28" t="n"/>
      <c r="AR127" s="30" t="n"/>
      <c r="AS127" s="29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1" t="n"/>
      <c r="AU127" s="21" t="n"/>
      <c r="AV127" s="27">
        <f>SUM(AT127:AU127)</f>
        <v/>
      </c>
      <c r="AW127" s="28" t="n"/>
      <c r="AX127" s="30" t="n"/>
      <c r="AY127" s="29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1" t="n"/>
      <c r="BA127" s="21" t="n"/>
      <c r="BB127" s="27">
        <f>SUM(AZ127:BA127)</f>
        <v/>
      </c>
      <c r="BC127" s="28" t="n"/>
      <c r="BD127" s="28" t="n"/>
      <c r="BE127" s="29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1" t="n"/>
      <c r="BG127" s="21" t="n"/>
      <c r="BH127" s="27">
        <f>SUM(BF127:BG127)</f>
        <v/>
      </c>
      <c r="BI127" s="28" t="n"/>
      <c r="BJ127" s="28" t="n"/>
      <c r="BK127" s="29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1" t="n"/>
      <c r="BM127" s="21" t="n"/>
      <c r="BN127" s="27">
        <f>SUM(BL127:BM127)</f>
        <v/>
      </c>
      <c r="BO127" s="28" t="n"/>
      <c r="BP127" s="31" t="n"/>
      <c r="BQ127" s="29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1" t="n"/>
      <c r="BS127" s="21" t="n"/>
      <c r="BT127" s="27">
        <f>SUM(BR127:BS127)</f>
        <v/>
      </c>
      <c r="BU127" s="28" t="n"/>
      <c r="BV127" s="31" t="n"/>
      <c r="BW127" s="29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1" t="n"/>
      <c r="BY127" s="21" t="n"/>
      <c r="BZ127" s="27">
        <f>SUM(BX127:BY127)</f>
        <v/>
      </c>
      <c r="CA127" s="28" t="n"/>
      <c r="CB127" s="31" t="n"/>
      <c r="CC127" s="29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1" t="n"/>
      <c r="CE127" s="21" t="n"/>
      <c r="CF127" s="27">
        <f>SUM(CD127:CE127)</f>
        <v/>
      </c>
      <c r="CG127" s="28" t="n"/>
      <c r="CH127" s="31" t="n"/>
      <c r="CI127" s="29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1" t="n"/>
      <c r="CK127" s="21" t="n"/>
      <c r="CL127" s="27">
        <f>SUM(CJ127:CK127)</f>
        <v/>
      </c>
      <c r="CM127" s="28" t="n"/>
      <c r="CN127" s="31" t="n"/>
      <c r="CO127" s="29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1" t="n"/>
      <c r="CQ127" s="21" t="n"/>
      <c r="CR127" s="27">
        <f>SUM(CP127:CQ127)</f>
        <v/>
      </c>
      <c r="CS127" s="28" t="n"/>
      <c r="CT127" s="31" t="n"/>
      <c r="CU127" s="29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1" t="n"/>
      <c r="CW127" s="21" t="n"/>
      <c r="CX127" s="27">
        <f>SUM(CV127:CW127)</f>
        <v/>
      </c>
      <c r="CY127" s="28" t="n"/>
      <c r="CZ127" s="31" t="n"/>
      <c r="DA127" s="29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1" t="n"/>
      <c r="DC127" s="21" t="n"/>
      <c r="DD127" s="27">
        <f>SUM(DB127:DC127)</f>
        <v/>
      </c>
      <c r="DE127" s="28" t="n"/>
      <c r="DF127" s="31" t="n"/>
      <c r="DG127" s="29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34">
        <f>SUM(O127,U127,AA127,AG127,AM127,AS127,AY127,BE127,BK127,BQ127,BW127,CC127,CI127,CO127,CU127,DA127,DG127)</f>
        <v/>
      </c>
      <c r="DI127" s="39">
        <f>RANK(DH127,DH$4:DH$503)</f>
        <v/>
      </c>
      <c r="DJ127" s="40" t="inlineStr">
        <is>
          <t>CHOOSE RATING</t>
        </is>
      </c>
      <c r="DK127" s="40" t="inlineStr">
        <is>
          <t>CHOOSE RATING</t>
        </is>
      </c>
      <c r="DL127" s="40" t="inlineStr">
        <is>
          <t>CHOOSE RATING</t>
        </is>
      </c>
      <c r="DM127" s="40" t="inlineStr">
        <is>
          <t>CHOOSE RATING</t>
        </is>
      </c>
      <c r="DN127" s="40" t="inlineStr">
        <is>
          <t>CHOOSE RATING</t>
        </is>
      </c>
      <c r="DO127" s="40" t="inlineStr">
        <is>
          <t>CHOOSE RATING</t>
        </is>
      </c>
      <c r="DP127" s="40" t="inlineStr">
        <is>
          <t>CHOOSE RATING</t>
        </is>
      </c>
      <c r="DQ127" s="40" t="inlineStr">
        <is>
          <t>CHOOSE RATING</t>
        </is>
      </c>
      <c r="DR127" s="43" t="inlineStr">
        <is>
          <t>2024/2025</t>
        </is>
      </c>
      <c r="DS127" s="45" t="inlineStr">
        <is>
          <t>THIRD</t>
        </is>
      </c>
      <c r="DT127" s="40" t="inlineStr">
        <is>
          <t>CHOOSE RATING</t>
        </is>
      </c>
      <c r="DU127" s="40" t="inlineStr">
        <is>
          <t>CHOOSE RATING</t>
        </is>
      </c>
      <c r="DV127" s="40" t="inlineStr">
        <is>
          <t>CHOOSE RATING</t>
        </is>
      </c>
      <c r="DW127" s="40" t="inlineStr">
        <is>
          <t>CHOOSE RATING</t>
        </is>
      </c>
      <c r="DX127" s="40" t="inlineStr">
        <is>
          <t>CHOOSE RATING</t>
        </is>
      </c>
      <c r="DY127" s="40" t="inlineStr">
        <is>
          <t>CHOOSE RATING</t>
        </is>
      </c>
      <c r="DZ127" s="53" t="inlineStr">
        <is>
          <t>CHOOSE RATING</t>
        </is>
      </c>
      <c r="EA127" s="54" t="inlineStr">
        <is>
          <t>Add the Tutor's Comment . . .</t>
        </is>
      </c>
      <c r="EB127" s="55" t="inlineStr">
        <is>
          <t>Choose Principals comment</t>
        </is>
      </c>
      <c r="EC127" s="56" t="n"/>
      <c r="ED127" s="57" t="inlineStr">
        <is>
          <t>Next Term Begins on Monday, 22nd September, 2025</t>
        </is>
      </c>
    </row>
    <row r="128" ht="30.6" customHeight="1" s="6">
      <c r="A128" s="18" t="n">
        <v>125</v>
      </c>
      <c r="B128" s="19" t="n"/>
      <c r="C128" s="20" t="n"/>
      <c r="D128" s="128" t="n"/>
      <c r="E128" s="21" t="n"/>
      <c r="F128" s="22" t="n"/>
      <c r="G128" s="22" t="n"/>
      <c r="H128" s="22" t="n"/>
      <c r="I128" s="26">
        <f>G128-H128</f>
        <v/>
      </c>
      <c r="J128" s="21" t="n"/>
      <c r="K128" s="21" t="n"/>
      <c r="L128" s="27">
        <f>SUM(J128:K128)</f>
        <v/>
      </c>
      <c r="M128" s="28" t="n"/>
      <c r="N128" s="28" t="n"/>
      <c r="O128" s="29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1" t="n"/>
      <c r="Q128" s="21" t="n"/>
      <c r="R128" s="27">
        <f>SUM(P128:Q128)</f>
        <v/>
      </c>
      <c r="S128" s="28" t="n"/>
      <c r="T128" s="28" t="n"/>
      <c r="U128" s="29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1" t="n"/>
      <c r="W128" s="21" t="n"/>
      <c r="X128" s="27">
        <f>SUM(V128:W128)</f>
        <v/>
      </c>
      <c r="Y128" s="28" t="n"/>
      <c r="Z128" s="28" t="n"/>
      <c r="AA128" s="29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1" t="n"/>
      <c r="AC128" s="21" t="n"/>
      <c r="AD128" s="27">
        <f>SUM(AB128:AC128)</f>
        <v/>
      </c>
      <c r="AE128" s="28" t="n"/>
      <c r="AF128" s="28" t="n"/>
      <c r="AG128" s="29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1" t="n"/>
      <c r="AI128" s="21" t="n"/>
      <c r="AJ128" s="27">
        <f>SUM(AH128:AI128)</f>
        <v/>
      </c>
      <c r="AK128" s="28" t="n"/>
      <c r="AL128" s="28" t="n"/>
      <c r="AM128" s="29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1" t="n"/>
      <c r="AO128" s="21" t="n"/>
      <c r="AP128" s="27">
        <f>SUM(AN128:AO128)</f>
        <v/>
      </c>
      <c r="AQ128" s="28" t="n"/>
      <c r="AR128" s="30" t="n"/>
      <c r="AS128" s="29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1" t="n"/>
      <c r="AU128" s="21" t="n"/>
      <c r="AV128" s="27">
        <f>SUM(AT128:AU128)</f>
        <v/>
      </c>
      <c r="AW128" s="28" t="n"/>
      <c r="AX128" s="30" t="n"/>
      <c r="AY128" s="29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1" t="n"/>
      <c r="BA128" s="21" t="n"/>
      <c r="BB128" s="27">
        <f>SUM(AZ128:BA128)</f>
        <v/>
      </c>
      <c r="BC128" s="28" t="n"/>
      <c r="BD128" s="28" t="n"/>
      <c r="BE128" s="29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1" t="n"/>
      <c r="BG128" s="21" t="n"/>
      <c r="BH128" s="27">
        <f>SUM(BF128:BG128)</f>
        <v/>
      </c>
      <c r="BI128" s="28" t="n"/>
      <c r="BJ128" s="28" t="n"/>
      <c r="BK128" s="29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1" t="n"/>
      <c r="BM128" s="21" t="n"/>
      <c r="BN128" s="27">
        <f>SUM(BL128:BM128)</f>
        <v/>
      </c>
      <c r="BO128" s="28" t="n"/>
      <c r="BP128" s="31" t="n"/>
      <c r="BQ128" s="29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1" t="n"/>
      <c r="BS128" s="21" t="n"/>
      <c r="BT128" s="27">
        <f>SUM(BR128:BS128)</f>
        <v/>
      </c>
      <c r="BU128" s="28" t="n"/>
      <c r="BV128" s="31" t="n"/>
      <c r="BW128" s="29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1" t="n"/>
      <c r="BY128" s="21" t="n"/>
      <c r="BZ128" s="27">
        <f>SUM(BX128:BY128)</f>
        <v/>
      </c>
      <c r="CA128" s="28" t="n"/>
      <c r="CB128" s="31" t="n"/>
      <c r="CC128" s="29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1" t="n"/>
      <c r="CE128" s="21" t="n"/>
      <c r="CF128" s="27">
        <f>SUM(CD128:CE128)</f>
        <v/>
      </c>
      <c r="CG128" s="28" t="n"/>
      <c r="CH128" s="31" t="n"/>
      <c r="CI128" s="29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1" t="n"/>
      <c r="CK128" s="21" t="n"/>
      <c r="CL128" s="27">
        <f>SUM(CJ128:CK128)</f>
        <v/>
      </c>
      <c r="CM128" s="28" t="n"/>
      <c r="CN128" s="31" t="n"/>
      <c r="CO128" s="29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1" t="n"/>
      <c r="CQ128" s="21" t="n"/>
      <c r="CR128" s="27">
        <f>SUM(CP128:CQ128)</f>
        <v/>
      </c>
      <c r="CS128" s="28" t="n"/>
      <c r="CT128" s="31" t="n"/>
      <c r="CU128" s="29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1" t="n"/>
      <c r="CW128" s="21" t="n"/>
      <c r="CX128" s="27">
        <f>SUM(CV128:CW128)</f>
        <v/>
      </c>
      <c r="CY128" s="28" t="n"/>
      <c r="CZ128" s="31" t="n"/>
      <c r="DA128" s="29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1" t="n"/>
      <c r="DC128" s="21" t="n"/>
      <c r="DD128" s="27">
        <f>SUM(DB128:DC128)</f>
        <v/>
      </c>
      <c r="DE128" s="28" t="n"/>
      <c r="DF128" s="31" t="n"/>
      <c r="DG128" s="29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34">
        <f>SUM(O128,U128,AA128,AG128,AM128,AS128,AY128,BE128,BK128,BQ128,BW128,CC128,CI128,CO128,CU128,DA128,DG128)</f>
        <v/>
      </c>
      <c r="DI128" s="39">
        <f>RANK(DH128,DH$4:DH$503)</f>
        <v/>
      </c>
      <c r="DJ128" s="40" t="inlineStr">
        <is>
          <t>CHOOSE RATING</t>
        </is>
      </c>
      <c r="DK128" s="40" t="inlineStr">
        <is>
          <t>CHOOSE RATING</t>
        </is>
      </c>
      <c r="DL128" s="40" t="inlineStr">
        <is>
          <t>CHOOSE RATING</t>
        </is>
      </c>
      <c r="DM128" s="40" t="inlineStr">
        <is>
          <t>CHOOSE RATING</t>
        </is>
      </c>
      <c r="DN128" s="40" t="inlineStr">
        <is>
          <t>CHOOSE RATING</t>
        </is>
      </c>
      <c r="DO128" s="40" t="inlineStr">
        <is>
          <t>CHOOSE RATING</t>
        </is>
      </c>
      <c r="DP128" s="40" t="inlineStr">
        <is>
          <t>CHOOSE RATING</t>
        </is>
      </c>
      <c r="DQ128" s="40" t="inlineStr">
        <is>
          <t>CHOOSE RATING</t>
        </is>
      </c>
      <c r="DR128" s="43" t="inlineStr">
        <is>
          <t>2024/2025</t>
        </is>
      </c>
      <c r="DS128" s="45" t="inlineStr">
        <is>
          <t>THIRD</t>
        </is>
      </c>
      <c r="DT128" s="40" t="inlineStr">
        <is>
          <t>CHOOSE RATING</t>
        </is>
      </c>
      <c r="DU128" s="40" t="inlineStr">
        <is>
          <t>CHOOSE RATING</t>
        </is>
      </c>
      <c r="DV128" s="40" t="inlineStr">
        <is>
          <t>CHOOSE RATING</t>
        </is>
      </c>
      <c r="DW128" s="40" t="inlineStr">
        <is>
          <t>CHOOSE RATING</t>
        </is>
      </c>
      <c r="DX128" s="40" t="inlineStr">
        <is>
          <t>CHOOSE RATING</t>
        </is>
      </c>
      <c r="DY128" s="40" t="inlineStr">
        <is>
          <t>CHOOSE RATING</t>
        </is>
      </c>
      <c r="DZ128" s="53" t="inlineStr">
        <is>
          <t>CHOOSE RATING</t>
        </is>
      </c>
      <c r="EA128" s="54" t="inlineStr">
        <is>
          <t>Add the Tutor's Comment . . .</t>
        </is>
      </c>
      <c r="EB128" s="55" t="inlineStr">
        <is>
          <t>Choose Principals comment</t>
        </is>
      </c>
      <c r="EC128" s="56" t="n"/>
      <c r="ED128" s="57" t="inlineStr">
        <is>
          <t>Next Term Begins on Monday, 22nd September, 2025</t>
        </is>
      </c>
    </row>
    <row r="129" ht="30.6" customHeight="1" s="6">
      <c r="A129" s="18" t="n">
        <v>126</v>
      </c>
      <c r="B129" s="19" t="n"/>
      <c r="C129" s="20" t="n"/>
      <c r="D129" s="128" t="n"/>
      <c r="E129" s="21" t="n"/>
      <c r="F129" s="22" t="n"/>
      <c r="G129" s="22" t="n"/>
      <c r="H129" s="22" t="n"/>
      <c r="I129" s="26">
        <f>G129-H129</f>
        <v/>
      </c>
      <c r="J129" s="21" t="n"/>
      <c r="K129" s="21" t="n"/>
      <c r="L129" s="27">
        <f>SUM(J129:K129)</f>
        <v/>
      </c>
      <c r="M129" s="28" t="n"/>
      <c r="N129" s="28" t="n"/>
      <c r="O129" s="29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1" t="n"/>
      <c r="Q129" s="21" t="n"/>
      <c r="R129" s="27">
        <f>SUM(P129:Q129)</f>
        <v/>
      </c>
      <c r="S129" s="28" t="n"/>
      <c r="T129" s="28" t="n"/>
      <c r="U129" s="29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1" t="n"/>
      <c r="W129" s="21" t="n"/>
      <c r="X129" s="27">
        <f>SUM(V129:W129)</f>
        <v/>
      </c>
      <c r="Y129" s="28" t="n"/>
      <c r="Z129" s="28" t="n"/>
      <c r="AA129" s="29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1" t="n"/>
      <c r="AC129" s="21" t="n"/>
      <c r="AD129" s="27">
        <f>SUM(AB129:AC129)</f>
        <v/>
      </c>
      <c r="AE129" s="28" t="n"/>
      <c r="AF129" s="28" t="n"/>
      <c r="AG129" s="29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1" t="n"/>
      <c r="AI129" s="21" t="n"/>
      <c r="AJ129" s="27">
        <f>SUM(AH129:AI129)</f>
        <v/>
      </c>
      <c r="AK129" s="28" t="n"/>
      <c r="AL129" s="28" t="n"/>
      <c r="AM129" s="29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1" t="n"/>
      <c r="AO129" s="21" t="n"/>
      <c r="AP129" s="27">
        <f>SUM(AN129:AO129)</f>
        <v/>
      </c>
      <c r="AQ129" s="28" t="n"/>
      <c r="AR129" s="30" t="n"/>
      <c r="AS129" s="29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1" t="n"/>
      <c r="AU129" s="21" t="n"/>
      <c r="AV129" s="27">
        <f>SUM(AT129:AU129)</f>
        <v/>
      </c>
      <c r="AW129" s="28" t="n"/>
      <c r="AX129" s="30" t="n"/>
      <c r="AY129" s="29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1" t="n"/>
      <c r="BA129" s="21" t="n"/>
      <c r="BB129" s="27">
        <f>SUM(AZ129:BA129)</f>
        <v/>
      </c>
      <c r="BC129" s="28" t="n"/>
      <c r="BD129" s="28" t="n"/>
      <c r="BE129" s="29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1" t="n"/>
      <c r="BG129" s="21" t="n"/>
      <c r="BH129" s="27">
        <f>SUM(BF129:BG129)</f>
        <v/>
      </c>
      <c r="BI129" s="28" t="n"/>
      <c r="BJ129" s="28" t="n"/>
      <c r="BK129" s="29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1" t="n"/>
      <c r="BM129" s="21" t="n"/>
      <c r="BN129" s="27">
        <f>SUM(BL129:BM129)</f>
        <v/>
      </c>
      <c r="BO129" s="28" t="n"/>
      <c r="BP129" s="31" t="n"/>
      <c r="BQ129" s="29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1" t="n"/>
      <c r="BS129" s="21" t="n"/>
      <c r="BT129" s="27">
        <f>SUM(BR129:BS129)</f>
        <v/>
      </c>
      <c r="BU129" s="28" t="n"/>
      <c r="BV129" s="31" t="n"/>
      <c r="BW129" s="29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1" t="n"/>
      <c r="BY129" s="21" t="n"/>
      <c r="BZ129" s="27">
        <f>SUM(BX129:BY129)</f>
        <v/>
      </c>
      <c r="CA129" s="28" t="n"/>
      <c r="CB129" s="31" t="n"/>
      <c r="CC129" s="29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1" t="n"/>
      <c r="CE129" s="21" t="n"/>
      <c r="CF129" s="27">
        <f>SUM(CD129:CE129)</f>
        <v/>
      </c>
      <c r="CG129" s="28" t="n"/>
      <c r="CH129" s="31" t="n"/>
      <c r="CI129" s="29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1" t="n"/>
      <c r="CK129" s="21" t="n"/>
      <c r="CL129" s="27">
        <f>SUM(CJ129:CK129)</f>
        <v/>
      </c>
      <c r="CM129" s="28" t="n"/>
      <c r="CN129" s="31" t="n"/>
      <c r="CO129" s="29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1" t="n"/>
      <c r="CQ129" s="21" t="n"/>
      <c r="CR129" s="27">
        <f>SUM(CP129:CQ129)</f>
        <v/>
      </c>
      <c r="CS129" s="28" t="n"/>
      <c r="CT129" s="31" t="n"/>
      <c r="CU129" s="29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1" t="n"/>
      <c r="CW129" s="21" t="n"/>
      <c r="CX129" s="27">
        <f>SUM(CV129:CW129)</f>
        <v/>
      </c>
      <c r="CY129" s="28" t="n"/>
      <c r="CZ129" s="31" t="n"/>
      <c r="DA129" s="29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1" t="n"/>
      <c r="DC129" s="21" t="n"/>
      <c r="DD129" s="27">
        <f>SUM(DB129:DC129)</f>
        <v/>
      </c>
      <c r="DE129" s="28" t="n"/>
      <c r="DF129" s="31" t="n"/>
      <c r="DG129" s="29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34">
        <f>SUM(O129,U129,AA129,AG129,AM129,AS129,AY129,BE129,BK129,BQ129,BW129,CC129,CI129,CO129,CU129,DA129,DG129)</f>
        <v/>
      </c>
      <c r="DI129" s="39">
        <f>RANK(DH129,DH$4:DH$503)</f>
        <v/>
      </c>
      <c r="DJ129" s="40" t="inlineStr">
        <is>
          <t>CHOOSE RATING</t>
        </is>
      </c>
      <c r="DK129" s="40" t="inlineStr">
        <is>
          <t>CHOOSE RATING</t>
        </is>
      </c>
      <c r="DL129" s="40" t="inlineStr">
        <is>
          <t>CHOOSE RATING</t>
        </is>
      </c>
      <c r="DM129" s="40" t="inlineStr">
        <is>
          <t>CHOOSE RATING</t>
        </is>
      </c>
      <c r="DN129" s="40" t="inlineStr">
        <is>
          <t>CHOOSE RATING</t>
        </is>
      </c>
      <c r="DO129" s="40" t="inlineStr">
        <is>
          <t>CHOOSE RATING</t>
        </is>
      </c>
      <c r="DP129" s="40" t="inlineStr">
        <is>
          <t>CHOOSE RATING</t>
        </is>
      </c>
      <c r="DQ129" s="40" t="inlineStr">
        <is>
          <t>CHOOSE RATING</t>
        </is>
      </c>
      <c r="DR129" s="43" t="inlineStr">
        <is>
          <t>2024/2025</t>
        </is>
      </c>
      <c r="DS129" s="45" t="inlineStr">
        <is>
          <t>THIRD</t>
        </is>
      </c>
      <c r="DT129" s="40" t="inlineStr">
        <is>
          <t>CHOOSE RATING</t>
        </is>
      </c>
      <c r="DU129" s="40" t="inlineStr">
        <is>
          <t>CHOOSE RATING</t>
        </is>
      </c>
      <c r="DV129" s="40" t="inlineStr">
        <is>
          <t>CHOOSE RATING</t>
        </is>
      </c>
      <c r="DW129" s="40" t="inlineStr">
        <is>
          <t>CHOOSE RATING</t>
        </is>
      </c>
      <c r="DX129" s="40" t="inlineStr">
        <is>
          <t>CHOOSE RATING</t>
        </is>
      </c>
      <c r="DY129" s="40" t="inlineStr">
        <is>
          <t>CHOOSE RATING</t>
        </is>
      </c>
      <c r="DZ129" s="53" t="inlineStr">
        <is>
          <t>CHOOSE RATING</t>
        </is>
      </c>
      <c r="EA129" s="54" t="inlineStr">
        <is>
          <t>Add the Tutor's Comment . . .</t>
        </is>
      </c>
      <c r="EB129" s="55" t="inlineStr">
        <is>
          <t>Choose Principals comment</t>
        </is>
      </c>
      <c r="EC129" s="56" t="n"/>
      <c r="ED129" s="57" t="inlineStr">
        <is>
          <t>Next Term Begins on Monday, 22nd September, 2025</t>
        </is>
      </c>
    </row>
    <row r="130" ht="30.6" customHeight="1" s="6">
      <c r="A130" s="18" t="n">
        <v>127</v>
      </c>
      <c r="B130" s="19" t="n"/>
      <c r="C130" s="20" t="n"/>
      <c r="D130" s="128" t="n"/>
      <c r="E130" s="21" t="n"/>
      <c r="F130" s="22" t="n"/>
      <c r="G130" s="22" t="n"/>
      <c r="H130" s="22" t="n"/>
      <c r="I130" s="26">
        <f>G130-H130</f>
        <v/>
      </c>
      <c r="J130" s="21" t="n"/>
      <c r="K130" s="21" t="n"/>
      <c r="L130" s="27">
        <f>SUM(J130:K130)</f>
        <v/>
      </c>
      <c r="M130" s="28" t="n"/>
      <c r="N130" s="28" t="n"/>
      <c r="O130" s="29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1" t="n"/>
      <c r="Q130" s="21" t="n"/>
      <c r="R130" s="27">
        <f>SUM(P130:Q130)</f>
        <v/>
      </c>
      <c r="S130" s="28" t="n"/>
      <c r="T130" s="28" t="n"/>
      <c r="U130" s="29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1" t="n"/>
      <c r="W130" s="21" t="n"/>
      <c r="X130" s="27">
        <f>SUM(V130:W130)</f>
        <v/>
      </c>
      <c r="Y130" s="28" t="n"/>
      <c r="Z130" s="28" t="n"/>
      <c r="AA130" s="29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1" t="n"/>
      <c r="AC130" s="21" t="n"/>
      <c r="AD130" s="27">
        <f>SUM(AB130:AC130)</f>
        <v/>
      </c>
      <c r="AE130" s="28" t="n"/>
      <c r="AF130" s="28" t="n"/>
      <c r="AG130" s="29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1" t="n"/>
      <c r="AI130" s="21" t="n"/>
      <c r="AJ130" s="27">
        <f>SUM(AH130:AI130)</f>
        <v/>
      </c>
      <c r="AK130" s="28" t="n"/>
      <c r="AL130" s="28" t="n"/>
      <c r="AM130" s="29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1" t="n"/>
      <c r="AO130" s="21" t="n"/>
      <c r="AP130" s="27">
        <f>SUM(AN130:AO130)</f>
        <v/>
      </c>
      <c r="AQ130" s="28" t="n"/>
      <c r="AR130" s="30" t="n"/>
      <c r="AS130" s="29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1" t="n"/>
      <c r="AU130" s="21" t="n"/>
      <c r="AV130" s="27">
        <f>SUM(AT130:AU130)</f>
        <v/>
      </c>
      <c r="AW130" s="28" t="n"/>
      <c r="AX130" s="30" t="n"/>
      <c r="AY130" s="29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1" t="n"/>
      <c r="BA130" s="21" t="n"/>
      <c r="BB130" s="27">
        <f>SUM(AZ130:BA130)</f>
        <v/>
      </c>
      <c r="BC130" s="28" t="n"/>
      <c r="BD130" s="28" t="n"/>
      <c r="BE130" s="29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1" t="n"/>
      <c r="BG130" s="21" t="n"/>
      <c r="BH130" s="27">
        <f>SUM(BF130:BG130)</f>
        <v/>
      </c>
      <c r="BI130" s="28" t="n"/>
      <c r="BJ130" s="28" t="n"/>
      <c r="BK130" s="29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1" t="n"/>
      <c r="BM130" s="21" t="n"/>
      <c r="BN130" s="27">
        <f>SUM(BL130:BM130)</f>
        <v/>
      </c>
      <c r="BO130" s="28" t="n"/>
      <c r="BP130" s="31" t="n"/>
      <c r="BQ130" s="29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1" t="n"/>
      <c r="BS130" s="21" t="n"/>
      <c r="BT130" s="27">
        <f>SUM(BR130:BS130)</f>
        <v/>
      </c>
      <c r="BU130" s="28" t="n"/>
      <c r="BV130" s="31" t="n"/>
      <c r="BW130" s="29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1" t="n"/>
      <c r="BY130" s="21" t="n"/>
      <c r="BZ130" s="27">
        <f>SUM(BX130:BY130)</f>
        <v/>
      </c>
      <c r="CA130" s="28" t="n"/>
      <c r="CB130" s="31" t="n"/>
      <c r="CC130" s="29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1" t="n"/>
      <c r="CE130" s="21" t="n"/>
      <c r="CF130" s="27">
        <f>SUM(CD130:CE130)</f>
        <v/>
      </c>
      <c r="CG130" s="28" t="n"/>
      <c r="CH130" s="31" t="n"/>
      <c r="CI130" s="29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1" t="n"/>
      <c r="CK130" s="21" t="n"/>
      <c r="CL130" s="27">
        <f>SUM(CJ130:CK130)</f>
        <v/>
      </c>
      <c r="CM130" s="28" t="n"/>
      <c r="CN130" s="31" t="n"/>
      <c r="CO130" s="29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1" t="n"/>
      <c r="CQ130" s="21" t="n"/>
      <c r="CR130" s="27">
        <f>SUM(CP130:CQ130)</f>
        <v/>
      </c>
      <c r="CS130" s="28" t="n"/>
      <c r="CT130" s="31" t="n"/>
      <c r="CU130" s="29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1" t="n"/>
      <c r="CW130" s="21" t="n"/>
      <c r="CX130" s="27">
        <f>SUM(CV130:CW130)</f>
        <v/>
      </c>
      <c r="CY130" s="28" t="n"/>
      <c r="CZ130" s="31" t="n"/>
      <c r="DA130" s="29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1" t="n"/>
      <c r="DC130" s="21" t="n"/>
      <c r="DD130" s="27">
        <f>SUM(DB130:DC130)</f>
        <v/>
      </c>
      <c r="DE130" s="28" t="n"/>
      <c r="DF130" s="31" t="n"/>
      <c r="DG130" s="29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34">
        <f>SUM(O130,U130,AA130,AG130,AM130,AS130,AY130,BE130,BK130,BQ130,BW130,CC130,CI130,CO130,CU130,DA130,DG130)</f>
        <v/>
      </c>
      <c r="DI130" s="39">
        <f>RANK(DH130,DH$4:DH$503)</f>
        <v/>
      </c>
      <c r="DJ130" s="40" t="inlineStr">
        <is>
          <t>CHOOSE RATING</t>
        </is>
      </c>
      <c r="DK130" s="40" t="inlineStr">
        <is>
          <t>CHOOSE RATING</t>
        </is>
      </c>
      <c r="DL130" s="40" t="inlineStr">
        <is>
          <t>CHOOSE RATING</t>
        </is>
      </c>
      <c r="DM130" s="40" t="inlineStr">
        <is>
          <t>CHOOSE RATING</t>
        </is>
      </c>
      <c r="DN130" s="40" t="inlineStr">
        <is>
          <t>CHOOSE RATING</t>
        </is>
      </c>
      <c r="DO130" s="40" t="inlineStr">
        <is>
          <t>CHOOSE RATING</t>
        </is>
      </c>
      <c r="DP130" s="40" t="inlineStr">
        <is>
          <t>CHOOSE RATING</t>
        </is>
      </c>
      <c r="DQ130" s="40" t="inlineStr">
        <is>
          <t>CHOOSE RATING</t>
        </is>
      </c>
      <c r="DR130" s="43" t="inlineStr">
        <is>
          <t>2024/2025</t>
        </is>
      </c>
      <c r="DS130" s="45" t="inlineStr">
        <is>
          <t>THIRD</t>
        </is>
      </c>
      <c r="DT130" s="40" t="inlineStr">
        <is>
          <t>CHOOSE RATING</t>
        </is>
      </c>
      <c r="DU130" s="40" t="inlineStr">
        <is>
          <t>CHOOSE RATING</t>
        </is>
      </c>
      <c r="DV130" s="40" t="inlineStr">
        <is>
          <t>CHOOSE RATING</t>
        </is>
      </c>
      <c r="DW130" s="40" t="inlineStr">
        <is>
          <t>CHOOSE RATING</t>
        </is>
      </c>
      <c r="DX130" s="40" t="inlineStr">
        <is>
          <t>CHOOSE RATING</t>
        </is>
      </c>
      <c r="DY130" s="40" t="inlineStr">
        <is>
          <t>CHOOSE RATING</t>
        </is>
      </c>
      <c r="DZ130" s="53" t="inlineStr">
        <is>
          <t>CHOOSE RATING</t>
        </is>
      </c>
      <c r="EA130" s="54" t="inlineStr">
        <is>
          <t>Add the Tutor's Comment . . .</t>
        </is>
      </c>
      <c r="EB130" s="55" t="inlineStr">
        <is>
          <t>Choose Principals comment</t>
        </is>
      </c>
      <c r="EC130" s="56" t="n"/>
      <c r="ED130" s="57" t="inlineStr">
        <is>
          <t>Next Term Begins on Monday, 22nd September, 2025</t>
        </is>
      </c>
    </row>
    <row r="131" ht="30.6" customHeight="1" s="6">
      <c r="A131" s="18" t="n">
        <v>128</v>
      </c>
      <c r="B131" s="19" t="n"/>
      <c r="C131" s="20" t="n"/>
      <c r="D131" s="128" t="n"/>
      <c r="E131" s="21" t="n"/>
      <c r="F131" s="22" t="n"/>
      <c r="G131" s="22" t="n"/>
      <c r="H131" s="22" t="n"/>
      <c r="I131" s="26">
        <f>G131-H131</f>
        <v/>
      </c>
      <c r="J131" s="21" t="n"/>
      <c r="K131" s="21" t="n"/>
      <c r="L131" s="27">
        <f>SUM(J131:K131)</f>
        <v/>
      </c>
      <c r="M131" s="28" t="n"/>
      <c r="N131" s="28" t="n"/>
      <c r="O131" s="29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1" t="n"/>
      <c r="Q131" s="21" t="n"/>
      <c r="R131" s="27">
        <f>SUM(P131:Q131)</f>
        <v/>
      </c>
      <c r="S131" s="28" t="n"/>
      <c r="T131" s="28" t="n"/>
      <c r="U131" s="29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1" t="n"/>
      <c r="W131" s="21" t="n"/>
      <c r="X131" s="27">
        <f>SUM(V131:W131)</f>
        <v/>
      </c>
      <c r="Y131" s="28" t="n"/>
      <c r="Z131" s="28" t="n"/>
      <c r="AA131" s="29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1" t="n"/>
      <c r="AC131" s="21" t="n"/>
      <c r="AD131" s="27">
        <f>SUM(AB131:AC131)</f>
        <v/>
      </c>
      <c r="AE131" s="28" t="n"/>
      <c r="AF131" s="28" t="n"/>
      <c r="AG131" s="29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1" t="n"/>
      <c r="AI131" s="21" t="n"/>
      <c r="AJ131" s="27">
        <f>SUM(AH131:AI131)</f>
        <v/>
      </c>
      <c r="AK131" s="28" t="n"/>
      <c r="AL131" s="28" t="n"/>
      <c r="AM131" s="29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1" t="n"/>
      <c r="AO131" s="21" t="n"/>
      <c r="AP131" s="27">
        <f>SUM(AN131:AO131)</f>
        <v/>
      </c>
      <c r="AQ131" s="28" t="n"/>
      <c r="AR131" s="30" t="n"/>
      <c r="AS131" s="29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1" t="n"/>
      <c r="AU131" s="21" t="n"/>
      <c r="AV131" s="27">
        <f>SUM(AT131:AU131)</f>
        <v/>
      </c>
      <c r="AW131" s="28" t="n"/>
      <c r="AX131" s="30" t="n"/>
      <c r="AY131" s="29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1" t="n"/>
      <c r="BA131" s="21" t="n"/>
      <c r="BB131" s="27">
        <f>SUM(AZ131:BA131)</f>
        <v/>
      </c>
      <c r="BC131" s="28" t="n"/>
      <c r="BD131" s="28" t="n"/>
      <c r="BE131" s="29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1" t="n"/>
      <c r="BG131" s="21" t="n"/>
      <c r="BH131" s="27">
        <f>SUM(BF131:BG131)</f>
        <v/>
      </c>
      <c r="BI131" s="28" t="n"/>
      <c r="BJ131" s="28" t="n"/>
      <c r="BK131" s="29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1" t="n"/>
      <c r="BM131" s="21" t="n"/>
      <c r="BN131" s="27">
        <f>SUM(BL131:BM131)</f>
        <v/>
      </c>
      <c r="BO131" s="28" t="n"/>
      <c r="BP131" s="31" t="n"/>
      <c r="BQ131" s="29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1" t="n"/>
      <c r="BS131" s="21" t="n"/>
      <c r="BT131" s="27">
        <f>SUM(BR131:BS131)</f>
        <v/>
      </c>
      <c r="BU131" s="28" t="n"/>
      <c r="BV131" s="31" t="n"/>
      <c r="BW131" s="29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1" t="n"/>
      <c r="BY131" s="21" t="n"/>
      <c r="BZ131" s="27">
        <f>SUM(BX131:BY131)</f>
        <v/>
      </c>
      <c r="CA131" s="28" t="n"/>
      <c r="CB131" s="31" t="n"/>
      <c r="CC131" s="29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1" t="n"/>
      <c r="CE131" s="21" t="n"/>
      <c r="CF131" s="27">
        <f>SUM(CD131:CE131)</f>
        <v/>
      </c>
      <c r="CG131" s="28" t="n"/>
      <c r="CH131" s="31" t="n"/>
      <c r="CI131" s="29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1" t="n"/>
      <c r="CK131" s="21" t="n"/>
      <c r="CL131" s="27">
        <f>SUM(CJ131:CK131)</f>
        <v/>
      </c>
      <c r="CM131" s="28" t="n"/>
      <c r="CN131" s="31" t="n"/>
      <c r="CO131" s="29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1" t="n"/>
      <c r="CQ131" s="21" t="n"/>
      <c r="CR131" s="27">
        <f>SUM(CP131:CQ131)</f>
        <v/>
      </c>
      <c r="CS131" s="28" t="n"/>
      <c r="CT131" s="31" t="n"/>
      <c r="CU131" s="29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1" t="n"/>
      <c r="CW131" s="21" t="n"/>
      <c r="CX131" s="27">
        <f>SUM(CV131:CW131)</f>
        <v/>
      </c>
      <c r="CY131" s="28" t="n"/>
      <c r="CZ131" s="31" t="n"/>
      <c r="DA131" s="29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1" t="n"/>
      <c r="DC131" s="21" t="n"/>
      <c r="DD131" s="27">
        <f>SUM(DB131:DC131)</f>
        <v/>
      </c>
      <c r="DE131" s="28" t="n"/>
      <c r="DF131" s="31" t="n"/>
      <c r="DG131" s="29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34">
        <f>SUM(O131,U131,AA131,AG131,AM131,AS131,AY131,BE131,BK131,BQ131,BW131,CC131,CI131,CO131,CU131,DA131,DG131)</f>
        <v/>
      </c>
      <c r="DI131" s="39">
        <f>RANK(DH131,DH$4:DH$503)</f>
        <v/>
      </c>
      <c r="DJ131" s="40" t="inlineStr">
        <is>
          <t>CHOOSE RATING</t>
        </is>
      </c>
      <c r="DK131" s="40" t="inlineStr">
        <is>
          <t>CHOOSE RATING</t>
        </is>
      </c>
      <c r="DL131" s="40" t="inlineStr">
        <is>
          <t>CHOOSE RATING</t>
        </is>
      </c>
      <c r="DM131" s="40" t="inlineStr">
        <is>
          <t>CHOOSE RATING</t>
        </is>
      </c>
      <c r="DN131" s="40" t="inlineStr">
        <is>
          <t>CHOOSE RATING</t>
        </is>
      </c>
      <c r="DO131" s="40" t="inlineStr">
        <is>
          <t>CHOOSE RATING</t>
        </is>
      </c>
      <c r="DP131" s="40" t="inlineStr">
        <is>
          <t>CHOOSE RATING</t>
        </is>
      </c>
      <c r="DQ131" s="40" t="inlineStr">
        <is>
          <t>CHOOSE RATING</t>
        </is>
      </c>
      <c r="DR131" s="43" t="inlineStr">
        <is>
          <t>2024/2025</t>
        </is>
      </c>
      <c r="DS131" s="45" t="inlineStr">
        <is>
          <t>THIRD</t>
        </is>
      </c>
      <c r="DT131" s="40" t="inlineStr">
        <is>
          <t>CHOOSE RATING</t>
        </is>
      </c>
      <c r="DU131" s="40" t="inlineStr">
        <is>
          <t>CHOOSE RATING</t>
        </is>
      </c>
      <c r="DV131" s="40" t="inlineStr">
        <is>
          <t>CHOOSE RATING</t>
        </is>
      </c>
      <c r="DW131" s="40" t="inlineStr">
        <is>
          <t>CHOOSE RATING</t>
        </is>
      </c>
      <c r="DX131" s="40" t="inlineStr">
        <is>
          <t>CHOOSE RATING</t>
        </is>
      </c>
      <c r="DY131" s="40" t="inlineStr">
        <is>
          <t>CHOOSE RATING</t>
        </is>
      </c>
      <c r="DZ131" s="53" t="inlineStr">
        <is>
          <t>CHOOSE RATING</t>
        </is>
      </c>
      <c r="EA131" s="54" t="inlineStr">
        <is>
          <t>Add the Tutor's Comment . . .</t>
        </is>
      </c>
      <c r="EB131" s="55" t="inlineStr">
        <is>
          <t>Choose Principals comment</t>
        </is>
      </c>
      <c r="EC131" s="56" t="n"/>
      <c r="ED131" s="57" t="inlineStr">
        <is>
          <t>Next Term Begins on Monday, 22nd September, 2025</t>
        </is>
      </c>
    </row>
    <row r="132" ht="30.6" customHeight="1" s="6">
      <c r="A132" s="18" t="n">
        <v>129</v>
      </c>
      <c r="B132" s="19" t="n"/>
      <c r="C132" s="20" t="n"/>
      <c r="D132" s="128" t="n"/>
      <c r="E132" s="21" t="n"/>
      <c r="F132" s="22" t="n"/>
      <c r="G132" s="22" t="n"/>
      <c r="H132" s="22" t="n"/>
      <c r="I132" s="26">
        <f>G132-H132</f>
        <v/>
      </c>
      <c r="J132" s="21" t="n"/>
      <c r="K132" s="21" t="n"/>
      <c r="L132" s="27">
        <f>SUM(J132:K132)</f>
        <v/>
      </c>
      <c r="M132" s="28" t="n"/>
      <c r="N132" s="28" t="n"/>
      <c r="O132" s="29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1" t="n"/>
      <c r="Q132" s="21" t="n"/>
      <c r="R132" s="27">
        <f>SUM(P132:Q132)</f>
        <v/>
      </c>
      <c r="S132" s="28" t="n"/>
      <c r="T132" s="28" t="n"/>
      <c r="U132" s="29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1" t="n"/>
      <c r="W132" s="21" t="n"/>
      <c r="X132" s="27">
        <f>SUM(V132:W132)</f>
        <v/>
      </c>
      <c r="Y132" s="28" t="n"/>
      <c r="Z132" s="28" t="n"/>
      <c r="AA132" s="29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1" t="n"/>
      <c r="AC132" s="21" t="n"/>
      <c r="AD132" s="27">
        <f>SUM(AB132:AC132)</f>
        <v/>
      </c>
      <c r="AE132" s="28" t="n"/>
      <c r="AF132" s="28" t="n"/>
      <c r="AG132" s="29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1" t="n"/>
      <c r="AI132" s="21" t="n"/>
      <c r="AJ132" s="27">
        <f>SUM(AH132:AI132)</f>
        <v/>
      </c>
      <c r="AK132" s="28" t="n"/>
      <c r="AL132" s="28" t="n"/>
      <c r="AM132" s="29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1" t="n"/>
      <c r="AO132" s="21" t="n"/>
      <c r="AP132" s="27">
        <f>SUM(AN132:AO132)</f>
        <v/>
      </c>
      <c r="AQ132" s="28" t="n"/>
      <c r="AR132" s="30" t="n"/>
      <c r="AS132" s="29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1" t="n"/>
      <c r="AU132" s="21" t="n"/>
      <c r="AV132" s="27">
        <f>SUM(AT132:AU132)</f>
        <v/>
      </c>
      <c r="AW132" s="28" t="n"/>
      <c r="AX132" s="30" t="n"/>
      <c r="AY132" s="29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1" t="n"/>
      <c r="BA132" s="21" t="n"/>
      <c r="BB132" s="27">
        <f>SUM(AZ132:BA132)</f>
        <v/>
      </c>
      <c r="BC132" s="28" t="n"/>
      <c r="BD132" s="28" t="n"/>
      <c r="BE132" s="29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1" t="n"/>
      <c r="BG132" s="21" t="n"/>
      <c r="BH132" s="27">
        <f>SUM(BF132:BG132)</f>
        <v/>
      </c>
      <c r="BI132" s="28" t="n"/>
      <c r="BJ132" s="28" t="n"/>
      <c r="BK132" s="29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1" t="n"/>
      <c r="BM132" s="21" t="n"/>
      <c r="BN132" s="27">
        <f>SUM(BL132:BM132)</f>
        <v/>
      </c>
      <c r="BO132" s="28" t="n"/>
      <c r="BP132" s="31" t="n"/>
      <c r="BQ132" s="29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1" t="n"/>
      <c r="BS132" s="21" t="n"/>
      <c r="BT132" s="27">
        <f>SUM(BR132:BS132)</f>
        <v/>
      </c>
      <c r="BU132" s="28" t="n"/>
      <c r="BV132" s="31" t="n"/>
      <c r="BW132" s="29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1" t="n"/>
      <c r="BY132" s="21" t="n"/>
      <c r="BZ132" s="27">
        <f>SUM(BX132:BY132)</f>
        <v/>
      </c>
      <c r="CA132" s="28" t="n"/>
      <c r="CB132" s="31" t="n"/>
      <c r="CC132" s="29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1" t="n"/>
      <c r="CE132" s="21" t="n"/>
      <c r="CF132" s="27">
        <f>SUM(CD132:CE132)</f>
        <v/>
      </c>
      <c r="CG132" s="28" t="n"/>
      <c r="CH132" s="31" t="n"/>
      <c r="CI132" s="29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1" t="n"/>
      <c r="CK132" s="21" t="n"/>
      <c r="CL132" s="27">
        <f>SUM(CJ132:CK132)</f>
        <v/>
      </c>
      <c r="CM132" s="28" t="n"/>
      <c r="CN132" s="31" t="n"/>
      <c r="CO132" s="29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1" t="n"/>
      <c r="CQ132" s="21" t="n"/>
      <c r="CR132" s="27">
        <f>SUM(CP132:CQ132)</f>
        <v/>
      </c>
      <c r="CS132" s="28" t="n"/>
      <c r="CT132" s="31" t="n"/>
      <c r="CU132" s="29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1" t="n"/>
      <c r="CW132" s="21" t="n"/>
      <c r="CX132" s="27">
        <f>SUM(CV132:CW132)</f>
        <v/>
      </c>
      <c r="CY132" s="28" t="n"/>
      <c r="CZ132" s="31" t="n"/>
      <c r="DA132" s="29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1" t="n"/>
      <c r="DC132" s="21" t="n"/>
      <c r="DD132" s="27">
        <f>SUM(DB132:DC132)</f>
        <v/>
      </c>
      <c r="DE132" s="28" t="n"/>
      <c r="DF132" s="31" t="n"/>
      <c r="DG132" s="29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34">
        <f>SUM(O132,U132,AA132,AG132,AM132,AS132,AY132,BE132,BK132,BQ132,BW132,CC132,CI132,CO132,CU132,DA132,DG132)</f>
        <v/>
      </c>
      <c r="DI132" s="39">
        <f>RANK(DH132,DH$4:DH$503)</f>
        <v/>
      </c>
      <c r="DJ132" s="40" t="inlineStr">
        <is>
          <t>CHOOSE RATING</t>
        </is>
      </c>
      <c r="DK132" s="40" t="inlineStr">
        <is>
          <t>CHOOSE RATING</t>
        </is>
      </c>
      <c r="DL132" s="40" t="inlineStr">
        <is>
          <t>CHOOSE RATING</t>
        </is>
      </c>
      <c r="DM132" s="40" t="inlineStr">
        <is>
          <t>CHOOSE RATING</t>
        </is>
      </c>
      <c r="DN132" s="40" t="inlineStr">
        <is>
          <t>CHOOSE RATING</t>
        </is>
      </c>
      <c r="DO132" s="40" t="inlineStr">
        <is>
          <t>CHOOSE RATING</t>
        </is>
      </c>
      <c r="DP132" s="40" t="inlineStr">
        <is>
          <t>CHOOSE RATING</t>
        </is>
      </c>
      <c r="DQ132" s="40" t="inlineStr">
        <is>
          <t>CHOOSE RATING</t>
        </is>
      </c>
      <c r="DR132" s="43" t="inlineStr">
        <is>
          <t>2024/2025</t>
        </is>
      </c>
      <c r="DS132" s="45" t="inlineStr">
        <is>
          <t>THIRD</t>
        </is>
      </c>
      <c r="DT132" s="40" t="inlineStr">
        <is>
          <t>CHOOSE RATING</t>
        </is>
      </c>
      <c r="DU132" s="40" t="inlineStr">
        <is>
          <t>CHOOSE RATING</t>
        </is>
      </c>
      <c r="DV132" s="40" t="inlineStr">
        <is>
          <t>CHOOSE RATING</t>
        </is>
      </c>
      <c r="DW132" s="40" t="inlineStr">
        <is>
          <t>CHOOSE RATING</t>
        </is>
      </c>
      <c r="DX132" s="40" t="inlineStr">
        <is>
          <t>CHOOSE RATING</t>
        </is>
      </c>
      <c r="DY132" s="40" t="inlineStr">
        <is>
          <t>CHOOSE RATING</t>
        </is>
      </c>
      <c r="DZ132" s="53" t="inlineStr">
        <is>
          <t>CHOOSE RATING</t>
        </is>
      </c>
      <c r="EA132" s="54" t="inlineStr">
        <is>
          <t>Add the Tutor's Comment . . .</t>
        </is>
      </c>
      <c r="EB132" s="55" t="inlineStr">
        <is>
          <t>Choose Principals comment</t>
        </is>
      </c>
      <c r="EC132" s="56" t="n"/>
      <c r="ED132" s="57" t="inlineStr">
        <is>
          <t>Next Term Begins on Monday, 22nd September, 2025</t>
        </is>
      </c>
    </row>
    <row r="133" ht="30.6" customHeight="1" s="6">
      <c r="A133" s="18" t="n">
        <v>130</v>
      </c>
      <c r="B133" s="19" t="n"/>
      <c r="C133" s="20" t="n"/>
      <c r="D133" s="128" t="n"/>
      <c r="E133" s="21" t="n"/>
      <c r="F133" s="22" t="n"/>
      <c r="G133" s="22" t="n"/>
      <c r="H133" s="22" t="n"/>
      <c r="I133" s="26">
        <f>G133-H133</f>
        <v/>
      </c>
      <c r="J133" s="21" t="n"/>
      <c r="K133" s="21" t="n"/>
      <c r="L133" s="27">
        <f>SUM(J133:K133)</f>
        <v/>
      </c>
      <c r="M133" s="28" t="n"/>
      <c r="N133" s="28" t="n"/>
      <c r="O133" s="29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1" t="n"/>
      <c r="Q133" s="21" t="n"/>
      <c r="R133" s="27">
        <f>SUM(P133:Q133)</f>
        <v/>
      </c>
      <c r="S133" s="28" t="n"/>
      <c r="T133" s="28" t="n"/>
      <c r="U133" s="29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1" t="n"/>
      <c r="W133" s="21" t="n"/>
      <c r="X133" s="27">
        <f>SUM(V133:W133)</f>
        <v/>
      </c>
      <c r="Y133" s="28" t="n"/>
      <c r="Z133" s="28" t="n"/>
      <c r="AA133" s="29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1" t="n"/>
      <c r="AC133" s="21" t="n"/>
      <c r="AD133" s="27">
        <f>SUM(AB133:AC133)</f>
        <v/>
      </c>
      <c r="AE133" s="28" t="n"/>
      <c r="AF133" s="28" t="n"/>
      <c r="AG133" s="29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1" t="n"/>
      <c r="AI133" s="21" t="n"/>
      <c r="AJ133" s="27">
        <f>SUM(AH133:AI133)</f>
        <v/>
      </c>
      <c r="AK133" s="28" t="n"/>
      <c r="AL133" s="28" t="n"/>
      <c r="AM133" s="29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1" t="n"/>
      <c r="AO133" s="21" t="n"/>
      <c r="AP133" s="27">
        <f>SUM(AN133:AO133)</f>
        <v/>
      </c>
      <c r="AQ133" s="28" t="n"/>
      <c r="AR133" s="30" t="n"/>
      <c r="AS133" s="29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1" t="n"/>
      <c r="AU133" s="21" t="n"/>
      <c r="AV133" s="27">
        <f>SUM(AT133:AU133)</f>
        <v/>
      </c>
      <c r="AW133" s="28" t="n"/>
      <c r="AX133" s="30" t="n"/>
      <c r="AY133" s="29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1" t="n"/>
      <c r="BA133" s="21" t="n"/>
      <c r="BB133" s="27">
        <f>SUM(AZ133:BA133)</f>
        <v/>
      </c>
      <c r="BC133" s="28" t="n"/>
      <c r="BD133" s="28" t="n"/>
      <c r="BE133" s="29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1" t="n"/>
      <c r="BG133" s="21" t="n"/>
      <c r="BH133" s="27">
        <f>SUM(BF133:BG133)</f>
        <v/>
      </c>
      <c r="BI133" s="28" t="n"/>
      <c r="BJ133" s="28" t="n"/>
      <c r="BK133" s="29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1" t="n"/>
      <c r="BM133" s="21" t="n"/>
      <c r="BN133" s="27">
        <f>SUM(BL133:BM133)</f>
        <v/>
      </c>
      <c r="BO133" s="28" t="n"/>
      <c r="BP133" s="31" t="n"/>
      <c r="BQ133" s="29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1" t="n"/>
      <c r="BS133" s="21" t="n"/>
      <c r="BT133" s="27">
        <f>SUM(BR133:BS133)</f>
        <v/>
      </c>
      <c r="BU133" s="28" t="n"/>
      <c r="BV133" s="31" t="n"/>
      <c r="BW133" s="29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1" t="n"/>
      <c r="BY133" s="21" t="n"/>
      <c r="BZ133" s="27">
        <f>SUM(BX133:BY133)</f>
        <v/>
      </c>
      <c r="CA133" s="28" t="n"/>
      <c r="CB133" s="31" t="n"/>
      <c r="CC133" s="29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1" t="n"/>
      <c r="CE133" s="21" t="n"/>
      <c r="CF133" s="27">
        <f>SUM(CD133:CE133)</f>
        <v/>
      </c>
      <c r="CG133" s="28" t="n"/>
      <c r="CH133" s="31" t="n"/>
      <c r="CI133" s="29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1" t="n"/>
      <c r="CK133" s="21" t="n"/>
      <c r="CL133" s="27">
        <f>SUM(CJ133:CK133)</f>
        <v/>
      </c>
      <c r="CM133" s="28" t="n"/>
      <c r="CN133" s="31" t="n"/>
      <c r="CO133" s="29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1" t="n"/>
      <c r="CQ133" s="21" t="n"/>
      <c r="CR133" s="27">
        <f>SUM(CP133:CQ133)</f>
        <v/>
      </c>
      <c r="CS133" s="28" t="n"/>
      <c r="CT133" s="31" t="n"/>
      <c r="CU133" s="29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1" t="n"/>
      <c r="CW133" s="21" t="n"/>
      <c r="CX133" s="27">
        <f>SUM(CV133:CW133)</f>
        <v/>
      </c>
      <c r="CY133" s="28" t="n"/>
      <c r="CZ133" s="31" t="n"/>
      <c r="DA133" s="29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1" t="n"/>
      <c r="DC133" s="21" t="n"/>
      <c r="DD133" s="27">
        <f>SUM(DB133:DC133)</f>
        <v/>
      </c>
      <c r="DE133" s="28" t="n"/>
      <c r="DF133" s="31" t="n"/>
      <c r="DG133" s="29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34">
        <f>SUM(O133,U133,AA133,AG133,AM133,AS133,AY133,BE133,BK133,BQ133,BW133,CC133,CI133,CO133,CU133,DA133,DG133)</f>
        <v/>
      </c>
      <c r="DI133" s="39">
        <f>RANK(DH133,DH$4:DH$503)</f>
        <v/>
      </c>
      <c r="DJ133" s="40" t="inlineStr">
        <is>
          <t>CHOOSE RATING</t>
        </is>
      </c>
      <c r="DK133" s="40" t="inlineStr">
        <is>
          <t>CHOOSE RATING</t>
        </is>
      </c>
      <c r="DL133" s="40" t="inlineStr">
        <is>
          <t>CHOOSE RATING</t>
        </is>
      </c>
      <c r="DM133" s="40" t="inlineStr">
        <is>
          <t>CHOOSE RATING</t>
        </is>
      </c>
      <c r="DN133" s="40" t="inlineStr">
        <is>
          <t>CHOOSE RATING</t>
        </is>
      </c>
      <c r="DO133" s="40" t="inlineStr">
        <is>
          <t>CHOOSE RATING</t>
        </is>
      </c>
      <c r="DP133" s="40" t="inlineStr">
        <is>
          <t>CHOOSE RATING</t>
        </is>
      </c>
      <c r="DQ133" s="40" t="inlineStr">
        <is>
          <t>CHOOSE RATING</t>
        </is>
      </c>
      <c r="DR133" s="43" t="inlineStr">
        <is>
          <t>2024/2025</t>
        </is>
      </c>
      <c r="DS133" s="45" t="inlineStr">
        <is>
          <t>THIRD</t>
        </is>
      </c>
      <c r="DT133" s="40" t="inlineStr">
        <is>
          <t>CHOOSE RATING</t>
        </is>
      </c>
      <c r="DU133" s="40" t="inlineStr">
        <is>
          <t>CHOOSE RATING</t>
        </is>
      </c>
      <c r="DV133" s="40" t="inlineStr">
        <is>
          <t>CHOOSE RATING</t>
        </is>
      </c>
      <c r="DW133" s="40" t="inlineStr">
        <is>
          <t>CHOOSE RATING</t>
        </is>
      </c>
      <c r="DX133" s="40" t="inlineStr">
        <is>
          <t>CHOOSE RATING</t>
        </is>
      </c>
      <c r="DY133" s="40" t="inlineStr">
        <is>
          <t>CHOOSE RATING</t>
        </is>
      </c>
      <c r="DZ133" s="53" t="inlineStr">
        <is>
          <t>CHOOSE RATING</t>
        </is>
      </c>
      <c r="EA133" s="54" t="inlineStr">
        <is>
          <t>Add the Tutor's Comment . . .</t>
        </is>
      </c>
      <c r="EB133" s="55" t="inlineStr">
        <is>
          <t>Choose Principals comment</t>
        </is>
      </c>
      <c r="EC133" s="56" t="n"/>
      <c r="ED133" s="57" t="inlineStr">
        <is>
          <t>Next Term Begins on Monday, 22nd September, 2025</t>
        </is>
      </c>
    </row>
    <row r="134" ht="30.6" customHeight="1" s="6">
      <c r="A134" s="18" t="n">
        <v>131</v>
      </c>
      <c r="B134" s="19" t="n"/>
      <c r="C134" s="20" t="n"/>
      <c r="D134" s="128" t="n"/>
      <c r="E134" s="21" t="n"/>
      <c r="F134" s="22" t="n"/>
      <c r="G134" s="22" t="n"/>
      <c r="H134" s="22" t="n"/>
      <c r="I134" s="26">
        <f>G134-H134</f>
        <v/>
      </c>
      <c r="J134" s="21" t="n"/>
      <c r="K134" s="21" t="n"/>
      <c r="L134" s="27">
        <f>SUM(J134:K134)</f>
        <v/>
      </c>
      <c r="M134" s="28" t="n"/>
      <c r="N134" s="28" t="n"/>
      <c r="O134" s="29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1" t="n"/>
      <c r="Q134" s="21" t="n"/>
      <c r="R134" s="27">
        <f>SUM(P134:Q134)</f>
        <v/>
      </c>
      <c r="S134" s="28" t="n"/>
      <c r="T134" s="28" t="n"/>
      <c r="U134" s="29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1" t="n"/>
      <c r="W134" s="21" t="n"/>
      <c r="X134" s="27">
        <f>SUM(V134:W134)</f>
        <v/>
      </c>
      <c r="Y134" s="28" t="n"/>
      <c r="Z134" s="28" t="n"/>
      <c r="AA134" s="29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1" t="n"/>
      <c r="AC134" s="21" t="n"/>
      <c r="AD134" s="27">
        <f>SUM(AB134:AC134)</f>
        <v/>
      </c>
      <c r="AE134" s="28" t="n"/>
      <c r="AF134" s="28" t="n"/>
      <c r="AG134" s="29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1" t="n"/>
      <c r="AI134" s="21" t="n"/>
      <c r="AJ134" s="27">
        <f>SUM(AH134:AI134)</f>
        <v/>
      </c>
      <c r="AK134" s="28" t="n"/>
      <c r="AL134" s="28" t="n"/>
      <c r="AM134" s="29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1" t="n"/>
      <c r="AO134" s="21" t="n"/>
      <c r="AP134" s="27">
        <f>SUM(AN134:AO134)</f>
        <v/>
      </c>
      <c r="AQ134" s="28" t="n"/>
      <c r="AR134" s="30" t="n"/>
      <c r="AS134" s="29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1" t="n"/>
      <c r="AU134" s="21" t="n"/>
      <c r="AV134" s="27">
        <f>SUM(AT134:AU134)</f>
        <v/>
      </c>
      <c r="AW134" s="28" t="n"/>
      <c r="AX134" s="30" t="n"/>
      <c r="AY134" s="29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1" t="n"/>
      <c r="BA134" s="21" t="n"/>
      <c r="BB134" s="27">
        <f>SUM(AZ134:BA134)</f>
        <v/>
      </c>
      <c r="BC134" s="28" t="n"/>
      <c r="BD134" s="28" t="n"/>
      <c r="BE134" s="29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1" t="n"/>
      <c r="BG134" s="21" t="n"/>
      <c r="BH134" s="27">
        <f>SUM(BF134:BG134)</f>
        <v/>
      </c>
      <c r="BI134" s="28" t="n"/>
      <c r="BJ134" s="28" t="n"/>
      <c r="BK134" s="29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1" t="n"/>
      <c r="BM134" s="21" t="n"/>
      <c r="BN134" s="27">
        <f>SUM(BL134:BM134)</f>
        <v/>
      </c>
      <c r="BO134" s="28" t="n"/>
      <c r="BP134" s="31" t="n"/>
      <c r="BQ134" s="29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1" t="n"/>
      <c r="BS134" s="21" t="n"/>
      <c r="BT134" s="27">
        <f>SUM(BR134:BS134)</f>
        <v/>
      </c>
      <c r="BU134" s="28" t="n"/>
      <c r="BV134" s="31" t="n"/>
      <c r="BW134" s="29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1" t="n"/>
      <c r="BY134" s="21" t="n"/>
      <c r="BZ134" s="27">
        <f>SUM(BX134:BY134)</f>
        <v/>
      </c>
      <c r="CA134" s="28" t="n"/>
      <c r="CB134" s="31" t="n"/>
      <c r="CC134" s="29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1" t="n"/>
      <c r="CE134" s="21" t="n"/>
      <c r="CF134" s="27">
        <f>SUM(CD134:CE134)</f>
        <v/>
      </c>
      <c r="CG134" s="28" t="n"/>
      <c r="CH134" s="31" t="n"/>
      <c r="CI134" s="29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1" t="n"/>
      <c r="CK134" s="21" t="n"/>
      <c r="CL134" s="27">
        <f>SUM(CJ134:CK134)</f>
        <v/>
      </c>
      <c r="CM134" s="28" t="n"/>
      <c r="CN134" s="31" t="n"/>
      <c r="CO134" s="29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1" t="n"/>
      <c r="CQ134" s="21" t="n"/>
      <c r="CR134" s="27">
        <f>SUM(CP134:CQ134)</f>
        <v/>
      </c>
      <c r="CS134" s="28" t="n"/>
      <c r="CT134" s="31" t="n"/>
      <c r="CU134" s="29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1" t="n"/>
      <c r="CW134" s="21" t="n"/>
      <c r="CX134" s="27">
        <f>SUM(CV134:CW134)</f>
        <v/>
      </c>
      <c r="CY134" s="28" t="n"/>
      <c r="CZ134" s="31" t="n"/>
      <c r="DA134" s="29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1" t="n"/>
      <c r="DC134" s="21" t="n"/>
      <c r="DD134" s="27">
        <f>SUM(DB134:DC134)</f>
        <v/>
      </c>
      <c r="DE134" s="28" t="n"/>
      <c r="DF134" s="31" t="n"/>
      <c r="DG134" s="29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34">
        <f>SUM(O134,U134,AA134,AG134,AM134,AS134,AY134,BE134,BK134,BQ134,BW134,CC134,CI134,CO134,CU134,DA134,DG134)</f>
        <v/>
      </c>
      <c r="DI134" s="39">
        <f>RANK(DH134,DH$4:DH$503)</f>
        <v/>
      </c>
      <c r="DJ134" s="40" t="inlineStr">
        <is>
          <t>CHOOSE RATING</t>
        </is>
      </c>
      <c r="DK134" s="40" t="inlineStr">
        <is>
          <t>CHOOSE RATING</t>
        </is>
      </c>
      <c r="DL134" s="40" t="inlineStr">
        <is>
          <t>CHOOSE RATING</t>
        </is>
      </c>
      <c r="DM134" s="40" t="inlineStr">
        <is>
          <t>CHOOSE RATING</t>
        </is>
      </c>
      <c r="DN134" s="40" t="inlineStr">
        <is>
          <t>CHOOSE RATING</t>
        </is>
      </c>
      <c r="DO134" s="40" t="inlineStr">
        <is>
          <t>CHOOSE RATING</t>
        </is>
      </c>
      <c r="DP134" s="40" t="inlineStr">
        <is>
          <t>CHOOSE RATING</t>
        </is>
      </c>
      <c r="DQ134" s="40" t="inlineStr">
        <is>
          <t>CHOOSE RATING</t>
        </is>
      </c>
      <c r="DR134" s="43" t="inlineStr">
        <is>
          <t>2024/2025</t>
        </is>
      </c>
      <c r="DS134" s="45" t="inlineStr">
        <is>
          <t>THIRD</t>
        </is>
      </c>
      <c r="DT134" s="40" t="inlineStr">
        <is>
          <t>CHOOSE RATING</t>
        </is>
      </c>
      <c r="DU134" s="40" t="inlineStr">
        <is>
          <t>CHOOSE RATING</t>
        </is>
      </c>
      <c r="DV134" s="40" t="inlineStr">
        <is>
          <t>CHOOSE RATING</t>
        </is>
      </c>
      <c r="DW134" s="40" t="inlineStr">
        <is>
          <t>CHOOSE RATING</t>
        </is>
      </c>
      <c r="DX134" s="40" t="inlineStr">
        <is>
          <t>CHOOSE RATING</t>
        </is>
      </c>
      <c r="DY134" s="40" t="inlineStr">
        <is>
          <t>CHOOSE RATING</t>
        </is>
      </c>
      <c r="DZ134" s="53" t="inlineStr">
        <is>
          <t>CHOOSE RATING</t>
        </is>
      </c>
      <c r="EA134" s="54" t="inlineStr">
        <is>
          <t>Add the Tutor's Comment . . .</t>
        </is>
      </c>
      <c r="EB134" s="55" t="inlineStr">
        <is>
          <t>Choose Principals comment</t>
        </is>
      </c>
      <c r="EC134" s="56" t="n"/>
      <c r="ED134" s="57" t="inlineStr">
        <is>
          <t>Next Term Begins on Monday, 22nd September, 2025</t>
        </is>
      </c>
    </row>
    <row r="135" ht="30.6" customHeight="1" s="6">
      <c r="A135" s="18" t="n">
        <v>132</v>
      </c>
      <c r="B135" s="19" t="n"/>
      <c r="C135" s="20" t="n"/>
      <c r="D135" s="128" t="n"/>
      <c r="E135" s="21" t="n"/>
      <c r="F135" s="22" t="n"/>
      <c r="G135" s="22" t="n"/>
      <c r="H135" s="22" t="n"/>
      <c r="I135" s="26">
        <f>G135-H135</f>
        <v/>
      </c>
      <c r="J135" s="21" t="n"/>
      <c r="K135" s="21" t="n"/>
      <c r="L135" s="27">
        <f>SUM(J135:K135)</f>
        <v/>
      </c>
      <c r="M135" s="28" t="n"/>
      <c r="N135" s="28" t="n"/>
      <c r="O135" s="29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1" t="n"/>
      <c r="Q135" s="21" t="n"/>
      <c r="R135" s="27">
        <f>SUM(P135:Q135)</f>
        <v/>
      </c>
      <c r="S135" s="28" t="n"/>
      <c r="T135" s="28" t="n"/>
      <c r="U135" s="29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1" t="n"/>
      <c r="W135" s="21" t="n"/>
      <c r="X135" s="27">
        <f>SUM(V135:W135)</f>
        <v/>
      </c>
      <c r="Y135" s="28" t="n"/>
      <c r="Z135" s="28" t="n"/>
      <c r="AA135" s="29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1" t="n"/>
      <c r="AC135" s="21" t="n"/>
      <c r="AD135" s="27">
        <f>SUM(AB135:AC135)</f>
        <v/>
      </c>
      <c r="AE135" s="28" t="n"/>
      <c r="AF135" s="28" t="n"/>
      <c r="AG135" s="29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1" t="n"/>
      <c r="AI135" s="21" t="n"/>
      <c r="AJ135" s="27">
        <f>SUM(AH135:AI135)</f>
        <v/>
      </c>
      <c r="AK135" s="28" t="n"/>
      <c r="AL135" s="28" t="n"/>
      <c r="AM135" s="29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1" t="n"/>
      <c r="AO135" s="21" t="n"/>
      <c r="AP135" s="27">
        <f>SUM(AN135:AO135)</f>
        <v/>
      </c>
      <c r="AQ135" s="28" t="n"/>
      <c r="AR135" s="30" t="n"/>
      <c r="AS135" s="29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1" t="n"/>
      <c r="AU135" s="21" t="n"/>
      <c r="AV135" s="27">
        <f>SUM(AT135:AU135)</f>
        <v/>
      </c>
      <c r="AW135" s="28" t="n"/>
      <c r="AX135" s="30" t="n"/>
      <c r="AY135" s="29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1" t="n"/>
      <c r="BA135" s="21" t="n"/>
      <c r="BB135" s="27">
        <f>SUM(AZ135:BA135)</f>
        <v/>
      </c>
      <c r="BC135" s="28" t="n"/>
      <c r="BD135" s="28" t="n"/>
      <c r="BE135" s="29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1" t="n"/>
      <c r="BG135" s="21" t="n"/>
      <c r="BH135" s="27">
        <f>SUM(BF135:BG135)</f>
        <v/>
      </c>
      <c r="BI135" s="28" t="n"/>
      <c r="BJ135" s="28" t="n"/>
      <c r="BK135" s="29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1" t="n"/>
      <c r="BM135" s="21" t="n"/>
      <c r="BN135" s="27">
        <f>SUM(BL135:BM135)</f>
        <v/>
      </c>
      <c r="BO135" s="28" t="n"/>
      <c r="BP135" s="31" t="n"/>
      <c r="BQ135" s="29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1" t="n"/>
      <c r="BS135" s="21" t="n"/>
      <c r="BT135" s="27">
        <f>SUM(BR135:BS135)</f>
        <v/>
      </c>
      <c r="BU135" s="28" t="n"/>
      <c r="BV135" s="31" t="n"/>
      <c r="BW135" s="29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1" t="n"/>
      <c r="BY135" s="21" t="n"/>
      <c r="BZ135" s="27">
        <f>SUM(BX135:BY135)</f>
        <v/>
      </c>
      <c r="CA135" s="28" t="n"/>
      <c r="CB135" s="31" t="n"/>
      <c r="CC135" s="29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1" t="n"/>
      <c r="CE135" s="21" t="n"/>
      <c r="CF135" s="27">
        <f>SUM(CD135:CE135)</f>
        <v/>
      </c>
      <c r="CG135" s="28" t="n"/>
      <c r="CH135" s="31" t="n"/>
      <c r="CI135" s="29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1" t="n"/>
      <c r="CK135" s="21" t="n"/>
      <c r="CL135" s="27">
        <f>SUM(CJ135:CK135)</f>
        <v/>
      </c>
      <c r="CM135" s="28" t="n"/>
      <c r="CN135" s="31" t="n"/>
      <c r="CO135" s="29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1" t="n"/>
      <c r="CQ135" s="21" t="n"/>
      <c r="CR135" s="27">
        <f>SUM(CP135:CQ135)</f>
        <v/>
      </c>
      <c r="CS135" s="28" t="n"/>
      <c r="CT135" s="31" t="n"/>
      <c r="CU135" s="29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1" t="n"/>
      <c r="CW135" s="21" t="n"/>
      <c r="CX135" s="27">
        <f>SUM(CV135:CW135)</f>
        <v/>
      </c>
      <c r="CY135" s="28" t="n"/>
      <c r="CZ135" s="31" t="n"/>
      <c r="DA135" s="29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1" t="n"/>
      <c r="DC135" s="21" t="n"/>
      <c r="DD135" s="27">
        <f>SUM(DB135:DC135)</f>
        <v/>
      </c>
      <c r="DE135" s="28" t="n"/>
      <c r="DF135" s="31" t="n"/>
      <c r="DG135" s="29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34">
        <f>SUM(O135,U135,AA135,AG135,AM135,AS135,AY135,BE135,BK135,BQ135,BW135,CC135,CI135,CO135,CU135,DA135,DG135)</f>
        <v/>
      </c>
      <c r="DI135" s="39">
        <f>RANK(DH135,DH$4:DH$503)</f>
        <v/>
      </c>
      <c r="DJ135" s="40" t="inlineStr">
        <is>
          <t>CHOOSE RATING</t>
        </is>
      </c>
      <c r="DK135" s="40" t="inlineStr">
        <is>
          <t>CHOOSE RATING</t>
        </is>
      </c>
      <c r="DL135" s="40" t="inlineStr">
        <is>
          <t>CHOOSE RATING</t>
        </is>
      </c>
      <c r="DM135" s="40" t="inlineStr">
        <is>
          <t>CHOOSE RATING</t>
        </is>
      </c>
      <c r="DN135" s="40" t="inlineStr">
        <is>
          <t>CHOOSE RATING</t>
        </is>
      </c>
      <c r="DO135" s="40" t="inlineStr">
        <is>
          <t>CHOOSE RATING</t>
        </is>
      </c>
      <c r="DP135" s="40" t="inlineStr">
        <is>
          <t>CHOOSE RATING</t>
        </is>
      </c>
      <c r="DQ135" s="40" t="inlineStr">
        <is>
          <t>CHOOSE RATING</t>
        </is>
      </c>
      <c r="DR135" s="43" t="inlineStr">
        <is>
          <t>2024/2025</t>
        </is>
      </c>
      <c r="DS135" s="45" t="inlineStr">
        <is>
          <t>THIRD</t>
        </is>
      </c>
      <c r="DT135" s="40" t="inlineStr">
        <is>
          <t>CHOOSE RATING</t>
        </is>
      </c>
      <c r="DU135" s="40" t="inlineStr">
        <is>
          <t>CHOOSE RATING</t>
        </is>
      </c>
      <c r="DV135" s="40" t="inlineStr">
        <is>
          <t>CHOOSE RATING</t>
        </is>
      </c>
      <c r="DW135" s="40" t="inlineStr">
        <is>
          <t>CHOOSE RATING</t>
        </is>
      </c>
      <c r="DX135" s="40" t="inlineStr">
        <is>
          <t>CHOOSE RATING</t>
        </is>
      </c>
      <c r="DY135" s="40" t="inlineStr">
        <is>
          <t>CHOOSE RATING</t>
        </is>
      </c>
      <c r="DZ135" s="53" t="inlineStr">
        <is>
          <t>CHOOSE RATING</t>
        </is>
      </c>
      <c r="EA135" s="54" t="inlineStr">
        <is>
          <t>Add the Tutor's Comment . . .</t>
        </is>
      </c>
      <c r="EB135" s="55" t="inlineStr">
        <is>
          <t>Choose Principals comment</t>
        </is>
      </c>
      <c r="EC135" s="56" t="n"/>
      <c r="ED135" s="57" t="inlineStr">
        <is>
          <t>Next Term Begins on Monday, 22nd September, 2025</t>
        </is>
      </c>
    </row>
    <row r="136" ht="30.6" customHeight="1" s="6">
      <c r="A136" s="18" t="n">
        <v>133</v>
      </c>
      <c r="B136" s="19" t="n"/>
      <c r="C136" s="20" t="n"/>
      <c r="D136" s="128" t="n"/>
      <c r="E136" s="21" t="n"/>
      <c r="F136" s="22" t="n"/>
      <c r="G136" s="22" t="n"/>
      <c r="H136" s="22" t="n"/>
      <c r="I136" s="26">
        <f>G136-H136</f>
        <v/>
      </c>
      <c r="J136" s="21" t="n"/>
      <c r="K136" s="21" t="n"/>
      <c r="L136" s="27">
        <f>SUM(J136:K136)</f>
        <v/>
      </c>
      <c r="M136" s="28" t="n"/>
      <c r="N136" s="28" t="n"/>
      <c r="O136" s="29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1" t="n"/>
      <c r="Q136" s="21" t="n"/>
      <c r="R136" s="27">
        <f>SUM(P136:Q136)</f>
        <v/>
      </c>
      <c r="S136" s="28" t="n"/>
      <c r="T136" s="28" t="n"/>
      <c r="U136" s="29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1" t="n"/>
      <c r="W136" s="21" t="n"/>
      <c r="X136" s="27">
        <f>SUM(V136:W136)</f>
        <v/>
      </c>
      <c r="Y136" s="28" t="n"/>
      <c r="Z136" s="28" t="n"/>
      <c r="AA136" s="29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1" t="n"/>
      <c r="AC136" s="21" t="n"/>
      <c r="AD136" s="27">
        <f>SUM(AB136:AC136)</f>
        <v/>
      </c>
      <c r="AE136" s="28" t="n"/>
      <c r="AF136" s="28" t="n"/>
      <c r="AG136" s="29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1" t="n"/>
      <c r="AI136" s="21" t="n"/>
      <c r="AJ136" s="27">
        <f>SUM(AH136:AI136)</f>
        <v/>
      </c>
      <c r="AK136" s="28" t="n"/>
      <c r="AL136" s="28" t="n"/>
      <c r="AM136" s="29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1" t="n"/>
      <c r="AO136" s="21" t="n"/>
      <c r="AP136" s="27">
        <f>SUM(AN136:AO136)</f>
        <v/>
      </c>
      <c r="AQ136" s="28" t="n"/>
      <c r="AR136" s="30" t="n"/>
      <c r="AS136" s="29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1" t="n"/>
      <c r="AU136" s="21" t="n"/>
      <c r="AV136" s="27">
        <f>SUM(AT136:AU136)</f>
        <v/>
      </c>
      <c r="AW136" s="28" t="n"/>
      <c r="AX136" s="30" t="n"/>
      <c r="AY136" s="29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1" t="n"/>
      <c r="BA136" s="21" t="n"/>
      <c r="BB136" s="27">
        <f>SUM(AZ136:BA136)</f>
        <v/>
      </c>
      <c r="BC136" s="28" t="n"/>
      <c r="BD136" s="28" t="n"/>
      <c r="BE136" s="29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1" t="n"/>
      <c r="BG136" s="21" t="n"/>
      <c r="BH136" s="27">
        <f>SUM(BF136:BG136)</f>
        <v/>
      </c>
      <c r="BI136" s="28" t="n"/>
      <c r="BJ136" s="28" t="n"/>
      <c r="BK136" s="29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1" t="n"/>
      <c r="BM136" s="21" t="n"/>
      <c r="BN136" s="27">
        <f>SUM(BL136:BM136)</f>
        <v/>
      </c>
      <c r="BO136" s="28" t="n"/>
      <c r="BP136" s="31" t="n"/>
      <c r="BQ136" s="29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1" t="n"/>
      <c r="BS136" s="21" t="n"/>
      <c r="BT136" s="27">
        <f>SUM(BR136:BS136)</f>
        <v/>
      </c>
      <c r="BU136" s="28" t="n"/>
      <c r="BV136" s="31" t="n"/>
      <c r="BW136" s="29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1" t="n"/>
      <c r="BY136" s="21" t="n"/>
      <c r="BZ136" s="27">
        <f>SUM(BX136:BY136)</f>
        <v/>
      </c>
      <c r="CA136" s="28" t="n"/>
      <c r="CB136" s="31" t="n"/>
      <c r="CC136" s="29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1" t="n"/>
      <c r="CE136" s="21" t="n"/>
      <c r="CF136" s="27">
        <f>SUM(CD136:CE136)</f>
        <v/>
      </c>
      <c r="CG136" s="28" t="n"/>
      <c r="CH136" s="31" t="n"/>
      <c r="CI136" s="29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1" t="n"/>
      <c r="CK136" s="21" t="n"/>
      <c r="CL136" s="27">
        <f>SUM(CJ136:CK136)</f>
        <v/>
      </c>
      <c r="CM136" s="28" t="n"/>
      <c r="CN136" s="31" t="n"/>
      <c r="CO136" s="29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1" t="n"/>
      <c r="CQ136" s="21" t="n"/>
      <c r="CR136" s="27">
        <f>SUM(CP136:CQ136)</f>
        <v/>
      </c>
      <c r="CS136" s="28" t="n"/>
      <c r="CT136" s="31" t="n"/>
      <c r="CU136" s="29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1" t="n"/>
      <c r="CW136" s="21" t="n"/>
      <c r="CX136" s="27">
        <f>SUM(CV136:CW136)</f>
        <v/>
      </c>
      <c r="CY136" s="28" t="n"/>
      <c r="CZ136" s="31" t="n"/>
      <c r="DA136" s="29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1" t="n"/>
      <c r="DC136" s="21" t="n"/>
      <c r="DD136" s="27">
        <f>SUM(DB136:DC136)</f>
        <v/>
      </c>
      <c r="DE136" s="28" t="n"/>
      <c r="DF136" s="31" t="n"/>
      <c r="DG136" s="29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34">
        <f>SUM(O136,U136,AA136,AG136,AM136,AS136,AY136,BE136,BK136,BQ136,BW136,CC136,CI136,CO136,CU136,DA136,DG136)</f>
        <v/>
      </c>
      <c r="DI136" s="39">
        <f>RANK(DH136,DH$4:DH$503)</f>
        <v/>
      </c>
      <c r="DJ136" s="40" t="inlineStr">
        <is>
          <t>CHOOSE RATING</t>
        </is>
      </c>
      <c r="DK136" s="40" t="inlineStr">
        <is>
          <t>CHOOSE RATING</t>
        </is>
      </c>
      <c r="DL136" s="40" t="inlineStr">
        <is>
          <t>CHOOSE RATING</t>
        </is>
      </c>
      <c r="DM136" s="40" t="inlineStr">
        <is>
          <t>CHOOSE RATING</t>
        </is>
      </c>
      <c r="DN136" s="40" t="inlineStr">
        <is>
          <t>CHOOSE RATING</t>
        </is>
      </c>
      <c r="DO136" s="40" t="inlineStr">
        <is>
          <t>CHOOSE RATING</t>
        </is>
      </c>
      <c r="DP136" s="40" t="inlineStr">
        <is>
          <t>CHOOSE RATING</t>
        </is>
      </c>
      <c r="DQ136" s="40" t="inlineStr">
        <is>
          <t>CHOOSE RATING</t>
        </is>
      </c>
      <c r="DR136" s="43" t="inlineStr">
        <is>
          <t>2024/2025</t>
        </is>
      </c>
      <c r="DS136" s="45" t="inlineStr">
        <is>
          <t>THIRD</t>
        </is>
      </c>
      <c r="DT136" s="40" t="inlineStr">
        <is>
          <t>CHOOSE RATING</t>
        </is>
      </c>
      <c r="DU136" s="40" t="inlineStr">
        <is>
          <t>CHOOSE RATING</t>
        </is>
      </c>
      <c r="DV136" s="40" t="inlineStr">
        <is>
          <t>CHOOSE RATING</t>
        </is>
      </c>
      <c r="DW136" s="40" t="inlineStr">
        <is>
          <t>CHOOSE RATING</t>
        </is>
      </c>
      <c r="DX136" s="40" t="inlineStr">
        <is>
          <t>CHOOSE RATING</t>
        </is>
      </c>
      <c r="DY136" s="40" t="inlineStr">
        <is>
          <t>CHOOSE RATING</t>
        </is>
      </c>
      <c r="DZ136" s="53" t="inlineStr">
        <is>
          <t>CHOOSE RATING</t>
        </is>
      </c>
      <c r="EA136" s="54" t="inlineStr">
        <is>
          <t>Add the Tutor's Comment . . .</t>
        </is>
      </c>
      <c r="EB136" s="55" t="inlineStr">
        <is>
          <t>Choose Principals comment</t>
        </is>
      </c>
      <c r="EC136" s="56" t="n"/>
      <c r="ED136" s="57" t="inlineStr">
        <is>
          <t>Next Term Begins on Monday, 22nd September, 2025</t>
        </is>
      </c>
    </row>
    <row r="137" ht="30.6" customHeight="1" s="6">
      <c r="A137" s="18" t="n">
        <v>134</v>
      </c>
      <c r="B137" s="19" t="n"/>
      <c r="C137" s="20" t="n"/>
      <c r="D137" s="128" t="n"/>
      <c r="E137" s="21" t="n"/>
      <c r="F137" s="22" t="n"/>
      <c r="G137" s="22" t="n"/>
      <c r="H137" s="22" t="n"/>
      <c r="I137" s="26">
        <f>G137-H137</f>
        <v/>
      </c>
      <c r="J137" s="21" t="n"/>
      <c r="K137" s="21" t="n"/>
      <c r="L137" s="27">
        <f>SUM(J137:K137)</f>
        <v/>
      </c>
      <c r="M137" s="28" t="n"/>
      <c r="N137" s="28" t="n"/>
      <c r="O137" s="29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1" t="n"/>
      <c r="Q137" s="21" t="n"/>
      <c r="R137" s="27">
        <f>SUM(P137:Q137)</f>
        <v/>
      </c>
      <c r="S137" s="28" t="n"/>
      <c r="T137" s="28" t="n"/>
      <c r="U137" s="29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1" t="n"/>
      <c r="W137" s="21" t="n"/>
      <c r="X137" s="27">
        <f>SUM(V137:W137)</f>
        <v/>
      </c>
      <c r="Y137" s="28" t="n"/>
      <c r="Z137" s="28" t="n"/>
      <c r="AA137" s="29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1" t="n"/>
      <c r="AC137" s="21" t="n"/>
      <c r="AD137" s="27">
        <f>SUM(AB137:AC137)</f>
        <v/>
      </c>
      <c r="AE137" s="28" t="n"/>
      <c r="AF137" s="28" t="n"/>
      <c r="AG137" s="29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1" t="n"/>
      <c r="AI137" s="21" t="n"/>
      <c r="AJ137" s="27">
        <f>SUM(AH137:AI137)</f>
        <v/>
      </c>
      <c r="AK137" s="28" t="n"/>
      <c r="AL137" s="28" t="n"/>
      <c r="AM137" s="29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1" t="n"/>
      <c r="AO137" s="21" t="n"/>
      <c r="AP137" s="27">
        <f>SUM(AN137:AO137)</f>
        <v/>
      </c>
      <c r="AQ137" s="28" t="n"/>
      <c r="AR137" s="30" t="n"/>
      <c r="AS137" s="29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1" t="n"/>
      <c r="AU137" s="21" t="n"/>
      <c r="AV137" s="27">
        <f>SUM(AT137:AU137)</f>
        <v/>
      </c>
      <c r="AW137" s="28" t="n"/>
      <c r="AX137" s="30" t="n"/>
      <c r="AY137" s="29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1" t="n"/>
      <c r="BA137" s="21" t="n"/>
      <c r="BB137" s="27">
        <f>SUM(AZ137:BA137)</f>
        <v/>
      </c>
      <c r="BC137" s="28" t="n"/>
      <c r="BD137" s="28" t="n"/>
      <c r="BE137" s="29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1" t="n"/>
      <c r="BG137" s="21" t="n"/>
      <c r="BH137" s="27">
        <f>SUM(BF137:BG137)</f>
        <v/>
      </c>
      <c r="BI137" s="28" t="n"/>
      <c r="BJ137" s="28" t="n"/>
      <c r="BK137" s="29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1" t="n"/>
      <c r="BM137" s="21" t="n"/>
      <c r="BN137" s="27">
        <f>SUM(BL137:BM137)</f>
        <v/>
      </c>
      <c r="BO137" s="28" t="n"/>
      <c r="BP137" s="31" t="n"/>
      <c r="BQ137" s="29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1" t="n"/>
      <c r="BS137" s="21" t="n"/>
      <c r="BT137" s="27">
        <f>SUM(BR137:BS137)</f>
        <v/>
      </c>
      <c r="BU137" s="28" t="n"/>
      <c r="BV137" s="31" t="n"/>
      <c r="BW137" s="29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1" t="n"/>
      <c r="BY137" s="21" t="n"/>
      <c r="BZ137" s="27">
        <f>SUM(BX137:BY137)</f>
        <v/>
      </c>
      <c r="CA137" s="28" t="n"/>
      <c r="CB137" s="31" t="n"/>
      <c r="CC137" s="29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1" t="n"/>
      <c r="CE137" s="21" t="n"/>
      <c r="CF137" s="27">
        <f>SUM(CD137:CE137)</f>
        <v/>
      </c>
      <c r="CG137" s="28" t="n"/>
      <c r="CH137" s="31" t="n"/>
      <c r="CI137" s="29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1" t="n"/>
      <c r="CK137" s="21" t="n"/>
      <c r="CL137" s="27">
        <f>SUM(CJ137:CK137)</f>
        <v/>
      </c>
      <c r="CM137" s="28" t="n"/>
      <c r="CN137" s="31" t="n"/>
      <c r="CO137" s="29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1" t="n"/>
      <c r="CQ137" s="21" t="n"/>
      <c r="CR137" s="27">
        <f>SUM(CP137:CQ137)</f>
        <v/>
      </c>
      <c r="CS137" s="28" t="n"/>
      <c r="CT137" s="31" t="n"/>
      <c r="CU137" s="29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1" t="n"/>
      <c r="CW137" s="21" t="n"/>
      <c r="CX137" s="27">
        <f>SUM(CV137:CW137)</f>
        <v/>
      </c>
      <c r="CY137" s="28" t="n"/>
      <c r="CZ137" s="31" t="n"/>
      <c r="DA137" s="29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1" t="n"/>
      <c r="DC137" s="21" t="n"/>
      <c r="DD137" s="27">
        <f>SUM(DB137:DC137)</f>
        <v/>
      </c>
      <c r="DE137" s="28" t="n"/>
      <c r="DF137" s="31" t="n"/>
      <c r="DG137" s="29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34">
        <f>SUM(O137,U137,AA137,AG137,AM137,AS137,AY137,BE137,BK137,BQ137,BW137,CC137,CI137,CO137,CU137,DA137,DG137)</f>
        <v/>
      </c>
      <c r="DI137" s="39">
        <f>RANK(DH137,DH$4:DH$503)</f>
        <v/>
      </c>
      <c r="DJ137" s="40" t="inlineStr">
        <is>
          <t>CHOOSE RATING</t>
        </is>
      </c>
      <c r="DK137" s="40" t="inlineStr">
        <is>
          <t>CHOOSE RATING</t>
        </is>
      </c>
      <c r="DL137" s="40" t="inlineStr">
        <is>
          <t>CHOOSE RATING</t>
        </is>
      </c>
      <c r="DM137" s="40" t="inlineStr">
        <is>
          <t>CHOOSE RATING</t>
        </is>
      </c>
      <c r="DN137" s="40" t="inlineStr">
        <is>
          <t>CHOOSE RATING</t>
        </is>
      </c>
      <c r="DO137" s="40" t="inlineStr">
        <is>
          <t>CHOOSE RATING</t>
        </is>
      </c>
      <c r="DP137" s="40" t="inlineStr">
        <is>
          <t>CHOOSE RATING</t>
        </is>
      </c>
      <c r="DQ137" s="40" t="inlineStr">
        <is>
          <t>CHOOSE RATING</t>
        </is>
      </c>
      <c r="DR137" s="43" t="inlineStr">
        <is>
          <t>2024/2025</t>
        </is>
      </c>
      <c r="DS137" s="45" t="inlineStr">
        <is>
          <t>THIRD</t>
        </is>
      </c>
      <c r="DT137" s="40" t="inlineStr">
        <is>
          <t>CHOOSE RATING</t>
        </is>
      </c>
      <c r="DU137" s="40" t="inlineStr">
        <is>
          <t>CHOOSE RATING</t>
        </is>
      </c>
      <c r="DV137" s="40" t="inlineStr">
        <is>
          <t>CHOOSE RATING</t>
        </is>
      </c>
      <c r="DW137" s="40" t="inlineStr">
        <is>
          <t>CHOOSE RATING</t>
        </is>
      </c>
      <c r="DX137" s="40" t="inlineStr">
        <is>
          <t>CHOOSE RATING</t>
        </is>
      </c>
      <c r="DY137" s="40" t="inlineStr">
        <is>
          <t>CHOOSE RATING</t>
        </is>
      </c>
      <c r="DZ137" s="53" t="inlineStr">
        <is>
          <t>CHOOSE RATING</t>
        </is>
      </c>
      <c r="EA137" s="54" t="inlineStr">
        <is>
          <t>Add the Tutor's Comment . . .</t>
        </is>
      </c>
      <c r="EB137" s="55" t="inlineStr">
        <is>
          <t>Choose Principals comment</t>
        </is>
      </c>
      <c r="EC137" s="56" t="n"/>
      <c r="ED137" s="57" t="inlineStr">
        <is>
          <t>Next Term Begins on Monday, 22nd September, 2025</t>
        </is>
      </c>
    </row>
    <row r="138" ht="30.6" customHeight="1" s="6">
      <c r="A138" s="18" t="n">
        <v>135</v>
      </c>
      <c r="B138" s="19" t="n"/>
      <c r="C138" s="20" t="n"/>
      <c r="D138" s="128" t="n"/>
      <c r="E138" s="21" t="n"/>
      <c r="F138" s="22" t="n"/>
      <c r="G138" s="22" t="n"/>
      <c r="H138" s="22" t="n"/>
      <c r="I138" s="26">
        <f>G138-H138</f>
        <v/>
      </c>
      <c r="J138" s="21" t="n"/>
      <c r="K138" s="21" t="n"/>
      <c r="L138" s="27">
        <f>SUM(J138:K138)</f>
        <v/>
      </c>
      <c r="M138" s="28" t="n"/>
      <c r="N138" s="28" t="n"/>
      <c r="O138" s="29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1" t="n"/>
      <c r="Q138" s="21" t="n"/>
      <c r="R138" s="27">
        <f>SUM(P138:Q138)</f>
        <v/>
      </c>
      <c r="S138" s="28" t="n"/>
      <c r="T138" s="28" t="n"/>
      <c r="U138" s="29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1" t="n"/>
      <c r="W138" s="21" t="n"/>
      <c r="X138" s="27">
        <f>SUM(V138:W138)</f>
        <v/>
      </c>
      <c r="Y138" s="28" t="n"/>
      <c r="Z138" s="28" t="n"/>
      <c r="AA138" s="29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1" t="n"/>
      <c r="AC138" s="21" t="n"/>
      <c r="AD138" s="27">
        <f>SUM(AB138:AC138)</f>
        <v/>
      </c>
      <c r="AE138" s="28" t="n"/>
      <c r="AF138" s="28" t="n"/>
      <c r="AG138" s="29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1" t="n"/>
      <c r="AI138" s="21" t="n"/>
      <c r="AJ138" s="27">
        <f>SUM(AH138:AI138)</f>
        <v/>
      </c>
      <c r="AK138" s="28" t="n"/>
      <c r="AL138" s="28" t="n"/>
      <c r="AM138" s="29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1" t="n"/>
      <c r="AO138" s="21" t="n"/>
      <c r="AP138" s="27">
        <f>SUM(AN138:AO138)</f>
        <v/>
      </c>
      <c r="AQ138" s="28" t="n"/>
      <c r="AR138" s="30" t="n"/>
      <c r="AS138" s="29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1" t="n"/>
      <c r="AU138" s="21" t="n"/>
      <c r="AV138" s="27">
        <f>SUM(AT138:AU138)</f>
        <v/>
      </c>
      <c r="AW138" s="28" t="n"/>
      <c r="AX138" s="30" t="n"/>
      <c r="AY138" s="29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1" t="n"/>
      <c r="BA138" s="21" t="n"/>
      <c r="BB138" s="27">
        <f>SUM(AZ138:BA138)</f>
        <v/>
      </c>
      <c r="BC138" s="28" t="n"/>
      <c r="BD138" s="28" t="n"/>
      <c r="BE138" s="29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1" t="n"/>
      <c r="BG138" s="21" t="n"/>
      <c r="BH138" s="27">
        <f>SUM(BF138:BG138)</f>
        <v/>
      </c>
      <c r="BI138" s="28" t="n"/>
      <c r="BJ138" s="28" t="n"/>
      <c r="BK138" s="29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1" t="n"/>
      <c r="BM138" s="21" t="n"/>
      <c r="BN138" s="27">
        <f>SUM(BL138:BM138)</f>
        <v/>
      </c>
      <c r="BO138" s="28" t="n"/>
      <c r="BP138" s="31" t="n"/>
      <c r="BQ138" s="29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1" t="n"/>
      <c r="BS138" s="21" t="n"/>
      <c r="BT138" s="27">
        <f>SUM(BR138:BS138)</f>
        <v/>
      </c>
      <c r="BU138" s="28" t="n"/>
      <c r="BV138" s="31" t="n"/>
      <c r="BW138" s="29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1" t="n"/>
      <c r="BY138" s="21" t="n"/>
      <c r="BZ138" s="27">
        <f>SUM(BX138:BY138)</f>
        <v/>
      </c>
      <c r="CA138" s="28" t="n"/>
      <c r="CB138" s="31" t="n"/>
      <c r="CC138" s="29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1" t="n"/>
      <c r="CE138" s="21" t="n"/>
      <c r="CF138" s="27">
        <f>SUM(CD138:CE138)</f>
        <v/>
      </c>
      <c r="CG138" s="28" t="n"/>
      <c r="CH138" s="31" t="n"/>
      <c r="CI138" s="29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1" t="n"/>
      <c r="CK138" s="21" t="n"/>
      <c r="CL138" s="27">
        <f>SUM(CJ138:CK138)</f>
        <v/>
      </c>
      <c r="CM138" s="28" t="n"/>
      <c r="CN138" s="31" t="n"/>
      <c r="CO138" s="29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1" t="n"/>
      <c r="CQ138" s="21" t="n"/>
      <c r="CR138" s="27">
        <f>SUM(CP138:CQ138)</f>
        <v/>
      </c>
      <c r="CS138" s="28" t="n"/>
      <c r="CT138" s="31" t="n"/>
      <c r="CU138" s="29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1" t="n"/>
      <c r="CW138" s="21" t="n"/>
      <c r="CX138" s="27">
        <f>SUM(CV138:CW138)</f>
        <v/>
      </c>
      <c r="CY138" s="28" t="n"/>
      <c r="CZ138" s="31" t="n"/>
      <c r="DA138" s="29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1" t="n"/>
      <c r="DC138" s="21" t="n"/>
      <c r="DD138" s="27">
        <f>SUM(DB138:DC138)</f>
        <v/>
      </c>
      <c r="DE138" s="28" t="n"/>
      <c r="DF138" s="31" t="n"/>
      <c r="DG138" s="29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34">
        <f>SUM(O138,U138,AA138,AG138,AM138,AS138,AY138,BE138,BK138,BQ138,BW138,CC138,CI138,CO138,CU138,DA138,DG138)</f>
        <v/>
      </c>
      <c r="DI138" s="39">
        <f>RANK(DH138,DH$4:DH$503)</f>
        <v/>
      </c>
      <c r="DJ138" s="40" t="inlineStr">
        <is>
          <t>CHOOSE RATING</t>
        </is>
      </c>
      <c r="DK138" s="40" t="inlineStr">
        <is>
          <t>CHOOSE RATING</t>
        </is>
      </c>
      <c r="DL138" s="40" t="inlineStr">
        <is>
          <t>CHOOSE RATING</t>
        </is>
      </c>
      <c r="DM138" s="40" t="inlineStr">
        <is>
          <t>CHOOSE RATING</t>
        </is>
      </c>
      <c r="DN138" s="40" t="inlineStr">
        <is>
          <t>CHOOSE RATING</t>
        </is>
      </c>
      <c r="DO138" s="40" t="inlineStr">
        <is>
          <t>CHOOSE RATING</t>
        </is>
      </c>
      <c r="DP138" s="40" t="inlineStr">
        <is>
          <t>CHOOSE RATING</t>
        </is>
      </c>
      <c r="DQ138" s="40" t="inlineStr">
        <is>
          <t>CHOOSE RATING</t>
        </is>
      </c>
      <c r="DR138" s="43" t="inlineStr">
        <is>
          <t>2024/2025</t>
        </is>
      </c>
      <c r="DS138" s="45" t="inlineStr">
        <is>
          <t>THIRD</t>
        </is>
      </c>
      <c r="DT138" s="40" t="inlineStr">
        <is>
          <t>CHOOSE RATING</t>
        </is>
      </c>
      <c r="DU138" s="40" t="inlineStr">
        <is>
          <t>CHOOSE RATING</t>
        </is>
      </c>
      <c r="DV138" s="40" t="inlineStr">
        <is>
          <t>CHOOSE RATING</t>
        </is>
      </c>
      <c r="DW138" s="40" t="inlineStr">
        <is>
          <t>CHOOSE RATING</t>
        </is>
      </c>
      <c r="DX138" s="40" t="inlineStr">
        <is>
          <t>CHOOSE RATING</t>
        </is>
      </c>
      <c r="DY138" s="40" t="inlineStr">
        <is>
          <t>CHOOSE RATING</t>
        </is>
      </c>
      <c r="DZ138" s="53" t="inlineStr">
        <is>
          <t>CHOOSE RATING</t>
        </is>
      </c>
      <c r="EA138" s="54" t="inlineStr">
        <is>
          <t>Add the Tutor's Comment . . .</t>
        </is>
      </c>
      <c r="EB138" s="55" t="inlineStr">
        <is>
          <t>Choose Principals comment</t>
        </is>
      </c>
      <c r="EC138" s="56" t="n"/>
      <c r="ED138" s="57" t="inlineStr">
        <is>
          <t>Next Term Begins on Monday, 22nd September, 2025</t>
        </is>
      </c>
    </row>
    <row r="139" ht="30.6" customHeight="1" s="6">
      <c r="A139" s="18" t="n">
        <v>136</v>
      </c>
      <c r="B139" s="19" t="n"/>
      <c r="C139" s="20" t="n"/>
      <c r="D139" s="128" t="n"/>
      <c r="E139" s="21" t="n"/>
      <c r="F139" s="22" t="n"/>
      <c r="G139" s="22" t="n"/>
      <c r="H139" s="22" t="n"/>
      <c r="I139" s="26">
        <f>G139-H139</f>
        <v/>
      </c>
      <c r="J139" s="21" t="n"/>
      <c r="K139" s="21" t="n"/>
      <c r="L139" s="27">
        <f>SUM(J139:K139)</f>
        <v/>
      </c>
      <c r="M139" s="28" t="n"/>
      <c r="N139" s="28" t="n"/>
      <c r="O139" s="29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1" t="n"/>
      <c r="Q139" s="21" t="n"/>
      <c r="R139" s="27">
        <f>SUM(P139:Q139)</f>
        <v/>
      </c>
      <c r="S139" s="28" t="n"/>
      <c r="T139" s="28" t="n"/>
      <c r="U139" s="29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1" t="n"/>
      <c r="W139" s="21" t="n"/>
      <c r="X139" s="27">
        <f>SUM(V139:W139)</f>
        <v/>
      </c>
      <c r="Y139" s="28" t="n"/>
      <c r="Z139" s="28" t="n"/>
      <c r="AA139" s="29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1" t="n"/>
      <c r="AC139" s="21" t="n"/>
      <c r="AD139" s="27">
        <f>SUM(AB139:AC139)</f>
        <v/>
      </c>
      <c r="AE139" s="28" t="n"/>
      <c r="AF139" s="28" t="n"/>
      <c r="AG139" s="29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1" t="n"/>
      <c r="AI139" s="21" t="n"/>
      <c r="AJ139" s="27">
        <f>SUM(AH139:AI139)</f>
        <v/>
      </c>
      <c r="AK139" s="28" t="n"/>
      <c r="AL139" s="28" t="n"/>
      <c r="AM139" s="29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1" t="n"/>
      <c r="AO139" s="21" t="n"/>
      <c r="AP139" s="27">
        <f>SUM(AN139:AO139)</f>
        <v/>
      </c>
      <c r="AQ139" s="28" t="n"/>
      <c r="AR139" s="30" t="n"/>
      <c r="AS139" s="29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1" t="n"/>
      <c r="AU139" s="21" t="n"/>
      <c r="AV139" s="27">
        <f>SUM(AT139:AU139)</f>
        <v/>
      </c>
      <c r="AW139" s="28" t="n"/>
      <c r="AX139" s="30" t="n"/>
      <c r="AY139" s="29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1" t="n"/>
      <c r="BA139" s="21" t="n"/>
      <c r="BB139" s="27">
        <f>SUM(AZ139:BA139)</f>
        <v/>
      </c>
      <c r="BC139" s="28" t="n"/>
      <c r="BD139" s="28" t="n"/>
      <c r="BE139" s="29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1" t="n"/>
      <c r="BG139" s="21" t="n"/>
      <c r="BH139" s="27">
        <f>SUM(BF139:BG139)</f>
        <v/>
      </c>
      <c r="BI139" s="28" t="n"/>
      <c r="BJ139" s="28" t="n"/>
      <c r="BK139" s="29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1" t="n"/>
      <c r="BM139" s="21" t="n"/>
      <c r="BN139" s="27">
        <f>SUM(BL139:BM139)</f>
        <v/>
      </c>
      <c r="BO139" s="28" t="n"/>
      <c r="BP139" s="31" t="n"/>
      <c r="BQ139" s="29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1" t="n"/>
      <c r="BS139" s="21" t="n"/>
      <c r="BT139" s="27">
        <f>SUM(BR139:BS139)</f>
        <v/>
      </c>
      <c r="BU139" s="28" t="n"/>
      <c r="BV139" s="31" t="n"/>
      <c r="BW139" s="29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1" t="n"/>
      <c r="BY139" s="21" t="n"/>
      <c r="BZ139" s="27">
        <f>SUM(BX139:BY139)</f>
        <v/>
      </c>
      <c r="CA139" s="28" t="n"/>
      <c r="CB139" s="31" t="n"/>
      <c r="CC139" s="29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1" t="n"/>
      <c r="CE139" s="21" t="n"/>
      <c r="CF139" s="27">
        <f>SUM(CD139:CE139)</f>
        <v/>
      </c>
      <c r="CG139" s="28" t="n"/>
      <c r="CH139" s="31" t="n"/>
      <c r="CI139" s="29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1" t="n"/>
      <c r="CK139" s="21" t="n"/>
      <c r="CL139" s="27">
        <f>SUM(CJ139:CK139)</f>
        <v/>
      </c>
      <c r="CM139" s="28" t="n"/>
      <c r="CN139" s="31" t="n"/>
      <c r="CO139" s="29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1" t="n"/>
      <c r="CQ139" s="21" t="n"/>
      <c r="CR139" s="27">
        <f>SUM(CP139:CQ139)</f>
        <v/>
      </c>
      <c r="CS139" s="28" t="n"/>
      <c r="CT139" s="31" t="n"/>
      <c r="CU139" s="29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1" t="n"/>
      <c r="CW139" s="21" t="n"/>
      <c r="CX139" s="27">
        <f>SUM(CV139:CW139)</f>
        <v/>
      </c>
      <c r="CY139" s="28" t="n"/>
      <c r="CZ139" s="31" t="n"/>
      <c r="DA139" s="29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1" t="n"/>
      <c r="DC139" s="21" t="n"/>
      <c r="DD139" s="27">
        <f>SUM(DB139:DC139)</f>
        <v/>
      </c>
      <c r="DE139" s="28" t="n"/>
      <c r="DF139" s="31" t="n"/>
      <c r="DG139" s="29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34">
        <f>SUM(O139,U139,AA139,AG139,AM139,AS139,AY139,BE139,BK139,BQ139,BW139,CC139,CI139,CO139,CU139,DA139,DG139)</f>
        <v/>
      </c>
      <c r="DI139" s="39">
        <f>RANK(DH139,DH$4:DH$503)</f>
        <v/>
      </c>
      <c r="DJ139" s="40" t="inlineStr">
        <is>
          <t>CHOOSE RATING</t>
        </is>
      </c>
      <c r="DK139" s="40" t="inlineStr">
        <is>
          <t>CHOOSE RATING</t>
        </is>
      </c>
      <c r="DL139" s="40" t="inlineStr">
        <is>
          <t>CHOOSE RATING</t>
        </is>
      </c>
      <c r="DM139" s="40" t="inlineStr">
        <is>
          <t>CHOOSE RATING</t>
        </is>
      </c>
      <c r="DN139" s="40" t="inlineStr">
        <is>
          <t>CHOOSE RATING</t>
        </is>
      </c>
      <c r="DO139" s="40" t="inlineStr">
        <is>
          <t>CHOOSE RATING</t>
        </is>
      </c>
      <c r="DP139" s="40" t="inlineStr">
        <is>
          <t>CHOOSE RATING</t>
        </is>
      </c>
      <c r="DQ139" s="40" t="inlineStr">
        <is>
          <t>CHOOSE RATING</t>
        </is>
      </c>
      <c r="DR139" s="43" t="inlineStr">
        <is>
          <t>2024/2025</t>
        </is>
      </c>
      <c r="DS139" s="45" t="inlineStr">
        <is>
          <t>THIRD</t>
        </is>
      </c>
      <c r="DT139" s="40" t="inlineStr">
        <is>
          <t>CHOOSE RATING</t>
        </is>
      </c>
      <c r="DU139" s="40" t="inlineStr">
        <is>
          <t>CHOOSE RATING</t>
        </is>
      </c>
      <c r="DV139" s="40" t="inlineStr">
        <is>
          <t>CHOOSE RATING</t>
        </is>
      </c>
      <c r="DW139" s="40" t="inlineStr">
        <is>
          <t>CHOOSE RATING</t>
        </is>
      </c>
      <c r="DX139" s="40" t="inlineStr">
        <is>
          <t>CHOOSE RATING</t>
        </is>
      </c>
      <c r="DY139" s="40" t="inlineStr">
        <is>
          <t>CHOOSE RATING</t>
        </is>
      </c>
      <c r="DZ139" s="53" t="inlineStr">
        <is>
          <t>CHOOSE RATING</t>
        </is>
      </c>
      <c r="EA139" s="54" t="inlineStr">
        <is>
          <t>Add the Tutor's Comment . . .</t>
        </is>
      </c>
      <c r="EB139" s="55" t="inlineStr">
        <is>
          <t>Choose Principals comment</t>
        </is>
      </c>
      <c r="EC139" s="56" t="n"/>
      <c r="ED139" s="57" t="inlineStr">
        <is>
          <t>Next Term Begins on Monday, 22nd September, 2025</t>
        </is>
      </c>
    </row>
    <row r="140" ht="30.6" customHeight="1" s="6">
      <c r="A140" s="18" t="n">
        <v>137</v>
      </c>
      <c r="B140" s="19" t="n"/>
      <c r="C140" s="20" t="n"/>
      <c r="D140" s="128" t="n"/>
      <c r="E140" s="21" t="n"/>
      <c r="F140" s="22" t="n"/>
      <c r="G140" s="22" t="n"/>
      <c r="H140" s="22" t="n"/>
      <c r="I140" s="26">
        <f>G140-H140</f>
        <v/>
      </c>
      <c r="J140" s="21" t="n"/>
      <c r="K140" s="21" t="n"/>
      <c r="L140" s="27">
        <f>SUM(J140:K140)</f>
        <v/>
      </c>
      <c r="M140" s="28" t="n"/>
      <c r="N140" s="28" t="n"/>
      <c r="O140" s="29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1" t="n"/>
      <c r="Q140" s="21" t="n"/>
      <c r="R140" s="27">
        <f>SUM(P140:Q140)</f>
        <v/>
      </c>
      <c r="S140" s="28" t="n"/>
      <c r="T140" s="28" t="n"/>
      <c r="U140" s="29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1" t="n"/>
      <c r="W140" s="21" t="n"/>
      <c r="X140" s="27">
        <f>SUM(V140:W140)</f>
        <v/>
      </c>
      <c r="Y140" s="28" t="n"/>
      <c r="Z140" s="28" t="n"/>
      <c r="AA140" s="29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1" t="n"/>
      <c r="AC140" s="21" t="n"/>
      <c r="AD140" s="27">
        <f>SUM(AB140:AC140)</f>
        <v/>
      </c>
      <c r="AE140" s="28" t="n"/>
      <c r="AF140" s="28" t="n"/>
      <c r="AG140" s="29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1" t="n"/>
      <c r="AI140" s="21" t="n"/>
      <c r="AJ140" s="27">
        <f>SUM(AH140:AI140)</f>
        <v/>
      </c>
      <c r="AK140" s="28" t="n"/>
      <c r="AL140" s="28" t="n"/>
      <c r="AM140" s="29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1" t="n"/>
      <c r="AO140" s="21" t="n"/>
      <c r="AP140" s="27">
        <f>SUM(AN140:AO140)</f>
        <v/>
      </c>
      <c r="AQ140" s="28" t="n"/>
      <c r="AR140" s="30" t="n"/>
      <c r="AS140" s="29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1" t="n"/>
      <c r="AU140" s="21" t="n"/>
      <c r="AV140" s="27">
        <f>SUM(AT140:AU140)</f>
        <v/>
      </c>
      <c r="AW140" s="28" t="n"/>
      <c r="AX140" s="30" t="n"/>
      <c r="AY140" s="29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1" t="n"/>
      <c r="BA140" s="21" t="n"/>
      <c r="BB140" s="27">
        <f>SUM(AZ140:BA140)</f>
        <v/>
      </c>
      <c r="BC140" s="28" t="n"/>
      <c r="BD140" s="28" t="n"/>
      <c r="BE140" s="29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1" t="n"/>
      <c r="BG140" s="21" t="n"/>
      <c r="BH140" s="27">
        <f>SUM(BF140:BG140)</f>
        <v/>
      </c>
      <c r="BI140" s="28" t="n"/>
      <c r="BJ140" s="28" t="n"/>
      <c r="BK140" s="29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1" t="n"/>
      <c r="BM140" s="21" t="n"/>
      <c r="BN140" s="27">
        <f>SUM(BL140:BM140)</f>
        <v/>
      </c>
      <c r="BO140" s="28" t="n"/>
      <c r="BP140" s="31" t="n"/>
      <c r="BQ140" s="29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1" t="n"/>
      <c r="BS140" s="21" t="n"/>
      <c r="BT140" s="27">
        <f>SUM(BR140:BS140)</f>
        <v/>
      </c>
      <c r="BU140" s="28" t="n"/>
      <c r="BV140" s="31" t="n"/>
      <c r="BW140" s="29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1" t="n"/>
      <c r="BY140" s="21" t="n"/>
      <c r="BZ140" s="27">
        <f>SUM(BX140:BY140)</f>
        <v/>
      </c>
      <c r="CA140" s="28" t="n"/>
      <c r="CB140" s="31" t="n"/>
      <c r="CC140" s="29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1" t="n"/>
      <c r="CE140" s="21" t="n"/>
      <c r="CF140" s="27">
        <f>SUM(CD140:CE140)</f>
        <v/>
      </c>
      <c r="CG140" s="28" t="n"/>
      <c r="CH140" s="31" t="n"/>
      <c r="CI140" s="29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1" t="n"/>
      <c r="CK140" s="21" t="n"/>
      <c r="CL140" s="27">
        <f>SUM(CJ140:CK140)</f>
        <v/>
      </c>
      <c r="CM140" s="28" t="n"/>
      <c r="CN140" s="31" t="n"/>
      <c r="CO140" s="29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1" t="n"/>
      <c r="CQ140" s="21" t="n"/>
      <c r="CR140" s="27">
        <f>SUM(CP140:CQ140)</f>
        <v/>
      </c>
      <c r="CS140" s="28" t="n"/>
      <c r="CT140" s="31" t="n"/>
      <c r="CU140" s="29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1" t="n"/>
      <c r="CW140" s="21" t="n"/>
      <c r="CX140" s="27">
        <f>SUM(CV140:CW140)</f>
        <v/>
      </c>
      <c r="CY140" s="28" t="n"/>
      <c r="CZ140" s="31" t="n"/>
      <c r="DA140" s="29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1" t="n"/>
      <c r="DC140" s="21" t="n"/>
      <c r="DD140" s="27">
        <f>SUM(DB140:DC140)</f>
        <v/>
      </c>
      <c r="DE140" s="28" t="n"/>
      <c r="DF140" s="31" t="n"/>
      <c r="DG140" s="29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34">
        <f>SUM(O140,U140,AA140,AG140,AM140,AS140,AY140,BE140,BK140,BQ140,BW140,CC140,CI140,CO140,CU140,DA140,DG140)</f>
        <v/>
      </c>
      <c r="DI140" s="39">
        <f>RANK(DH140,DH$4:DH$503)</f>
        <v/>
      </c>
      <c r="DJ140" s="40" t="inlineStr">
        <is>
          <t>CHOOSE RATING</t>
        </is>
      </c>
      <c r="DK140" s="40" t="inlineStr">
        <is>
          <t>CHOOSE RATING</t>
        </is>
      </c>
      <c r="DL140" s="40" t="inlineStr">
        <is>
          <t>CHOOSE RATING</t>
        </is>
      </c>
      <c r="DM140" s="40" t="inlineStr">
        <is>
          <t>CHOOSE RATING</t>
        </is>
      </c>
      <c r="DN140" s="40" t="inlineStr">
        <is>
          <t>CHOOSE RATING</t>
        </is>
      </c>
      <c r="DO140" s="40" t="inlineStr">
        <is>
          <t>CHOOSE RATING</t>
        </is>
      </c>
      <c r="DP140" s="40" t="inlineStr">
        <is>
          <t>CHOOSE RATING</t>
        </is>
      </c>
      <c r="DQ140" s="40" t="inlineStr">
        <is>
          <t>CHOOSE RATING</t>
        </is>
      </c>
      <c r="DR140" s="43" t="inlineStr">
        <is>
          <t>2024/2025</t>
        </is>
      </c>
      <c r="DS140" s="45" t="inlineStr">
        <is>
          <t>THIRD</t>
        </is>
      </c>
      <c r="DT140" s="40" t="inlineStr">
        <is>
          <t>CHOOSE RATING</t>
        </is>
      </c>
      <c r="DU140" s="40" t="inlineStr">
        <is>
          <t>CHOOSE RATING</t>
        </is>
      </c>
      <c r="DV140" s="40" t="inlineStr">
        <is>
          <t>CHOOSE RATING</t>
        </is>
      </c>
      <c r="DW140" s="40" t="inlineStr">
        <is>
          <t>CHOOSE RATING</t>
        </is>
      </c>
      <c r="DX140" s="40" t="inlineStr">
        <is>
          <t>CHOOSE RATING</t>
        </is>
      </c>
      <c r="DY140" s="40" t="inlineStr">
        <is>
          <t>CHOOSE RATING</t>
        </is>
      </c>
      <c r="DZ140" s="53" t="inlineStr">
        <is>
          <t>CHOOSE RATING</t>
        </is>
      </c>
      <c r="EA140" s="54" t="inlineStr">
        <is>
          <t>Add the Tutor's Comment . . .</t>
        </is>
      </c>
      <c r="EB140" s="55" t="inlineStr">
        <is>
          <t>Choose Principals comment</t>
        </is>
      </c>
      <c r="EC140" s="56" t="n"/>
      <c r="ED140" s="57" t="inlineStr">
        <is>
          <t>Next Term Begins on Monday, 22nd September, 2025</t>
        </is>
      </c>
    </row>
    <row r="141" ht="30.6" customHeight="1" s="6">
      <c r="A141" s="18" t="n">
        <v>138</v>
      </c>
      <c r="B141" s="19" t="n"/>
      <c r="C141" s="20" t="n"/>
      <c r="D141" s="128" t="n"/>
      <c r="E141" s="21" t="n"/>
      <c r="F141" s="22" t="n"/>
      <c r="G141" s="22" t="n"/>
      <c r="H141" s="22" t="n"/>
      <c r="I141" s="26">
        <f>G141-H141</f>
        <v/>
      </c>
      <c r="J141" s="21" t="n"/>
      <c r="K141" s="21" t="n"/>
      <c r="L141" s="27">
        <f>SUM(J141:K141)</f>
        <v/>
      </c>
      <c r="M141" s="28" t="n"/>
      <c r="N141" s="28" t="n"/>
      <c r="O141" s="29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1" t="n"/>
      <c r="Q141" s="21" t="n"/>
      <c r="R141" s="27">
        <f>SUM(P141:Q141)</f>
        <v/>
      </c>
      <c r="S141" s="28" t="n"/>
      <c r="T141" s="28" t="n"/>
      <c r="U141" s="29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1" t="n"/>
      <c r="W141" s="21" t="n"/>
      <c r="X141" s="27">
        <f>SUM(V141:W141)</f>
        <v/>
      </c>
      <c r="Y141" s="28" t="n"/>
      <c r="Z141" s="28" t="n"/>
      <c r="AA141" s="29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1" t="n"/>
      <c r="AC141" s="21" t="n"/>
      <c r="AD141" s="27">
        <f>SUM(AB141:AC141)</f>
        <v/>
      </c>
      <c r="AE141" s="28" t="n"/>
      <c r="AF141" s="28" t="n"/>
      <c r="AG141" s="29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1" t="n"/>
      <c r="AI141" s="21" t="n"/>
      <c r="AJ141" s="27">
        <f>SUM(AH141:AI141)</f>
        <v/>
      </c>
      <c r="AK141" s="28" t="n"/>
      <c r="AL141" s="28" t="n"/>
      <c r="AM141" s="29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1" t="n"/>
      <c r="AO141" s="21" t="n"/>
      <c r="AP141" s="27">
        <f>SUM(AN141:AO141)</f>
        <v/>
      </c>
      <c r="AQ141" s="28" t="n"/>
      <c r="AR141" s="30" t="n"/>
      <c r="AS141" s="29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1" t="n"/>
      <c r="AU141" s="21" t="n"/>
      <c r="AV141" s="27">
        <f>SUM(AT141:AU141)</f>
        <v/>
      </c>
      <c r="AW141" s="28" t="n"/>
      <c r="AX141" s="30" t="n"/>
      <c r="AY141" s="29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1" t="n"/>
      <c r="BA141" s="21" t="n"/>
      <c r="BB141" s="27">
        <f>SUM(AZ141:BA141)</f>
        <v/>
      </c>
      <c r="BC141" s="28" t="n"/>
      <c r="BD141" s="28" t="n"/>
      <c r="BE141" s="29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1" t="n"/>
      <c r="BG141" s="21" t="n"/>
      <c r="BH141" s="27">
        <f>SUM(BF141:BG141)</f>
        <v/>
      </c>
      <c r="BI141" s="28" t="n"/>
      <c r="BJ141" s="28" t="n"/>
      <c r="BK141" s="29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1" t="n"/>
      <c r="BM141" s="21" t="n"/>
      <c r="BN141" s="27">
        <f>SUM(BL141:BM141)</f>
        <v/>
      </c>
      <c r="BO141" s="28" t="n"/>
      <c r="BP141" s="31" t="n"/>
      <c r="BQ141" s="29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1" t="n"/>
      <c r="BS141" s="21" t="n"/>
      <c r="BT141" s="27">
        <f>SUM(BR141:BS141)</f>
        <v/>
      </c>
      <c r="BU141" s="28" t="n"/>
      <c r="BV141" s="31" t="n"/>
      <c r="BW141" s="29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1" t="n"/>
      <c r="BY141" s="21" t="n"/>
      <c r="BZ141" s="27">
        <f>SUM(BX141:BY141)</f>
        <v/>
      </c>
      <c r="CA141" s="28" t="n"/>
      <c r="CB141" s="31" t="n"/>
      <c r="CC141" s="29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1" t="n"/>
      <c r="CE141" s="21" t="n"/>
      <c r="CF141" s="27">
        <f>SUM(CD141:CE141)</f>
        <v/>
      </c>
      <c r="CG141" s="28" t="n"/>
      <c r="CH141" s="31" t="n"/>
      <c r="CI141" s="29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1" t="n"/>
      <c r="CK141" s="21" t="n"/>
      <c r="CL141" s="27">
        <f>SUM(CJ141:CK141)</f>
        <v/>
      </c>
      <c r="CM141" s="28" t="n"/>
      <c r="CN141" s="31" t="n"/>
      <c r="CO141" s="29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1" t="n"/>
      <c r="CQ141" s="21" t="n"/>
      <c r="CR141" s="27">
        <f>SUM(CP141:CQ141)</f>
        <v/>
      </c>
      <c r="CS141" s="28" t="n"/>
      <c r="CT141" s="31" t="n"/>
      <c r="CU141" s="29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1" t="n"/>
      <c r="CW141" s="21" t="n"/>
      <c r="CX141" s="27">
        <f>SUM(CV141:CW141)</f>
        <v/>
      </c>
      <c r="CY141" s="28" t="n"/>
      <c r="CZ141" s="31" t="n"/>
      <c r="DA141" s="29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1" t="n"/>
      <c r="DC141" s="21" t="n"/>
      <c r="DD141" s="27">
        <f>SUM(DB141:DC141)</f>
        <v/>
      </c>
      <c r="DE141" s="28" t="n"/>
      <c r="DF141" s="31" t="n"/>
      <c r="DG141" s="29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34">
        <f>SUM(O141,U141,AA141,AG141,AM141,AS141,AY141,BE141,BK141,BQ141,BW141,CC141,CI141,CO141,CU141,DA141,DG141)</f>
        <v/>
      </c>
      <c r="DI141" s="39">
        <f>RANK(DH141,DH$4:DH$503)</f>
        <v/>
      </c>
      <c r="DJ141" s="40" t="inlineStr">
        <is>
          <t>CHOOSE RATING</t>
        </is>
      </c>
      <c r="DK141" s="40" t="inlineStr">
        <is>
          <t>CHOOSE RATING</t>
        </is>
      </c>
      <c r="DL141" s="40" t="inlineStr">
        <is>
          <t>CHOOSE RATING</t>
        </is>
      </c>
      <c r="DM141" s="40" t="inlineStr">
        <is>
          <t>CHOOSE RATING</t>
        </is>
      </c>
      <c r="DN141" s="40" t="inlineStr">
        <is>
          <t>CHOOSE RATING</t>
        </is>
      </c>
      <c r="DO141" s="40" t="inlineStr">
        <is>
          <t>CHOOSE RATING</t>
        </is>
      </c>
      <c r="DP141" s="40" t="inlineStr">
        <is>
          <t>CHOOSE RATING</t>
        </is>
      </c>
      <c r="DQ141" s="40" t="inlineStr">
        <is>
          <t>CHOOSE RATING</t>
        </is>
      </c>
      <c r="DR141" s="43" t="inlineStr">
        <is>
          <t>2024/2025</t>
        </is>
      </c>
      <c r="DS141" s="45" t="inlineStr">
        <is>
          <t>THIRD</t>
        </is>
      </c>
      <c r="DT141" s="40" t="inlineStr">
        <is>
          <t>CHOOSE RATING</t>
        </is>
      </c>
      <c r="DU141" s="40" t="inlineStr">
        <is>
          <t>CHOOSE RATING</t>
        </is>
      </c>
      <c r="DV141" s="40" t="inlineStr">
        <is>
          <t>CHOOSE RATING</t>
        </is>
      </c>
      <c r="DW141" s="40" t="inlineStr">
        <is>
          <t>CHOOSE RATING</t>
        </is>
      </c>
      <c r="DX141" s="40" t="inlineStr">
        <is>
          <t>CHOOSE RATING</t>
        </is>
      </c>
      <c r="DY141" s="40" t="inlineStr">
        <is>
          <t>CHOOSE RATING</t>
        </is>
      </c>
      <c r="DZ141" s="53" t="inlineStr">
        <is>
          <t>CHOOSE RATING</t>
        </is>
      </c>
      <c r="EA141" s="54" t="inlineStr">
        <is>
          <t>Add the Tutor's Comment . . .</t>
        </is>
      </c>
      <c r="EB141" s="55" t="inlineStr">
        <is>
          <t>Choose Principals comment</t>
        </is>
      </c>
      <c r="EC141" s="56" t="n"/>
      <c r="ED141" s="57" t="inlineStr">
        <is>
          <t>Next Term Begins on Monday, 22nd September, 2025</t>
        </is>
      </c>
    </row>
    <row r="142" ht="30.6" customHeight="1" s="6">
      <c r="A142" s="18" t="n">
        <v>139</v>
      </c>
      <c r="B142" s="19" t="n"/>
      <c r="C142" s="20" t="n"/>
      <c r="D142" s="128" t="n"/>
      <c r="E142" s="21" t="n"/>
      <c r="F142" s="22" t="n"/>
      <c r="G142" s="22" t="n"/>
      <c r="H142" s="22" t="n"/>
      <c r="I142" s="26">
        <f>G142-H142</f>
        <v/>
      </c>
      <c r="J142" s="21" t="n"/>
      <c r="K142" s="21" t="n"/>
      <c r="L142" s="27">
        <f>SUM(J142:K142)</f>
        <v/>
      </c>
      <c r="M142" s="28" t="n"/>
      <c r="N142" s="28" t="n"/>
      <c r="O142" s="29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1" t="n"/>
      <c r="Q142" s="21" t="n"/>
      <c r="R142" s="27">
        <f>SUM(P142:Q142)</f>
        <v/>
      </c>
      <c r="S142" s="28" t="n"/>
      <c r="T142" s="28" t="n"/>
      <c r="U142" s="29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1" t="n"/>
      <c r="W142" s="21" t="n"/>
      <c r="X142" s="27">
        <f>SUM(V142:W142)</f>
        <v/>
      </c>
      <c r="Y142" s="28" t="n"/>
      <c r="Z142" s="28" t="n"/>
      <c r="AA142" s="29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1" t="n"/>
      <c r="AC142" s="21" t="n"/>
      <c r="AD142" s="27">
        <f>SUM(AB142:AC142)</f>
        <v/>
      </c>
      <c r="AE142" s="28" t="n"/>
      <c r="AF142" s="28" t="n"/>
      <c r="AG142" s="29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1" t="n"/>
      <c r="AI142" s="21" t="n"/>
      <c r="AJ142" s="27">
        <f>SUM(AH142:AI142)</f>
        <v/>
      </c>
      <c r="AK142" s="28" t="n"/>
      <c r="AL142" s="28" t="n"/>
      <c r="AM142" s="29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1" t="n"/>
      <c r="AO142" s="21" t="n"/>
      <c r="AP142" s="27">
        <f>SUM(AN142:AO142)</f>
        <v/>
      </c>
      <c r="AQ142" s="28" t="n"/>
      <c r="AR142" s="30" t="n"/>
      <c r="AS142" s="29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1" t="n"/>
      <c r="AU142" s="21" t="n"/>
      <c r="AV142" s="27">
        <f>SUM(AT142:AU142)</f>
        <v/>
      </c>
      <c r="AW142" s="28" t="n"/>
      <c r="AX142" s="30" t="n"/>
      <c r="AY142" s="29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1" t="n"/>
      <c r="BA142" s="21" t="n"/>
      <c r="BB142" s="27">
        <f>SUM(AZ142:BA142)</f>
        <v/>
      </c>
      <c r="BC142" s="28" t="n"/>
      <c r="BD142" s="28" t="n"/>
      <c r="BE142" s="29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1" t="n"/>
      <c r="BG142" s="21" t="n"/>
      <c r="BH142" s="27">
        <f>SUM(BF142:BG142)</f>
        <v/>
      </c>
      <c r="BI142" s="28" t="n"/>
      <c r="BJ142" s="28" t="n"/>
      <c r="BK142" s="29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1" t="n"/>
      <c r="BM142" s="21" t="n"/>
      <c r="BN142" s="27">
        <f>SUM(BL142:BM142)</f>
        <v/>
      </c>
      <c r="BO142" s="28" t="n"/>
      <c r="BP142" s="31" t="n"/>
      <c r="BQ142" s="29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1" t="n"/>
      <c r="BS142" s="21" t="n"/>
      <c r="BT142" s="27">
        <f>SUM(BR142:BS142)</f>
        <v/>
      </c>
      <c r="BU142" s="28" t="n"/>
      <c r="BV142" s="31" t="n"/>
      <c r="BW142" s="29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1" t="n"/>
      <c r="BY142" s="21" t="n"/>
      <c r="BZ142" s="27">
        <f>SUM(BX142:BY142)</f>
        <v/>
      </c>
      <c r="CA142" s="28" t="n"/>
      <c r="CB142" s="31" t="n"/>
      <c r="CC142" s="29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1" t="n"/>
      <c r="CE142" s="21" t="n"/>
      <c r="CF142" s="27">
        <f>SUM(CD142:CE142)</f>
        <v/>
      </c>
      <c r="CG142" s="28" t="n"/>
      <c r="CH142" s="31" t="n"/>
      <c r="CI142" s="29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1" t="n"/>
      <c r="CK142" s="21" t="n"/>
      <c r="CL142" s="27">
        <f>SUM(CJ142:CK142)</f>
        <v/>
      </c>
      <c r="CM142" s="28" t="n"/>
      <c r="CN142" s="31" t="n"/>
      <c r="CO142" s="29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1" t="n"/>
      <c r="CQ142" s="21" t="n"/>
      <c r="CR142" s="27">
        <f>SUM(CP142:CQ142)</f>
        <v/>
      </c>
      <c r="CS142" s="28" t="n"/>
      <c r="CT142" s="31" t="n"/>
      <c r="CU142" s="29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1" t="n"/>
      <c r="CW142" s="21" t="n"/>
      <c r="CX142" s="27">
        <f>SUM(CV142:CW142)</f>
        <v/>
      </c>
      <c r="CY142" s="28" t="n"/>
      <c r="CZ142" s="31" t="n"/>
      <c r="DA142" s="29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1" t="n"/>
      <c r="DC142" s="21" t="n"/>
      <c r="DD142" s="27">
        <f>SUM(DB142:DC142)</f>
        <v/>
      </c>
      <c r="DE142" s="28" t="n"/>
      <c r="DF142" s="31" t="n"/>
      <c r="DG142" s="29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34">
        <f>SUM(O142,U142,AA142,AG142,AM142,AS142,AY142,BE142,BK142,BQ142,BW142,CC142,CI142,CO142,CU142,DA142,DG142)</f>
        <v/>
      </c>
      <c r="DI142" s="39">
        <f>RANK(DH142,DH$4:DH$503)</f>
        <v/>
      </c>
      <c r="DJ142" s="40" t="inlineStr">
        <is>
          <t>CHOOSE RATING</t>
        </is>
      </c>
      <c r="DK142" s="40" t="inlineStr">
        <is>
          <t>CHOOSE RATING</t>
        </is>
      </c>
      <c r="DL142" s="40" t="inlineStr">
        <is>
          <t>CHOOSE RATING</t>
        </is>
      </c>
      <c r="DM142" s="40" t="inlineStr">
        <is>
          <t>CHOOSE RATING</t>
        </is>
      </c>
      <c r="DN142" s="40" t="inlineStr">
        <is>
          <t>CHOOSE RATING</t>
        </is>
      </c>
      <c r="DO142" s="40" t="inlineStr">
        <is>
          <t>CHOOSE RATING</t>
        </is>
      </c>
      <c r="DP142" s="40" t="inlineStr">
        <is>
          <t>CHOOSE RATING</t>
        </is>
      </c>
      <c r="DQ142" s="40" t="inlineStr">
        <is>
          <t>CHOOSE RATING</t>
        </is>
      </c>
      <c r="DR142" s="43" t="inlineStr">
        <is>
          <t>2024/2025</t>
        </is>
      </c>
      <c r="DS142" s="45" t="inlineStr">
        <is>
          <t>THIRD</t>
        </is>
      </c>
      <c r="DT142" s="40" t="inlineStr">
        <is>
          <t>CHOOSE RATING</t>
        </is>
      </c>
      <c r="DU142" s="40" t="inlineStr">
        <is>
          <t>CHOOSE RATING</t>
        </is>
      </c>
      <c r="DV142" s="40" t="inlineStr">
        <is>
          <t>CHOOSE RATING</t>
        </is>
      </c>
      <c r="DW142" s="40" t="inlineStr">
        <is>
          <t>CHOOSE RATING</t>
        </is>
      </c>
      <c r="DX142" s="40" t="inlineStr">
        <is>
          <t>CHOOSE RATING</t>
        </is>
      </c>
      <c r="DY142" s="40" t="inlineStr">
        <is>
          <t>CHOOSE RATING</t>
        </is>
      </c>
      <c r="DZ142" s="53" t="inlineStr">
        <is>
          <t>CHOOSE RATING</t>
        </is>
      </c>
      <c r="EA142" s="54" t="inlineStr">
        <is>
          <t>Add the Tutor's Comment . . .</t>
        </is>
      </c>
      <c r="EB142" s="55" t="inlineStr">
        <is>
          <t>Choose Principals comment</t>
        </is>
      </c>
      <c r="EC142" s="56" t="n"/>
      <c r="ED142" s="57" t="inlineStr">
        <is>
          <t>Next Term Begins on Monday, 22nd September, 2025</t>
        </is>
      </c>
    </row>
    <row r="143" ht="30.6" customHeight="1" s="6">
      <c r="A143" s="18" t="n">
        <v>140</v>
      </c>
      <c r="B143" s="19" t="n"/>
      <c r="C143" s="20" t="n"/>
      <c r="D143" s="128" t="n"/>
      <c r="E143" s="21" t="n"/>
      <c r="F143" s="22" t="n"/>
      <c r="G143" s="22" t="n"/>
      <c r="H143" s="22" t="n"/>
      <c r="I143" s="26">
        <f>G143-H143</f>
        <v/>
      </c>
      <c r="J143" s="21" t="n"/>
      <c r="K143" s="21" t="n"/>
      <c r="L143" s="27">
        <f>SUM(J143:K143)</f>
        <v/>
      </c>
      <c r="M143" s="28" t="n"/>
      <c r="N143" s="28" t="n"/>
      <c r="O143" s="29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1" t="n"/>
      <c r="Q143" s="21" t="n"/>
      <c r="R143" s="27">
        <f>SUM(P143:Q143)</f>
        <v/>
      </c>
      <c r="S143" s="28" t="n"/>
      <c r="T143" s="28" t="n"/>
      <c r="U143" s="29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1" t="n"/>
      <c r="W143" s="21" t="n"/>
      <c r="X143" s="27">
        <f>SUM(V143:W143)</f>
        <v/>
      </c>
      <c r="Y143" s="28" t="n"/>
      <c r="Z143" s="28" t="n"/>
      <c r="AA143" s="29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1" t="n"/>
      <c r="AC143" s="21" t="n"/>
      <c r="AD143" s="27">
        <f>SUM(AB143:AC143)</f>
        <v/>
      </c>
      <c r="AE143" s="28" t="n"/>
      <c r="AF143" s="28" t="n"/>
      <c r="AG143" s="29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1" t="n"/>
      <c r="AI143" s="21" t="n"/>
      <c r="AJ143" s="27">
        <f>SUM(AH143:AI143)</f>
        <v/>
      </c>
      <c r="AK143" s="28" t="n"/>
      <c r="AL143" s="28" t="n"/>
      <c r="AM143" s="29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1" t="n"/>
      <c r="AO143" s="21" t="n"/>
      <c r="AP143" s="27">
        <f>SUM(AN143:AO143)</f>
        <v/>
      </c>
      <c r="AQ143" s="28" t="n"/>
      <c r="AR143" s="30" t="n"/>
      <c r="AS143" s="29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1" t="n"/>
      <c r="AU143" s="21" t="n"/>
      <c r="AV143" s="27">
        <f>SUM(AT143:AU143)</f>
        <v/>
      </c>
      <c r="AW143" s="28" t="n"/>
      <c r="AX143" s="30" t="n"/>
      <c r="AY143" s="29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1" t="n"/>
      <c r="BA143" s="21" t="n"/>
      <c r="BB143" s="27">
        <f>SUM(AZ143:BA143)</f>
        <v/>
      </c>
      <c r="BC143" s="28" t="n"/>
      <c r="BD143" s="28" t="n"/>
      <c r="BE143" s="29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1" t="n"/>
      <c r="BG143" s="21" t="n"/>
      <c r="BH143" s="27">
        <f>SUM(BF143:BG143)</f>
        <v/>
      </c>
      <c r="BI143" s="28" t="n"/>
      <c r="BJ143" s="28" t="n"/>
      <c r="BK143" s="29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1" t="n"/>
      <c r="BM143" s="21" t="n"/>
      <c r="BN143" s="27">
        <f>SUM(BL143:BM143)</f>
        <v/>
      </c>
      <c r="BO143" s="28" t="n"/>
      <c r="BP143" s="31" t="n"/>
      <c r="BQ143" s="29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1" t="n"/>
      <c r="BS143" s="21" t="n"/>
      <c r="BT143" s="27">
        <f>SUM(BR143:BS143)</f>
        <v/>
      </c>
      <c r="BU143" s="28" t="n"/>
      <c r="BV143" s="31" t="n"/>
      <c r="BW143" s="29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1" t="n"/>
      <c r="BY143" s="21" t="n"/>
      <c r="BZ143" s="27">
        <f>SUM(BX143:BY143)</f>
        <v/>
      </c>
      <c r="CA143" s="28" t="n"/>
      <c r="CB143" s="31" t="n"/>
      <c r="CC143" s="29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1" t="n"/>
      <c r="CE143" s="21" t="n"/>
      <c r="CF143" s="27">
        <f>SUM(CD143:CE143)</f>
        <v/>
      </c>
      <c r="CG143" s="28" t="n"/>
      <c r="CH143" s="31" t="n"/>
      <c r="CI143" s="29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1" t="n"/>
      <c r="CK143" s="21" t="n"/>
      <c r="CL143" s="27">
        <f>SUM(CJ143:CK143)</f>
        <v/>
      </c>
      <c r="CM143" s="28" t="n"/>
      <c r="CN143" s="31" t="n"/>
      <c r="CO143" s="29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1" t="n"/>
      <c r="CQ143" s="21" t="n"/>
      <c r="CR143" s="27">
        <f>SUM(CP143:CQ143)</f>
        <v/>
      </c>
      <c r="CS143" s="28" t="n"/>
      <c r="CT143" s="31" t="n"/>
      <c r="CU143" s="29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1" t="n"/>
      <c r="CW143" s="21" t="n"/>
      <c r="CX143" s="27">
        <f>SUM(CV143:CW143)</f>
        <v/>
      </c>
      <c r="CY143" s="28" t="n"/>
      <c r="CZ143" s="31" t="n"/>
      <c r="DA143" s="29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1" t="n"/>
      <c r="DC143" s="21" t="n"/>
      <c r="DD143" s="27">
        <f>SUM(DB143:DC143)</f>
        <v/>
      </c>
      <c r="DE143" s="28" t="n"/>
      <c r="DF143" s="31" t="n"/>
      <c r="DG143" s="29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34">
        <f>SUM(O143,U143,AA143,AG143,AM143,AS143,AY143,BE143,BK143,BQ143,BW143,CC143,CI143,CO143,CU143,DA143,DG143)</f>
        <v/>
      </c>
      <c r="DI143" s="39">
        <f>RANK(DH143,DH$4:DH$503)</f>
        <v/>
      </c>
      <c r="DJ143" s="40" t="inlineStr">
        <is>
          <t>CHOOSE RATING</t>
        </is>
      </c>
      <c r="DK143" s="40" t="inlineStr">
        <is>
          <t>CHOOSE RATING</t>
        </is>
      </c>
      <c r="DL143" s="40" t="inlineStr">
        <is>
          <t>CHOOSE RATING</t>
        </is>
      </c>
      <c r="DM143" s="40" t="inlineStr">
        <is>
          <t>CHOOSE RATING</t>
        </is>
      </c>
      <c r="DN143" s="40" t="inlineStr">
        <is>
          <t>CHOOSE RATING</t>
        </is>
      </c>
      <c r="DO143" s="40" t="inlineStr">
        <is>
          <t>CHOOSE RATING</t>
        </is>
      </c>
      <c r="DP143" s="40" t="inlineStr">
        <is>
          <t>CHOOSE RATING</t>
        </is>
      </c>
      <c r="DQ143" s="40" t="inlineStr">
        <is>
          <t>CHOOSE RATING</t>
        </is>
      </c>
      <c r="DR143" s="43" t="inlineStr">
        <is>
          <t>2024/2025</t>
        </is>
      </c>
      <c r="DS143" s="45" t="inlineStr">
        <is>
          <t>THIRD</t>
        </is>
      </c>
      <c r="DT143" s="40" t="inlineStr">
        <is>
          <t>CHOOSE RATING</t>
        </is>
      </c>
      <c r="DU143" s="40" t="inlineStr">
        <is>
          <t>CHOOSE RATING</t>
        </is>
      </c>
      <c r="DV143" s="40" t="inlineStr">
        <is>
          <t>CHOOSE RATING</t>
        </is>
      </c>
      <c r="DW143" s="40" t="inlineStr">
        <is>
          <t>CHOOSE RATING</t>
        </is>
      </c>
      <c r="DX143" s="40" t="inlineStr">
        <is>
          <t>CHOOSE RATING</t>
        </is>
      </c>
      <c r="DY143" s="40" t="inlineStr">
        <is>
          <t>CHOOSE RATING</t>
        </is>
      </c>
      <c r="DZ143" s="53" t="inlineStr">
        <is>
          <t>CHOOSE RATING</t>
        </is>
      </c>
      <c r="EA143" s="54" t="inlineStr">
        <is>
          <t>Add the Tutor's Comment . . .</t>
        </is>
      </c>
      <c r="EB143" s="55" t="inlineStr">
        <is>
          <t>Choose Principals comment</t>
        </is>
      </c>
      <c r="EC143" s="56" t="n"/>
      <c r="ED143" s="57" t="inlineStr">
        <is>
          <t>Next Term Begins on Monday, 22nd September, 2025</t>
        </is>
      </c>
    </row>
    <row r="144" ht="30.6" customHeight="1" s="6">
      <c r="A144" s="18" t="n">
        <v>141</v>
      </c>
      <c r="B144" s="19" t="n"/>
      <c r="C144" s="20" t="n"/>
      <c r="D144" s="128" t="n"/>
      <c r="E144" s="21" t="n"/>
      <c r="F144" s="22" t="n"/>
      <c r="G144" s="22" t="n"/>
      <c r="H144" s="22" t="n"/>
      <c r="I144" s="26">
        <f>G144-H144</f>
        <v/>
      </c>
      <c r="J144" s="21" t="n"/>
      <c r="K144" s="21" t="n"/>
      <c r="L144" s="27">
        <f>SUM(J144:K144)</f>
        <v/>
      </c>
      <c r="M144" s="28" t="n"/>
      <c r="N144" s="28" t="n"/>
      <c r="O144" s="29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1" t="n"/>
      <c r="Q144" s="21" t="n"/>
      <c r="R144" s="27">
        <f>SUM(P144:Q144)</f>
        <v/>
      </c>
      <c r="S144" s="28" t="n"/>
      <c r="T144" s="28" t="n"/>
      <c r="U144" s="29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1" t="n"/>
      <c r="W144" s="21" t="n"/>
      <c r="X144" s="27">
        <f>SUM(V144:W144)</f>
        <v/>
      </c>
      <c r="Y144" s="28" t="n"/>
      <c r="Z144" s="28" t="n"/>
      <c r="AA144" s="29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1" t="n"/>
      <c r="AC144" s="21" t="n"/>
      <c r="AD144" s="27">
        <f>SUM(AB144:AC144)</f>
        <v/>
      </c>
      <c r="AE144" s="28" t="n"/>
      <c r="AF144" s="28" t="n"/>
      <c r="AG144" s="29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1" t="n"/>
      <c r="AI144" s="21" t="n"/>
      <c r="AJ144" s="27">
        <f>SUM(AH144:AI144)</f>
        <v/>
      </c>
      <c r="AK144" s="28" t="n"/>
      <c r="AL144" s="28" t="n"/>
      <c r="AM144" s="29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1" t="n"/>
      <c r="AO144" s="21" t="n"/>
      <c r="AP144" s="27">
        <f>SUM(AN144:AO144)</f>
        <v/>
      </c>
      <c r="AQ144" s="28" t="n"/>
      <c r="AR144" s="30" t="n"/>
      <c r="AS144" s="29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1" t="n"/>
      <c r="AU144" s="21" t="n"/>
      <c r="AV144" s="27">
        <f>SUM(AT144:AU144)</f>
        <v/>
      </c>
      <c r="AW144" s="28" t="n"/>
      <c r="AX144" s="30" t="n"/>
      <c r="AY144" s="29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1" t="n"/>
      <c r="BA144" s="21" t="n"/>
      <c r="BB144" s="27">
        <f>SUM(AZ144:BA144)</f>
        <v/>
      </c>
      <c r="BC144" s="28" t="n"/>
      <c r="BD144" s="28" t="n"/>
      <c r="BE144" s="29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1" t="n"/>
      <c r="BG144" s="21" t="n"/>
      <c r="BH144" s="27">
        <f>SUM(BF144:BG144)</f>
        <v/>
      </c>
      <c r="BI144" s="28" t="n"/>
      <c r="BJ144" s="28" t="n"/>
      <c r="BK144" s="29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1" t="n"/>
      <c r="BM144" s="21" t="n"/>
      <c r="BN144" s="27">
        <f>SUM(BL144:BM144)</f>
        <v/>
      </c>
      <c r="BO144" s="28" t="n"/>
      <c r="BP144" s="31" t="n"/>
      <c r="BQ144" s="29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1" t="n"/>
      <c r="BS144" s="21" t="n"/>
      <c r="BT144" s="27">
        <f>SUM(BR144:BS144)</f>
        <v/>
      </c>
      <c r="BU144" s="28" t="n"/>
      <c r="BV144" s="31" t="n"/>
      <c r="BW144" s="29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1" t="n"/>
      <c r="BY144" s="21" t="n"/>
      <c r="BZ144" s="27">
        <f>SUM(BX144:BY144)</f>
        <v/>
      </c>
      <c r="CA144" s="28" t="n"/>
      <c r="CB144" s="31" t="n"/>
      <c r="CC144" s="29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1" t="n"/>
      <c r="CE144" s="21" t="n"/>
      <c r="CF144" s="27">
        <f>SUM(CD144:CE144)</f>
        <v/>
      </c>
      <c r="CG144" s="28" t="n"/>
      <c r="CH144" s="31" t="n"/>
      <c r="CI144" s="29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1" t="n"/>
      <c r="CK144" s="21" t="n"/>
      <c r="CL144" s="27">
        <f>SUM(CJ144:CK144)</f>
        <v/>
      </c>
      <c r="CM144" s="28" t="n"/>
      <c r="CN144" s="31" t="n"/>
      <c r="CO144" s="29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1" t="n"/>
      <c r="CQ144" s="21" t="n"/>
      <c r="CR144" s="27">
        <f>SUM(CP144:CQ144)</f>
        <v/>
      </c>
      <c r="CS144" s="28" t="n"/>
      <c r="CT144" s="31" t="n"/>
      <c r="CU144" s="29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1" t="n"/>
      <c r="CW144" s="21" t="n"/>
      <c r="CX144" s="27">
        <f>SUM(CV144:CW144)</f>
        <v/>
      </c>
      <c r="CY144" s="28" t="n"/>
      <c r="CZ144" s="31" t="n"/>
      <c r="DA144" s="29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1" t="n"/>
      <c r="DC144" s="21" t="n"/>
      <c r="DD144" s="27">
        <f>SUM(DB144:DC144)</f>
        <v/>
      </c>
      <c r="DE144" s="28" t="n"/>
      <c r="DF144" s="31" t="n"/>
      <c r="DG144" s="29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34">
        <f>SUM(O144,U144,AA144,AG144,AM144,AS144,AY144,BE144,BK144,BQ144,BW144,CC144,CI144,CO144,CU144,DA144,DG144)</f>
        <v/>
      </c>
      <c r="DI144" s="39">
        <f>RANK(DH144,DH$4:DH$503)</f>
        <v/>
      </c>
      <c r="DJ144" s="40" t="inlineStr">
        <is>
          <t>CHOOSE RATING</t>
        </is>
      </c>
      <c r="DK144" s="40" t="inlineStr">
        <is>
          <t>CHOOSE RATING</t>
        </is>
      </c>
      <c r="DL144" s="40" t="inlineStr">
        <is>
          <t>CHOOSE RATING</t>
        </is>
      </c>
      <c r="DM144" s="40" t="inlineStr">
        <is>
          <t>CHOOSE RATING</t>
        </is>
      </c>
      <c r="DN144" s="40" t="inlineStr">
        <is>
          <t>CHOOSE RATING</t>
        </is>
      </c>
      <c r="DO144" s="40" t="inlineStr">
        <is>
          <t>CHOOSE RATING</t>
        </is>
      </c>
      <c r="DP144" s="40" t="inlineStr">
        <is>
          <t>CHOOSE RATING</t>
        </is>
      </c>
      <c r="DQ144" s="40" t="inlineStr">
        <is>
          <t>CHOOSE RATING</t>
        </is>
      </c>
      <c r="DR144" s="43" t="inlineStr">
        <is>
          <t>2024/2025</t>
        </is>
      </c>
      <c r="DS144" s="45" t="inlineStr">
        <is>
          <t>THIRD</t>
        </is>
      </c>
      <c r="DT144" s="40" t="inlineStr">
        <is>
          <t>CHOOSE RATING</t>
        </is>
      </c>
      <c r="DU144" s="40" t="inlineStr">
        <is>
          <t>CHOOSE RATING</t>
        </is>
      </c>
      <c r="DV144" s="40" t="inlineStr">
        <is>
          <t>CHOOSE RATING</t>
        </is>
      </c>
      <c r="DW144" s="40" t="inlineStr">
        <is>
          <t>CHOOSE RATING</t>
        </is>
      </c>
      <c r="DX144" s="40" t="inlineStr">
        <is>
          <t>CHOOSE RATING</t>
        </is>
      </c>
      <c r="DY144" s="40" t="inlineStr">
        <is>
          <t>CHOOSE RATING</t>
        </is>
      </c>
      <c r="DZ144" s="53" t="inlineStr">
        <is>
          <t>CHOOSE RATING</t>
        </is>
      </c>
      <c r="EA144" s="54" t="inlineStr">
        <is>
          <t>Add the Tutor's Comment . . .</t>
        </is>
      </c>
      <c r="EB144" s="55" t="inlineStr">
        <is>
          <t>Choose Principals comment</t>
        </is>
      </c>
      <c r="EC144" s="56" t="n"/>
      <c r="ED144" s="57" t="inlineStr">
        <is>
          <t>Next Term Begins on Monday, 22nd September, 2025</t>
        </is>
      </c>
    </row>
    <row r="145" ht="30.6" customHeight="1" s="6">
      <c r="A145" s="18" t="n">
        <v>142</v>
      </c>
      <c r="B145" s="19" t="n"/>
      <c r="C145" s="20" t="n"/>
      <c r="D145" s="128" t="n"/>
      <c r="E145" s="21" t="n"/>
      <c r="F145" s="22" t="n"/>
      <c r="G145" s="22" t="n"/>
      <c r="H145" s="22" t="n"/>
      <c r="I145" s="26">
        <f>G145-H145</f>
        <v/>
      </c>
      <c r="J145" s="21" t="n"/>
      <c r="K145" s="21" t="n"/>
      <c r="L145" s="27">
        <f>SUM(J145:K145)</f>
        <v/>
      </c>
      <c r="M145" s="28" t="n"/>
      <c r="N145" s="28" t="n"/>
      <c r="O145" s="29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1" t="n"/>
      <c r="Q145" s="21" t="n"/>
      <c r="R145" s="27">
        <f>SUM(P145:Q145)</f>
        <v/>
      </c>
      <c r="S145" s="28" t="n"/>
      <c r="T145" s="28" t="n"/>
      <c r="U145" s="29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1" t="n"/>
      <c r="W145" s="21" t="n"/>
      <c r="X145" s="27">
        <f>SUM(V145:W145)</f>
        <v/>
      </c>
      <c r="Y145" s="28" t="n"/>
      <c r="Z145" s="28" t="n"/>
      <c r="AA145" s="29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1" t="n"/>
      <c r="AC145" s="21" t="n"/>
      <c r="AD145" s="27">
        <f>SUM(AB145:AC145)</f>
        <v/>
      </c>
      <c r="AE145" s="28" t="n"/>
      <c r="AF145" s="28" t="n"/>
      <c r="AG145" s="29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1" t="n"/>
      <c r="AI145" s="21" t="n"/>
      <c r="AJ145" s="27">
        <f>SUM(AH145:AI145)</f>
        <v/>
      </c>
      <c r="AK145" s="28" t="n"/>
      <c r="AL145" s="28" t="n"/>
      <c r="AM145" s="29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1" t="n"/>
      <c r="AO145" s="21" t="n"/>
      <c r="AP145" s="27">
        <f>SUM(AN145:AO145)</f>
        <v/>
      </c>
      <c r="AQ145" s="28" t="n"/>
      <c r="AR145" s="30" t="n"/>
      <c r="AS145" s="29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1" t="n"/>
      <c r="AU145" s="21" t="n"/>
      <c r="AV145" s="27">
        <f>SUM(AT145:AU145)</f>
        <v/>
      </c>
      <c r="AW145" s="28" t="n"/>
      <c r="AX145" s="30" t="n"/>
      <c r="AY145" s="29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1" t="n"/>
      <c r="BA145" s="21" t="n"/>
      <c r="BB145" s="27">
        <f>SUM(AZ145:BA145)</f>
        <v/>
      </c>
      <c r="BC145" s="28" t="n"/>
      <c r="BD145" s="28" t="n"/>
      <c r="BE145" s="29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1" t="n"/>
      <c r="BG145" s="21" t="n"/>
      <c r="BH145" s="27">
        <f>SUM(BF145:BG145)</f>
        <v/>
      </c>
      <c r="BI145" s="28" t="n"/>
      <c r="BJ145" s="28" t="n"/>
      <c r="BK145" s="29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1" t="n"/>
      <c r="BM145" s="21" t="n"/>
      <c r="BN145" s="27">
        <f>SUM(BL145:BM145)</f>
        <v/>
      </c>
      <c r="BO145" s="28" t="n"/>
      <c r="BP145" s="31" t="n"/>
      <c r="BQ145" s="29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1" t="n"/>
      <c r="BS145" s="21" t="n"/>
      <c r="BT145" s="27">
        <f>SUM(BR145:BS145)</f>
        <v/>
      </c>
      <c r="BU145" s="28" t="n"/>
      <c r="BV145" s="31" t="n"/>
      <c r="BW145" s="29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1" t="n"/>
      <c r="BY145" s="21" t="n"/>
      <c r="BZ145" s="27">
        <f>SUM(BX145:BY145)</f>
        <v/>
      </c>
      <c r="CA145" s="28" t="n"/>
      <c r="CB145" s="31" t="n"/>
      <c r="CC145" s="29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1" t="n"/>
      <c r="CE145" s="21" t="n"/>
      <c r="CF145" s="27">
        <f>SUM(CD145:CE145)</f>
        <v/>
      </c>
      <c r="CG145" s="28" t="n"/>
      <c r="CH145" s="31" t="n"/>
      <c r="CI145" s="29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1" t="n"/>
      <c r="CK145" s="21" t="n"/>
      <c r="CL145" s="27">
        <f>SUM(CJ145:CK145)</f>
        <v/>
      </c>
      <c r="CM145" s="28" t="n"/>
      <c r="CN145" s="31" t="n"/>
      <c r="CO145" s="29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1" t="n"/>
      <c r="CQ145" s="21" t="n"/>
      <c r="CR145" s="27">
        <f>SUM(CP145:CQ145)</f>
        <v/>
      </c>
      <c r="CS145" s="28" t="n"/>
      <c r="CT145" s="31" t="n"/>
      <c r="CU145" s="29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1" t="n"/>
      <c r="CW145" s="21" t="n"/>
      <c r="CX145" s="27">
        <f>SUM(CV145:CW145)</f>
        <v/>
      </c>
      <c r="CY145" s="28" t="n"/>
      <c r="CZ145" s="31" t="n"/>
      <c r="DA145" s="29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1" t="n"/>
      <c r="DC145" s="21" t="n"/>
      <c r="DD145" s="27">
        <f>SUM(DB145:DC145)</f>
        <v/>
      </c>
      <c r="DE145" s="28" t="n"/>
      <c r="DF145" s="31" t="n"/>
      <c r="DG145" s="29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34">
        <f>SUM(O145,U145,AA145,AG145,AM145,AS145,AY145,BE145,BK145,BQ145,BW145,CC145,CI145,CO145,CU145,DA145,DG145)</f>
        <v/>
      </c>
      <c r="DI145" s="39">
        <f>RANK(DH145,DH$4:DH$503)</f>
        <v/>
      </c>
      <c r="DJ145" s="40" t="inlineStr">
        <is>
          <t>CHOOSE RATING</t>
        </is>
      </c>
      <c r="DK145" s="40" t="inlineStr">
        <is>
          <t>CHOOSE RATING</t>
        </is>
      </c>
      <c r="DL145" s="40" t="inlineStr">
        <is>
          <t>CHOOSE RATING</t>
        </is>
      </c>
      <c r="DM145" s="40" t="inlineStr">
        <is>
          <t>CHOOSE RATING</t>
        </is>
      </c>
      <c r="DN145" s="40" t="inlineStr">
        <is>
          <t>CHOOSE RATING</t>
        </is>
      </c>
      <c r="DO145" s="40" t="inlineStr">
        <is>
          <t>CHOOSE RATING</t>
        </is>
      </c>
      <c r="DP145" s="40" t="inlineStr">
        <is>
          <t>CHOOSE RATING</t>
        </is>
      </c>
      <c r="DQ145" s="40" t="inlineStr">
        <is>
          <t>CHOOSE RATING</t>
        </is>
      </c>
      <c r="DR145" s="43" t="inlineStr">
        <is>
          <t>2024/2025</t>
        </is>
      </c>
      <c r="DS145" s="45" t="inlineStr">
        <is>
          <t>THIRD</t>
        </is>
      </c>
      <c r="DT145" s="40" t="inlineStr">
        <is>
          <t>CHOOSE RATING</t>
        </is>
      </c>
      <c r="DU145" s="40" t="inlineStr">
        <is>
          <t>CHOOSE RATING</t>
        </is>
      </c>
      <c r="DV145" s="40" t="inlineStr">
        <is>
          <t>CHOOSE RATING</t>
        </is>
      </c>
      <c r="DW145" s="40" t="inlineStr">
        <is>
          <t>CHOOSE RATING</t>
        </is>
      </c>
      <c r="DX145" s="40" t="inlineStr">
        <is>
          <t>CHOOSE RATING</t>
        </is>
      </c>
      <c r="DY145" s="40" t="inlineStr">
        <is>
          <t>CHOOSE RATING</t>
        </is>
      </c>
      <c r="DZ145" s="53" t="inlineStr">
        <is>
          <t>CHOOSE RATING</t>
        </is>
      </c>
      <c r="EA145" s="54" t="inlineStr">
        <is>
          <t>Add the Tutor's Comment . . .</t>
        </is>
      </c>
      <c r="EB145" s="55" t="inlineStr">
        <is>
          <t>Choose Principals comment</t>
        </is>
      </c>
      <c r="EC145" s="56" t="n"/>
      <c r="ED145" s="57" t="inlineStr">
        <is>
          <t>Next Term Begins on Monday, 22nd September, 2025</t>
        </is>
      </c>
    </row>
    <row r="146" ht="30.6" customHeight="1" s="6">
      <c r="A146" s="18" t="n">
        <v>143</v>
      </c>
      <c r="B146" s="19" t="n"/>
      <c r="C146" s="20" t="n"/>
      <c r="D146" s="128" t="n"/>
      <c r="E146" s="21" t="n"/>
      <c r="F146" s="22" t="n"/>
      <c r="G146" s="22" t="n"/>
      <c r="H146" s="22" t="n"/>
      <c r="I146" s="26">
        <f>G146-H146</f>
        <v/>
      </c>
      <c r="J146" s="21" t="n"/>
      <c r="K146" s="21" t="n"/>
      <c r="L146" s="27">
        <f>SUM(J146:K146)</f>
        <v/>
      </c>
      <c r="M146" s="28" t="n"/>
      <c r="N146" s="28" t="n"/>
      <c r="O146" s="29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1" t="n"/>
      <c r="Q146" s="21" t="n"/>
      <c r="R146" s="27">
        <f>SUM(P146:Q146)</f>
        <v/>
      </c>
      <c r="S146" s="28" t="n"/>
      <c r="T146" s="28" t="n"/>
      <c r="U146" s="29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1" t="n"/>
      <c r="W146" s="21" t="n"/>
      <c r="X146" s="27">
        <f>SUM(V146:W146)</f>
        <v/>
      </c>
      <c r="Y146" s="28" t="n"/>
      <c r="Z146" s="28" t="n"/>
      <c r="AA146" s="29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1" t="n"/>
      <c r="AC146" s="21" t="n"/>
      <c r="AD146" s="27">
        <f>SUM(AB146:AC146)</f>
        <v/>
      </c>
      <c r="AE146" s="28" t="n"/>
      <c r="AF146" s="28" t="n"/>
      <c r="AG146" s="29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1" t="n"/>
      <c r="AI146" s="21" t="n"/>
      <c r="AJ146" s="27">
        <f>SUM(AH146:AI146)</f>
        <v/>
      </c>
      <c r="AK146" s="28" t="n"/>
      <c r="AL146" s="28" t="n"/>
      <c r="AM146" s="29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1" t="n"/>
      <c r="AO146" s="21" t="n"/>
      <c r="AP146" s="27">
        <f>SUM(AN146:AO146)</f>
        <v/>
      </c>
      <c r="AQ146" s="28" t="n"/>
      <c r="AR146" s="30" t="n"/>
      <c r="AS146" s="29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1" t="n"/>
      <c r="AU146" s="21" t="n"/>
      <c r="AV146" s="27">
        <f>SUM(AT146:AU146)</f>
        <v/>
      </c>
      <c r="AW146" s="28" t="n"/>
      <c r="AX146" s="30" t="n"/>
      <c r="AY146" s="29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1" t="n"/>
      <c r="BA146" s="21" t="n"/>
      <c r="BB146" s="27">
        <f>SUM(AZ146:BA146)</f>
        <v/>
      </c>
      <c r="BC146" s="28" t="n"/>
      <c r="BD146" s="28" t="n"/>
      <c r="BE146" s="29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1" t="n"/>
      <c r="BG146" s="21" t="n"/>
      <c r="BH146" s="27">
        <f>SUM(BF146:BG146)</f>
        <v/>
      </c>
      <c r="BI146" s="28" t="n"/>
      <c r="BJ146" s="28" t="n"/>
      <c r="BK146" s="29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1" t="n"/>
      <c r="BM146" s="21" t="n"/>
      <c r="BN146" s="27">
        <f>SUM(BL146:BM146)</f>
        <v/>
      </c>
      <c r="BO146" s="28" t="n"/>
      <c r="BP146" s="31" t="n"/>
      <c r="BQ146" s="29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1" t="n"/>
      <c r="BS146" s="21" t="n"/>
      <c r="BT146" s="27">
        <f>SUM(BR146:BS146)</f>
        <v/>
      </c>
      <c r="BU146" s="28" t="n"/>
      <c r="BV146" s="31" t="n"/>
      <c r="BW146" s="29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1" t="n"/>
      <c r="BY146" s="21" t="n"/>
      <c r="BZ146" s="27">
        <f>SUM(BX146:BY146)</f>
        <v/>
      </c>
      <c r="CA146" s="28" t="n"/>
      <c r="CB146" s="31" t="n"/>
      <c r="CC146" s="29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1" t="n"/>
      <c r="CE146" s="21" t="n"/>
      <c r="CF146" s="27">
        <f>SUM(CD146:CE146)</f>
        <v/>
      </c>
      <c r="CG146" s="28" t="n"/>
      <c r="CH146" s="31" t="n"/>
      <c r="CI146" s="29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1" t="n"/>
      <c r="CK146" s="21" t="n"/>
      <c r="CL146" s="27">
        <f>SUM(CJ146:CK146)</f>
        <v/>
      </c>
      <c r="CM146" s="28" t="n"/>
      <c r="CN146" s="31" t="n"/>
      <c r="CO146" s="29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1" t="n"/>
      <c r="CQ146" s="21" t="n"/>
      <c r="CR146" s="27">
        <f>SUM(CP146:CQ146)</f>
        <v/>
      </c>
      <c r="CS146" s="28" t="n"/>
      <c r="CT146" s="31" t="n"/>
      <c r="CU146" s="29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1" t="n"/>
      <c r="CW146" s="21" t="n"/>
      <c r="CX146" s="27">
        <f>SUM(CV146:CW146)</f>
        <v/>
      </c>
      <c r="CY146" s="28" t="n"/>
      <c r="CZ146" s="31" t="n"/>
      <c r="DA146" s="29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1" t="n"/>
      <c r="DC146" s="21" t="n"/>
      <c r="DD146" s="27">
        <f>SUM(DB146:DC146)</f>
        <v/>
      </c>
      <c r="DE146" s="28" t="n"/>
      <c r="DF146" s="31" t="n"/>
      <c r="DG146" s="29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34">
        <f>SUM(O146,U146,AA146,AG146,AM146,AS146,AY146,BE146,BK146,BQ146,BW146,CC146,CI146,CO146,CU146,DA146,DG146)</f>
        <v/>
      </c>
      <c r="DI146" s="39">
        <f>RANK(DH146,DH$4:DH$503)</f>
        <v/>
      </c>
      <c r="DJ146" s="40" t="inlineStr">
        <is>
          <t>CHOOSE RATING</t>
        </is>
      </c>
      <c r="DK146" s="40" t="inlineStr">
        <is>
          <t>CHOOSE RATING</t>
        </is>
      </c>
      <c r="DL146" s="40" t="inlineStr">
        <is>
          <t>CHOOSE RATING</t>
        </is>
      </c>
      <c r="DM146" s="40" t="inlineStr">
        <is>
          <t>CHOOSE RATING</t>
        </is>
      </c>
      <c r="DN146" s="40" t="inlineStr">
        <is>
          <t>CHOOSE RATING</t>
        </is>
      </c>
      <c r="DO146" s="40" t="inlineStr">
        <is>
          <t>CHOOSE RATING</t>
        </is>
      </c>
      <c r="DP146" s="40" t="inlineStr">
        <is>
          <t>CHOOSE RATING</t>
        </is>
      </c>
      <c r="DQ146" s="40" t="inlineStr">
        <is>
          <t>CHOOSE RATING</t>
        </is>
      </c>
      <c r="DR146" s="43" t="inlineStr">
        <is>
          <t>2024/2025</t>
        </is>
      </c>
      <c r="DS146" s="45" t="inlineStr">
        <is>
          <t>THIRD</t>
        </is>
      </c>
      <c r="DT146" s="40" t="inlineStr">
        <is>
          <t>CHOOSE RATING</t>
        </is>
      </c>
      <c r="DU146" s="40" t="inlineStr">
        <is>
          <t>CHOOSE RATING</t>
        </is>
      </c>
      <c r="DV146" s="40" t="inlineStr">
        <is>
          <t>CHOOSE RATING</t>
        </is>
      </c>
      <c r="DW146" s="40" t="inlineStr">
        <is>
          <t>CHOOSE RATING</t>
        </is>
      </c>
      <c r="DX146" s="40" t="inlineStr">
        <is>
          <t>CHOOSE RATING</t>
        </is>
      </c>
      <c r="DY146" s="40" t="inlineStr">
        <is>
          <t>CHOOSE RATING</t>
        </is>
      </c>
      <c r="DZ146" s="53" t="inlineStr">
        <is>
          <t>CHOOSE RATING</t>
        </is>
      </c>
      <c r="EA146" s="54" t="inlineStr">
        <is>
          <t>Add the Tutor's Comment . . .</t>
        </is>
      </c>
      <c r="EB146" s="55" t="inlineStr">
        <is>
          <t>Choose Principals comment</t>
        </is>
      </c>
      <c r="EC146" s="56" t="n"/>
      <c r="ED146" s="57" t="inlineStr">
        <is>
          <t>Next Term Begins on Monday, 22nd September, 2025</t>
        </is>
      </c>
    </row>
    <row r="147" ht="30.6" customHeight="1" s="6">
      <c r="A147" s="18" t="n">
        <v>144</v>
      </c>
      <c r="B147" s="19" t="n"/>
      <c r="C147" s="20" t="n"/>
      <c r="D147" s="128" t="n"/>
      <c r="E147" s="21" t="n"/>
      <c r="F147" s="22" t="n"/>
      <c r="G147" s="22" t="n"/>
      <c r="H147" s="22" t="n"/>
      <c r="I147" s="26">
        <f>G147-H147</f>
        <v/>
      </c>
      <c r="J147" s="21" t="n"/>
      <c r="K147" s="21" t="n"/>
      <c r="L147" s="27">
        <f>SUM(J147:K147)</f>
        <v/>
      </c>
      <c r="M147" s="28" t="n"/>
      <c r="N147" s="28" t="n"/>
      <c r="O147" s="29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1" t="n"/>
      <c r="Q147" s="21" t="n"/>
      <c r="R147" s="27">
        <f>SUM(P147:Q147)</f>
        <v/>
      </c>
      <c r="S147" s="28" t="n"/>
      <c r="T147" s="28" t="n"/>
      <c r="U147" s="29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1" t="n"/>
      <c r="W147" s="21" t="n"/>
      <c r="X147" s="27">
        <f>SUM(V147:W147)</f>
        <v/>
      </c>
      <c r="Y147" s="28" t="n"/>
      <c r="Z147" s="28" t="n"/>
      <c r="AA147" s="29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1" t="n"/>
      <c r="AC147" s="21" t="n"/>
      <c r="AD147" s="27">
        <f>SUM(AB147:AC147)</f>
        <v/>
      </c>
      <c r="AE147" s="28" t="n"/>
      <c r="AF147" s="28" t="n"/>
      <c r="AG147" s="29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1" t="n"/>
      <c r="AI147" s="21" t="n"/>
      <c r="AJ147" s="27">
        <f>SUM(AH147:AI147)</f>
        <v/>
      </c>
      <c r="AK147" s="28" t="n"/>
      <c r="AL147" s="28" t="n"/>
      <c r="AM147" s="29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1" t="n"/>
      <c r="AO147" s="21" t="n"/>
      <c r="AP147" s="27">
        <f>SUM(AN147:AO147)</f>
        <v/>
      </c>
      <c r="AQ147" s="28" t="n"/>
      <c r="AR147" s="30" t="n"/>
      <c r="AS147" s="29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1" t="n"/>
      <c r="AU147" s="21" t="n"/>
      <c r="AV147" s="27">
        <f>SUM(AT147:AU147)</f>
        <v/>
      </c>
      <c r="AW147" s="28" t="n"/>
      <c r="AX147" s="30" t="n"/>
      <c r="AY147" s="29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1" t="n"/>
      <c r="BA147" s="21" t="n"/>
      <c r="BB147" s="27">
        <f>SUM(AZ147:BA147)</f>
        <v/>
      </c>
      <c r="BC147" s="28" t="n"/>
      <c r="BD147" s="28" t="n"/>
      <c r="BE147" s="29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1" t="n"/>
      <c r="BG147" s="21" t="n"/>
      <c r="BH147" s="27">
        <f>SUM(BF147:BG147)</f>
        <v/>
      </c>
      <c r="BI147" s="28" t="n"/>
      <c r="BJ147" s="28" t="n"/>
      <c r="BK147" s="29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1" t="n"/>
      <c r="BM147" s="21" t="n"/>
      <c r="BN147" s="27">
        <f>SUM(BL147:BM147)</f>
        <v/>
      </c>
      <c r="BO147" s="28" t="n"/>
      <c r="BP147" s="31" t="n"/>
      <c r="BQ147" s="29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1" t="n"/>
      <c r="BS147" s="21" t="n"/>
      <c r="BT147" s="27">
        <f>SUM(BR147:BS147)</f>
        <v/>
      </c>
      <c r="BU147" s="28" t="n"/>
      <c r="BV147" s="31" t="n"/>
      <c r="BW147" s="29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1" t="n"/>
      <c r="BY147" s="21" t="n"/>
      <c r="BZ147" s="27">
        <f>SUM(BX147:BY147)</f>
        <v/>
      </c>
      <c r="CA147" s="28" t="n"/>
      <c r="CB147" s="31" t="n"/>
      <c r="CC147" s="29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1" t="n"/>
      <c r="CE147" s="21" t="n"/>
      <c r="CF147" s="27">
        <f>SUM(CD147:CE147)</f>
        <v/>
      </c>
      <c r="CG147" s="28" t="n"/>
      <c r="CH147" s="31" t="n"/>
      <c r="CI147" s="29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1" t="n"/>
      <c r="CK147" s="21" t="n"/>
      <c r="CL147" s="27">
        <f>SUM(CJ147:CK147)</f>
        <v/>
      </c>
      <c r="CM147" s="28" t="n"/>
      <c r="CN147" s="31" t="n"/>
      <c r="CO147" s="29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1" t="n"/>
      <c r="CQ147" s="21" t="n"/>
      <c r="CR147" s="27">
        <f>SUM(CP147:CQ147)</f>
        <v/>
      </c>
      <c r="CS147" s="28" t="n"/>
      <c r="CT147" s="31" t="n"/>
      <c r="CU147" s="29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1" t="n"/>
      <c r="CW147" s="21" t="n"/>
      <c r="CX147" s="27">
        <f>SUM(CV147:CW147)</f>
        <v/>
      </c>
      <c r="CY147" s="28" t="n"/>
      <c r="CZ147" s="31" t="n"/>
      <c r="DA147" s="29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1" t="n"/>
      <c r="DC147" s="21" t="n"/>
      <c r="DD147" s="27">
        <f>SUM(DB147:DC147)</f>
        <v/>
      </c>
      <c r="DE147" s="28" t="n"/>
      <c r="DF147" s="31" t="n"/>
      <c r="DG147" s="29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34">
        <f>SUM(O147,U147,AA147,AG147,AM147,AS147,AY147,BE147,BK147,BQ147,BW147,CC147,CI147,CO147,CU147,DA147,DG147)</f>
        <v/>
      </c>
      <c r="DI147" s="39">
        <f>RANK(DH147,DH$4:DH$503)</f>
        <v/>
      </c>
      <c r="DJ147" s="40" t="inlineStr">
        <is>
          <t>CHOOSE RATING</t>
        </is>
      </c>
      <c r="DK147" s="40" t="inlineStr">
        <is>
          <t>CHOOSE RATING</t>
        </is>
      </c>
      <c r="DL147" s="40" t="inlineStr">
        <is>
          <t>CHOOSE RATING</t>
        </is>
      </c>
      <c r="DM147" s="40" t="inlineStr">
        <is>
          <t>CHOOSE RATING</t>
        </is>
      </c>
      <c r="DN147" s="40" t="inlineStr">
        <is>
          <t>CHOOSE RATING</t>
        </is>
      </c>
      <c r="DO147" s="40" t="inlineStr">
        <is>
          <t>CHOOSE RATING</t>
        </is>
      </c>
      <c r="DP147" s="40" t="inlineStr">
        <is>
          <t>CHOOSE RATING</t>
        </is>
      </c>
      <c r="DQ147" s="40" t="inlineStr">
        <is>
          <t>CHOOSE RATING</t>
        </is>
      </c>
      <c r="DR147" s="43" t="inlineStr">
        <is>
          <t>2024/2025</t>
        </is>
      </c>
      <c r="DS147" s="45" t="inlineStr">
        <is>
          <t>THIRD</t>
        </is>
      </c>
      <c r="DT147" s="40" t="inlineStr">
        <is>
          <t>CHOOSE RATING</t>
        </is>
      </c>
      <c r="DU147" s="40" t="inlineStr">
        <is>
          <t>CHOOSE RATING</t>
        </is>
      </c>
      <c r="DV147" s="40" t="inlineStr">
        <is>
          <t>CHOOSE RATING</t>
        </is>
      </c>
      <c r="DW147" s="40" t="inlineStr">
        <is>
          <t>CHOOSE RATING</t>
        </is>
      </c>
      <c r="DX147" s="40" t="inlineStr">
        <is>
          <t>CHOOSE RATING</t>
        </is>
      </c>
      <c r="DY147" s="40" t="inlineStr">
        <is>
          <t>CHOOSE RATING</t>
        </is>
      </c>
      <c r="DZ147" s="53" t="inlineStr">
        <is>
          <t>CHOOSE RATING</t>
        </is>
      </c>
      <c r="EA147" s="54" t="inlineStr">
        <is>
          <t>Add the Tutor's Comment . . .</t>
        </is>
      </c>
      <c r="EB147" s="55" t="inlineStr">
        <is>
          <t>Choose Principals comment</t>
        </is>
      </c>
      <c r="EC147" s="56" t="n"/>
      <c r="ED147" s="57" t="inlineStr">
        <is>
          <t>Next Term Begins on Monday, 22nd September, 2025</t>
        </is>
      </c>
    </row>
    <row r="148" ht="30.6" customHeight="1" s="6">
      <c r="A148" s="18" t="n">
        <v>145</v>
      </c>
      <c r="B148" s="19" t="n"/>
      <c r="C148" s="20" t="n"/>
      <c r="D148" s="128" t="n"/>
      <c r="E148" s="21" t="n"/>
      <c r="F148" s="22" t="n"/>
      <c r="G148" s="22" t="n"/>
      <c r="H148" s="22" t="n"/>
      <c r="I148" s="26">
        <f>G148-H148</f>
        <v/>
      </c>
      <c r="J148" s="21" t="n"/>
      <c r="K148" s="21" t="n"/>
      <c r="L148" s="27">
        <f>SUM(J148:K148)</f>
        <v/>
      </c>
      <c r="M148" s="28" t="n"/>
      <c r="N148" s="28" t="n"/>
      <c r="O148" s="29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1" t="n"/>
      <c r="Q148" s="21" t="n"/>
      <c r="R148" s="27">
        <f>SUM(P148:Q148)</f>
        <v/>
      </c>
      <c r="S148" s="28" t="n"/>
      <c r="T148" s="28" t="n"/>
      <c r="U148" s="29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1" t="n"/>
      <c r="W148" s="21" t="n"/>
      <c r="X148" s="27">
        <f>SUM(V148:W148)</f>
        <v/>
      </c>
      <c r="Y148" s="28" t="n"/>
      <c r="Z148" s="28" t="n"/>
      <c r="AA148" s="29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1" t="n"/>
      <c r="AC148" s="21" t="n"/>
      <c r="AD148" s="27">
        <f>SUM(AB148:AC148)</f>
        <v/>
      </c>
      <c r="AE148" s="28" t="n"/>
      <c r="AF148" s="28" t="n"/>
      <c r="AG148" s="29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1" t="n"/>
      <c r="AI148" s="21" t="n"/>
      <c r="AJ148" s="27">
        <f>SUM(AH148:AI148)</f>
        <v/>
      </c>
      <c r="AK148" s="28" t="n"/>
      <c r="AL148" s="28" t="n"/>
      <c r="AM148" s="29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1" t="n"/>
      <c r="AO148" s="21" t="n"/>
      <c r="AP148" s="27">
        <f>SUM(AN148:AO148)</f>
        <v/>
      </c>
      <c r="AQ148" s="28" t="n"/>
      <c r="AR148" s="30" t="n"/>
      <c r="AS148" s="29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1" t="n"/>
      <c r="AU148" s="21" t="n"/>
      <c r="AV148" s="27">
        <f>SUM(AT148:AU148)</f>
        <v/>
      </c>
      <c r="AW148" s="28" t="n"/>
      <c r="AX148" s="30" t="n"/>
      <c r="AY148" s="29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1" t="n"/>
      <c r="BA148" s="21" t="n"/>
      <c r="BB148" s="27">
        <f>SUM(AZ148:BA148)</f>
        <v/>
      </c>
      <c r="BC148" s="28" t="n"/>
      <c r="BD148" s="28" t="n"/>
      <c r="BE148" s="29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1" t="n"/>
      <c r="BG148" s="21" t="n"/>
      <c r="BH148" s="27">
        <f>SUM(BF148:BG148)</f>
        <v/>
      </c>
      <c r="BI148" s="28" t="n"/>
      <c r="BJ148" s="28" t="n"/>
      <c r="BK148" s="29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1" t="n"/>
      <c r="BM148" s="21" t="n"/>
      <c r="BN148" s="27">
        <f>SUM(BL148:BM148)</f>
        <v/>
      </c>
      <c r="BO148" s="28" t="n"/>
      <c r="BP148" s="31" t="n"/>
      <c r="BQ148" s="29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1" t="n"/>
      <c r="BS148" s="21" t="n"/>
      <c r="BT148" s="27">
        <f>SUM(BR148:BS148)</f>
        <v/>
      </c>
      <c r="BU148" s="28" t="n"/>
      <c r="BV148" s="31" t="n"/>
      <c r="BW148" s="29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1" t="n"/>
      <c r="BY148" s="21" t="n"/>
      <c r="BZ148" s="27">
        <f>SUM(BX148:BY148)</f>
        <v/>
      </c>
      <c r="CA148" s="28" t="n"/>
      <c r="CB148" s="31" t="n"/>
      <c r="CC148" s="29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1" t="n"/>
      <c r="CE148" s="21" t="n"/>
      <c r="CF148" s="27">
        <f>SUM(CD148:CE148)</f>
        <v/>
      </c>
      <c r="CG148" s="28" t="n"/>
      <c r="CH148" s="31" t="n"/>
      <c r="CI148" s="29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1" t="n"/>
      <c r="CK148" s="21" t="n"/>
      <c r="CL148" s="27">
        <f>SUM(CJ148:CK148)</f>
        <v/>
      </c>
      <c r="CM148" s="28" t="n"/>
      <c r="CN148" s="31" t="n"/>
      <c r="CO148" s="29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1" t="n"/>
      <c r="CQ148" s="21" t="n"/>
      <c r="CR148" s="27">
        <f>SUM(CP148:CQ148)</f>
        <v/>
      </c>
      <c r="CS148" s="28" t="n"/>
      <c r="CT148" s="31" t="n"/>
      <c r="CU148" s="29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1" t="n"/>
      <c r="CW148" s="21" t="n"/>
      <c r="CX148" s="27">
        <f>SUM(CV148:CW148)</f>
        <v/>
      </c>
      <c r="CY148" s="28" t="n"/>
      <c r="CZ148" s="31" t="n"/>
      <c r="DA148" s="29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1" t="n"/>
      <c r="DC148" s="21" t="n"/>
      <c r="DD148" s="27">
        <f>SUM(DB148:DC148)</f>
        <v/>
      </c>
      <c r="DE148" s="28" t="n"/>
      <c r="DF148" s="31" t="n"/>
      <c r="DG148" s="29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34">
        <f>SUM(O148,U148,AA148,AG148,AM148,AS148,AY148,BE148,BK148,BQ148,BW148,CC148,CI148,CO148,CU148,DA148,DG148)</f>
        <v/>
      </c>
      <c r="DI148" s="39">
        <f>RANK(DH148,DH$4:DH$503)</f>
        <v/>
      </c>
      <c r="DJ148" s="40" t="inlineStr">
        <is>
          <t>CHOOSE RATING</t>
        </is>
      </c>
      <c r="DK148" s="40" t="inlineStr">
        <is>
          <t>CHOOSE RATING</t>
        </is>
      </c>
      <c r="DL148" s="40" t="inlineStr">
        <is>
          <t>CHOOSE RATING</t>
        </is>
      </c>
      <c r="DM148" s="40" t="inlineStr">
        <is>
          <t>CHOOSE RATING</t>
        </is>
      </c>
      <c r="DN148" s="40" t="inlineStr">
        <is>
          <t>CHOOSE RATING</t>
        </is>
      </c>
      <c r="DO148" s="40" t="inlineStr">
        <is>
          <t>CHOOSE RATING</t>
        </is>
      </c>
      <c r="DP148" s="40" t="inlineStr">
        <is>
          <t>CHOOSE RATING</t>
        </is>
      </c>
      <c r="DQ148" s="40" t="inlineStr">
        <is>
          <t>CHOOSE RATING</t>
        </is>
      </c>
      <c r="DR148" s="43" t="inlineStr">
        <is>
          <t>2024/2025</t>
        </is>
      </c>
      <c r="DS148" s="45" t="inlineStr">
        <is>
          <t>THIRD</t>
        </is>
      </c>
      <c r="DT148" s="40" t="inlineStr">
        <is>
          <t>CHOOSE RATING</t>
        </is>
      </c>
      <c r="DU148" s="40" t="inlineStr">
        <is>
          <t>CHOOSE RATING</t>
        </is>
      </c>
      <c r="DV148" s="40" t="inlineStr">
        <is>
          <t>CHOOSE RATING</t>
        </is>
      </c>
      <c r="DW148" s="40" t="inlineStr">
        <is>
          <t>CHOOSE RATING</t>
        </is>
      </c>
      <c r="DX148" s="40" t="inlineStr">
        <is>
          <t>CHOOSE RATING</t>
        </is>
      </c>
      <c r="DY148" s="40" t="inlineStr">
        <is>
          <t>CHOOSE RATING</t>
        </is>
      </c>
      <c r="DZ148" s="53" t="inlineStr">
        <is>
          <t>CHOOSE RATING</t>
        </is>
      </c>
      <c r="EA148" s="54" t="inlineStr">
        <is>
          <t>Add the Tutor's Comment . . .</t>
        </is>
      </c>
      <c r="EB148" s="55" t="inlineStr">
        <is>
          <t>Choose Principals comment</t>
        </is>
      </c>
      <c r="EC148" s="56" t="n"/>
      <c r="ED148" s="57" t="inlineStr">
        <is>
          <t>Next Term Begins on Monday, 22nd September, 2025</t>
        </is>
      </c>
    </row>
    <row r="149" ht="30.6" customHeight="1" s="6">
      <c r="A149" s="18" t="n">
        <v>146</v>
      </c>
      <c r="B149" s="19" t="n"/>
      <c r="C149" s="20" t="n"/>
      <c r="D149" s="128" t="n"/>
      <c r="E149" s="21" t="n"/>
      <c r="F149" s="22" t="n"/>
      <c r="G149" s="22" t="n"/>
      <c r="H149" s="22" t="n"/>
      <c r="I149" s="26">
        <f>G149-H149</f>
        <v/>
      </c>
      <c r="J149" s="21" t="n"/>
      <c r="K149" s="21" t="n"/>
      <c r="L149" s="27">
        <f>SUM(J149:K149)</f>
        <v/>
      </c>
      <c r="M149" s="28" t="n"/>
      <c r="N149" s="28" t="n"/>
      <c r="O149" s="29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1" t="n"/>
      <c r="Q149" s="21" t="n"/>
      <c r="R149" s="27">
        <f>SUM(P149:Q149)</f>
        <v/>
      </c>
      <c r="S149" s="28" t="n"/>
      <c r="T149" s="28" t="n"/>
      <c r="U149" s="29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1" t="n"/>
      <c r="W149" s="21" t="n"/>
      <c r="X149" s="27">
        <f>SUM(V149:W149)</f>
        <v/>
      </c>
      <c r="Y149" s="28" t="n"/>
      <c r="Z149" s="28" t="n"/>
      <c r="AA149" s="29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1" t="n"/>
      <c r="AC149" s="21" t="n"/>
      <c r="AD149" s="27">
        <f>SUM(AB149:AC149)</f>
        <v/>
      </c>
      <c r="AE149" s="28" t="n"/>
      <c r="AF149" s="28" t="n"/>
      <c r="AG149" s="29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1" t="n"/>
      <c r="AI149" s="21" t="n"/>
      <c r="AJ149" s="27">
        <f>SUM(AH149:AI149)</f>
        <v/>
      </c>
      <c r="AK149" s="28" t="n"/>
      <c r="AL149" s="28" t="n"/>
      <c r="AM149" s="29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1" t="n"/>
      <c r="AO149" s="21" t="n"/>
      <c r="AP149" s="27">
        <f>SUM(AN149:AO149)</f>
        <v/>
      </c>
      <c r="AQ149" s="28" t="n"/>
      <c r="AR149" s="30" t="n"/>
      <c r="AS149" s="29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1" t="n"/>
      <c r="AU149" s="21" t="n"/>
      <c r="AV149" s="27">
        <f>SUM(AT149:AU149)</f>
        <v/>
      </c>
      <c r="AW149" s="28" t="n"/>
      <c r="AX149" s="30" t="n"/>
      <c r="AY149" s="29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1" t="n"/>
      <c r="BA149" s="21" t="n"/>
      <c r="BB149" s="27">
        <f>SUM(AZ149:BA149)</f>
        <v/>
      </c>
      <c r="BC149" s="28" t="n"/>
      <c r="BD149" s="28" t="n"/>
      <c r="BE149" s="29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1" t="n"/>
      <c r="BG149" s="21" t="n"/>
      <c r="BH149" s="27">
        <f>SUM(BF149:BG149)</f>
        <v/>
      </c>
      <c r="BI149" s="28" t="n"/>
      <c r="BJ149" s="28" t="n"/>
      <c r="BK149" s="29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1" t="n"/>
      <c r="BM149" s="21" t="n"/>
      <c r="BN149" s="27">
        <f>SUM(BL149:BM149)</f>
        <v/>
      </c>
      <c r="BO149" s="28" t="n"/>
      <c r="BP149" s="31" t="n"/>
      <c r="BQ149" s="29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1" t="n"/>
      <c r="BS149" s="21" t="n"/>
      <c r="BT149" s="27">
        <f>SUM(BR149:BS149)</f>
        <v/>
      </c>
      <c r="BU149" s="28" t="n"/>
      <c r="BV149" s="31" t="n"/>
      <c r="BW149" s="29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1" t="n"/>
      <c r="BY149" s="21" t="n"/>
      <c r="BZ149" s="27">
        <f>SUM(BX149:BY149)</f>
        <v/>
      </c>
      <c r="CA149" s="28" t="n"/>
      <c r="CB149" s="31" t="n"/>
      <c r="CC149" s="29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1" t="n"/>
      <c r="CE149" s="21" t="n"/>
      <c r="CF149" s="27">
        <f>SUM(CD149:CE149)</f>
        <v/>
      </c>
      <c r="CG149" s="28" t="n"/>
      <c r="CH149" s="31" t="n"/>
      <c r="CI149" s="29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1" t="n"/>
      <c r="CK149" s="21" t="n"/>
      <c r="CL149" s="27">
        <f>SUM(CJ149:CK149)</f>
        <v/>
      </c>
      <c r="CM149" s="28" t="n"/>
      <c r="CN149" s="31" t="n"/>
      <c r="CO149" s="29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1" t="n"/>
      <c r="CQ149" s="21" t="n"/>
      <c r="CR149" s="27">
        <f>SUM(CP149:CQ149)</f>
        <v/>
      </c>
      <c r="CS149" s="28" t="n"/>
      <c r="CT149" s="31" t="n"/>
      <c r="CU149" s="29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1" t="n"/>
      <c r="CW149" s="21" t="n"/>
      <c r="CX149" s="27">
        <f>SUM(CV149:CW149)</f>
        <v/>
      </c>
      <c r="CY149" s="28" t="n"/>
      <c r="CZ149" s="31" t="n"/>
      <c r="DA149" s="29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1" t="n"/>
      <c r="DC149" s="21" t="n"/>
      <c r="DD149" s="27">
        <f>SUM(DB149:DC149)</f>
        <v/>
      </c>
      <c r="DE149" s="28" t="n"/>
      <c r="DF149" s="31" t="n"/>
      <c r="DG149" s="29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34">
        <f>SUM(O149,U149,AA149,AG149,AM149,AS149,AY149,BE149,BK149,BQ149,BW149,CC149,CI149,CO149,CU149,DA149,DG149)</f>
        <v/>
      </c>
      <c r="DI149" s="39">
        <f>RANK(DH149,DH$4:DH$503)</f>
        <v/>
      </c>
      <c r="DJ149" s="40" t="inlineStr">
        <is>
          <t>CHOOSE RATING</t>
        </is>
      </c>
      <c r="DK149" s="40" t="inlineStr">
        <is>
          <t>CHOOSE RATING</t>
        </is>
      </c>
      <c r="DL149" s="40" t="inlineStr">
        <is>
          <t>CHOOSE RATING</t>
        </is>
      </c>
      <c r="DM149" s="40" t="inlineStr">
        <is>
          <t>CHOOSE RATING</t>
        </is>
      </c>
      <c r="DN149" s="40" t="inlineStr">
        <is>
          <t>CHOOSE RATING</t>
        </is>
      </c>
      <c r="DO149" s="40" t="inlineStr">
        <is>
          <t>CHOOSE RATING</t>
        </is>
      </c>
      <c r="DP149" s="40" t="inlineStr">
        <is>
          <t>CHOOSE RATING</t>
        </is>
      </c>
      <c r="DQ149" s="40" t="inlineStr">
        <is>
          <t>CHOOSE RATING</t>
        </is>
      </c>
      <c r="DR149" s="43" t="inlineStr">
        <is>
          <t>2024/2025</t>
        </is>
      </c>
      <c r="DS149" s="45" t="inlineStr">
        <is>
          <t>THIRD</t>
        </is>
      </c>
      <c r="DT149" s="40" t="inlineStr">
        <is>
          <t>CHOOSE RATING</t>
        </is>
      </c>
      <c r="DU149" s="40" t="inlineStr">
        <is>
          <t>CHOOSE RATING</t>
        </is>
      </c>
      <c r="DV149" s="40" t="inlineStr">
        <is>
          <t>CHOOSE RATING</t>
        </is>
      </c>
      <c r="DW149" s="40" t="inlineStr">
        <is>
          <t>CHOOSE RATING</t>
        </is>
      </c>
      <c r="DX149" s="40" t="inlineStr">
        <is>
          <t>CHOOSE RATING</t>
        </is>
      </c>
      <c r="DY149" s="40" t="inlineStr">
        <is>
          <t>CHOOSE RATING</t>
        </is>
      </c>
      <c r="DZ149" s="53" t="inlineStr">
        <is>
          <t>CHOOSE RATING</t>
        </is>
      </c>
      <c r="EA149" s="54" t="inlineStr">
        <is>
          <t>Add the Tutor's Comment . . .</t>
        </is>
      </c>
      <c r="EB149" s="55" t="inlineStr">
        <is>
          <t>Choose Principals comment</t>
        </is>
      </c>
      <c r="EC149" s="56" t="n"/>
      <c r="ED149" s="57" t="inlineStr">
        <is>
          <t>Next Term Begins on Monday, 22nd September, 2025</t>
        </is>
      </c>
    </row>
    <row r="150" ht="30.6" customHeight="1" s="6">
      <c r="A150" s="18" t="n">
        <v>147</v>
      </c>
      <c r="B150" s="19" t="n"/>
      <c r="C150" s="20" t="n"/>
      <c r="D150" s="128" t="n"/>
      <c r="E150" s="21" t="n"/>
      <c r="F150" s="22" t="n"/>
      <c r="G150" s="22" t="n"/>
      <c r="H150" s="22" t="n"/>
      <c r="I150" s="26">
        <f>G150-H150</f>
        <v/>
      </c>
      <c r="J150" s="21" t="n"/>
      <c r="K150" s="21" t="n"/>
      <c r="L150" s="27">
        <f>SUM(J150:K150)</f>
        <v/>
      </c>
      <c r="M150" s="28" t="n"/>
      <c r="N150" s="28" t="n"/>
      <c r="O150" s="29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1" t="n"/>
      <c r="Q150" s="21" t="n"/>
      <c r="R150" s="27">
        <f>SUM(P150:Q150)</f>
        <v/>
      </c>
      <c r="S150" s="28" t="n"/>
      <c r="T150" s="28" t="n"/>
      <c r="U150" s="29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1" t="n"/>
      <c r="W150" s="21" t="n"/>
      <c r="X150" s="27">
        <f>SUM(V150:W150)</f>
        <v/>
      </c>
      <c r="Y150" s="28" t="n"/>
      <c r="Z150" s="28" t="n"/>
      <c r="AA150" s="29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1" t="n"/>
      <c r="AC150" s="21" t="n"/>
      <c r="AD150" s="27">
        <f>SUM(AB150:AC150)</f>
        <v/>
      </c>
      <c r="AE150" s="28" t="n"/>
      <c r="AF150" s="28" t="n"/>
      <c r="AG150" s="29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1" t="n"/>
      <c r="AI150" s="21" t="n"/>
      <c r="AJ150" s="27">
        <f>SUM(AH150:AI150)</f>
        <v/>
      </c>
      <c r="AK150" s="28" t="n"/>
      <c r="AL150" s="28" t="n"/>
      <c r="AM150" s="29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1" t="n"/>
      <c r="AO150" s="21" t="n"/>
      <c r="AP150" s="27">
        <f>SUM(AN150:AO150)</f>
        <v/>
      </c>
      <c r="AQ150" s="28" t="n"/>
      <c r="AR150" s="30" t="n"/>
      <c r="AS150" s="29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1" t="n"/>
      <c r="AU150" s="21" t="n"/>
      <c r="AV150" s="27">
        <f>SUM(AT150:AU150)</f>
        <v/>
      </c>
      <c r="AW150" s="28" t="n"/>
      <c r="AX150" s="30" t="n"/>
      <c r="AY150" s="29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1" t="n"/>
      <c r="BA150" s="21" t="n"/>
      <c r="BB150" s="27">
        <f>SUM(AZ150:BA150)</f>
        <v/>
      </c>
      <c r="BC150" s="28" t="n"/>
      <c r="BD150" s="28" t="n"/>
      <c r="BE150" s="29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1" t="n"/>
      <c r="BG150" s="21" t="n"/>
      <c r="BH150" s="27">
        <f>SUM(BF150:BG150)</f>
        <v/>
      </c>
      <c r="BI150" s="28" t="n"/>
      <c r="BJ150" s="28" t="n"/>
      <c r="BK150" s="29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1" t="n"/>
      <c r="BM150" s="21" t="n"/>
      <c r="BN150" s="27">
        <f>SUM(BL150:BM150)</f>
        <v/>
      </c>
      <c r="BO150" s="28" t="n"/>
      <c r="BP150" s="31" t="n"/>
      <c r="BQ150" s="29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1" t="n"/>
      <c r="BS150" s="21" t="n"/>
      <c r="BT150" s="27">
        <f>SUM(BR150:BS150)</f>
        <v/>
      </c>
      <c r="BU150" s="28" t="n"/>
      <c r="BV150" s="31" t="n"/>
      <c r="BW150" s="29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1" t="n"/>
      <c r="BY150" s="21" t="n"/>
      <c r="BZ150" s="27">
        <f>SUM(BX150:BY150)</f>
        <v/>
      </c>
      <c r="CA150" s="28" t="n"/>
      <c r="CB150" s="31" t="n"/>
      <c r="CC150" s="29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1" t="n"/>
      <c r="CE150" s="21" t="n"/>
      <c r="CF150" s="27">
        <f>SUM(CD150:CE150)</f>
        <v/>
      </c>
      <c r="CG150" s="28" t="n"/>
      <c r="CH150" s="31" t="n"/>
      <c r="CI150" s="29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1" t="n"/>
      <c r="CK150" s="21" t="n"/>
      <c r="CL150" s="27">
        <f>SUM(CJ150:CK150)</f>
        <v/>
      </c>
      <c r="CM150" s="28" t="n"/>
      <c r="CN150" s="31" t="n"/>
      <c r="CO150" s="29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1" t="n"/>
      <c r="CQ150" s="21" t="n"/>
      <c r="CR150" s="27">
        <f>SUM(CP150:CQ150)</f>
        <v/>
      </c>
      <c r="CS150" s="28" t="n"/>
      <c r="CT150" s="31" t="n"/>
      <c r="CU150" s="29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1" t="n"/>
      <c r="CW150" s="21" t="n"/>
      <c r="CX150" s="27">
        <f>SUM(CV150:CW150)</f>
        <v/>
      </c>
      <c r="CY150" s="28" t="n"/>
      <c r="CZ150" s="31" t="n"/>
      <c r="DA150" s="29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1" t="n"/>
      <c r="DC150" s="21" t="n"/>
      <c r="DD150" s="27">
        <f>SUM(DB150:DC150)</f>
        <v/>
      </c>
      <c r="DE150" s="28" t="n"/>
      <c r="DF150" s="31" t="n"/>
      <c r="DG150" s="29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34">
        <f>SUM(O150,U150,AA150,AG150,AM150,AS150,AY150,BE150,BK150,BQ150,BW150,CC150,CI150,CO150,CU150,DA150,DG150)</f>
        <v/>
      </c>
      <c r="DI150" s="39">
        <f>RANK(DH150,DH$4:DH$503)</f>
        <v/>
      </c>
      <c r="DJ150" s="40" t="inlineStr">
        <is>
          <t>CHOOSE RATING</t>
        </is>
      </c>
      <c r="DK150" s="40" t="inlineStr">
        <is>
          <t>CHOOSE RATING</t>
        </is>
      </c>
      <c r="DL150" s="40" t="inlineStr">
        <is>
          <t>CHOOSE RATING</t>
        </is>
      </c>
      <c r="DM150" s="40" t="inlineStr">
        <is>
          <t>CHOOSE RATING</t>
        </is>
      </c>
      <c r="DN150" s="40" t="inlineStr">
        <is>
          <t>CHOOSE RATING</t>
        </is>
      </c>
      <c r="DO150" s="40" t="inlineStr">
        <is>
          <t>CHOOSE RATING</t>
        </is>
      </c>
      <c r="DP150" s="40" t="inlineStr">
        <is>
          <t>CHOOSE RATING</t>
        </is>
      </c>
      <c r="DQ150" s="40" t="inlineStr">
        <is>
          <t>CHOOSE RATING</t>
        </is>
      </c>
      <c r="DR150" s="43" t="inlineStr">
        <is>
          <t>2024/2025</t>
        </is>
      </c>
      <c r="DS150" s="45" t="inlineStr">
        <is>
          <t>THIRD</t>
        </is>
      </c>
      <c r="DT150" s="40" t="inlineStr">
        <is>
          <t>CHOOSE RATING</t>
        </is>
      </c>
      <c r="DU150" s="40" t="inlineStr">
        <is>
          <t>CHOOSE RATING</t>
        </is>
      </c>
      <c r="DV150" s="40" t="inlineStr">
        <is>
          <t>CHOOSE RATING</t>
        </is>
      </c>
      <c r="DW150" s="40" t="inlineStr">
        <is>
          <t>CHOOSE RATING</t>
        </is>
      </c>
      <c r="DX150" s="40" t="inlineStr">
        <is>
          <t>CHOOSE RATING</t>
        </is>
      </c>
      <c r="DY150" s="40" t="inlineStr">
        <is>
          <t>CHOOSE RATING</t>
        </is>
      </c>
      <c r="DZ150" s="53" t="inlineStr">
        <is>
          <t>CHOOSE RATING</t>
        </is>
      </c>
      <c r="EA150" s="54" t="inlineStr">
        <is>
          <t>Add the Tutor's Comment . . .</t>
        </is>
      </c>
      <c r="EB150" s="55" t="inlineStr">
        <is>
          <t>Choose Principals comment</t>
        </is>
      </c>
      <c r="EC150" s="56" t="n"/>
      <c r="ED150" s="57" t="inlineStr">
        <is>
          <t>Next Term Begins on Monday, 22nd September, 2025</t>
        </is>
      </c>
    </row>
    <row r="151" ht="30.6" customHeight="1" s="6">
      <c r="A151" s="18" t="n">
        <v>148</v>
      </c>
      <c r="B151" s="19" t="n"/>
      <c r="C151" s="20" t="n"/>
      <c r="D151" s="128" t="n"/>
      <c r="E151" s="21" t="n"/>
      <c r="F151" s="22" t="n"/>
      <c r="G151" s="22" t="n"/>
      <c r="H151" s="22" t="n"/>
      <c r="I151" s="26">
        <f>G151-H151</f>
        <v/>
      </c>
      <c r="J151" s="21" t="n"/>
      <c r="K151" s="21" t="n"/>
      <c r="L151" s="27">
        <f>SUM(J151:K151)</f>
        <v/>
      </c>
      <c r="M151" s="28" t="n"/>
      <c r="N151" s="28" t="n"/>
      <c r="O151" s="29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1" t="n"/>
      <c r="Q151" s="21" t="n"/>
      <c r="R151" s="27">
        <f>SUM(P151:Q151)</f>
        <v/>
      </c>
      <c r="S151" s="28" t="n"/>
      <c r="T151" s="28" t="n"/>
      <c r="U151" s="29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1" t="n"/>
      <c r="W151" s="21" t="n"/>
      <c r="X151" s="27">
        <f>SUM(V151:W151)</f>
        <v/>
      </c>
      <c r="Y151" s="28" t="n"/>
      <c r="Z151" s="28" t="n"/>
      <c r="AA151" s="29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1" t="n"/>
      <c r="AC151" s="21" t="n"/>
      <c r="AD151" s="27">
        <f>SUM(AB151:AC151)</f>
        <v/>
      </c>
      <c r="AE151" s="28" t="n"/>
      <c r="AF151" s="28" t="n"/>
      <c r="AG151" s="29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1" t="n"/>
      <c r="AI151" s="21" t="n"/>
      <c r="AJ151" s="27">
        <f>SUM(AH151:AI151)</f>
        <v/>
      </c>
      <c r="AK151" s="28" t="n"/>
      <c r="AL151" s="28" t="n"/>
      <c r="AM151" s="29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1" t="n"/>
      <c r="AO151" s="21" t="n"/>
      <c r="AP151" s="27">
        <f>SUM(AN151:AO151)</f>
        <v/>
      </c>
      <c r="AQ151" s="28" t="n"/>
      <c r="AR151" s="30" t="n"/>
      <c r="AS151" s="29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1" t="n"/>
      <c r="AU151" s="21" t="n"/>
      <c r="AV151" s="27">
        <f>SUM(AT151:AU151)</f>
        <v/>
      </c>
      <c r="AW151" s="28" t="n"/>
      <c r="AX151" s="30" t="n"/>
      <c r="AY151" s="29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1" t="n"/>
      <c r="BA151" s="21" t="n"/>
      <c r="BB151" s="27">
        <f>SUM(AZ151:BA151)</f>
        <v/>
      </c>
      <c r="BC151" s="28" t="n"/>
      <c r="BD151" s="28" t="n"/>
      <c r="BE151" s="29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1" t="n"/>
      <c r="BG151" s="21" t="n"/>
      <c r="BH151" s="27">
        <f>SUM(BF151:BG151)</f>
        <v/>
      </c>
      <c r="BI151" s="28" t="n"/>
      <c r="BJ151" s="28" t="n"/>
      <c r="BK151" s="29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1" t="n"/>
      <c r="BM151" s="21" t="n"/>
      <c r="BN151" s="27">
        <f>SUM(BL151:BM151)</f>
        <v/>
      </c>
      <c r="BO151" s="28" t="n"/>
      <c r="BP151" s="31" t="n"/>
      <c r="BQ151" s="29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1" t="n"/>
      <c r="BS151" s="21" t="n"/>
      <c r="BT151" s="27">
        <f>SUM(BR151:BS151)</f>
        <v/>
      </c>
      <c r="BU151" s="28" t="n"/>
      <c r="BV151" s="31" t="n"/>
      <c r="BW151" s="29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1" t="n"/>
      <c r="BY151" s="21" t="n"/>
      <c r="BZ151" s="27">
        <f>SUM(BX151:BY151)</f>
        <v/>
      </c>
      <c r="CA151" s="28" t="n"/>
      <c r="CB151" s="31" t="n"/>
      <c r="CC151" s="29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1" t="n"/>
      <c r="CE151" s="21" t="n"/>
      <c r="CF151" s="27">
        <f>SUM(CD151:CE151)</f>
        <v/>
      </c>
      <c r="CG151" s="28" t="n"/>
      <c r="CH151" s="31" t="n"/>
      <c r="CI151" s="29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1" t="n"/>
      <c r="CK151" s="21" t="n"/>
      <c r="CL151" s="27">
        <f>SUM(CJ151:CK151)</f>
        <v/>
      </c>
      <c r="CM151" s="28" t="n"/>
      <c r="CN151" s="31" t="n"/>
      <c r="CO151" s="29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1" t="n"/>
      <c r="CQ151" s="21" t="n"/>
      <c r="CR151" s="27">
        <f>SUM(CP151:CQ151)</f>
        <v/>
      </c>
      <c r="CS151" s="28" t="n"/>
      <c r="CT151" s="31" t="n"/>
      <c r="CU151" s="29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1" t="n"/>
      <c r="CW151" s="21" t="n"/>
      <c r="CX151" s="27">
        <f>SUM(CV151:CW151)</f>
        <v/>
      </c>
      <c r="CY151" s="28" t="n"/>
      <c r="CZ151" s="31" t="n"/>
      <c r="DA151" s="29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1" t="n"/>
      <c r="DC151" s="21" t="n"/>
      <c r="DD151" s="27">
        <f>SUM(DB151:DC151)</f>
        <v/>
      </c>
      <c r="DE151" s="28" t="n"/>
      <c r="DF151" s="31" t="n"/>
      <c r="DG151" s="29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34">
        <f>SUM(O151,U151,AA151,AG151,AM151,AS151,AY151,BE151,BK151,BQ151,BW151,CC151,CI151,CO151,CU151,DA151,DG151)</f>
        <v/>
      </c>
      <c r="DI151" s="39">
        <f>RANK(DH151,DH$4:DH$503)</f>
        <v/>
      </c>
      <c r="DJ151" s="40" t="inlineStr">
        <is>
          <t>CHOOSE RATING</t>
        </is>
      </c>
      <c r="DK151" s="40" t="inlineStr">
        <is>
          <t>CHOOSE RATING</t>
        </is>
      </c>
      <c r="DL151" s="40" t="inlineStr">
        <is>
          <t>CHOOSE RATING</t>
        </is>
      </c>
      <c r="DM151" s="40" t="inlineStr">
        <is>
          <t>CHOOSE RATING</t>
        </is>
      </c>
      <c r="DN151" s="40" t="inlineStr">
        <is>
          <t>CHOOSE RATING</t>
        </is>
      </c>
      <c r="DO151" s="40" t="inlineStr">
        <is>
          <t>CHOOSE RATING</t>
        </is>
      </c>
      <c r="DP151" s="40" t="inlineStr">
        <is>
          <t>CHOOSE RATING</t>
        </is>
      </c>
      <c r="DQ151" s="40" t="inlineStr">
        <is>
          <t>CHOOSE RATING</t>
        </is>
      </c>
      <c r="DR151" s="43" t="inlineStr">
        <is>
          <t>2024/2025</t>
        </is>
      </c>
      <c r="DS151" s="45" t="inlineStr">
        <is>
          <t>THIRD</t>
        </is>
      </c>
      <c r="DT151" s="40" t="inlineStr">
        <is>
          <t>CHOOSE RATING</t>
        </is>
      </c>
      <c r="DU151" s="40" t="inlineStr">
        <is>
          <t>CHOOSE RATING</t>
        </is>
      </c>
      <c r="DV151" s="40" t="inlineStr">
        <is>
          <t>CHOOSE RATING</t>
        </is>
      </c>
      <c r="DW151" s="40" t="inlineStr">
        <is>
          <t>CHOOSE RATING</t>
        </is>
      </c>
      <c r="DX151" s="40" t="inlineStr">
        <is>
          <t>CHOOSE RATING</t>
        </is>
      </c>
      <c r="DY151" s="40" t="inlineStr">
        <is>
          <t>CHOOSE RATING</t>
        </is>
      </c>
      <c r="DZ151" s="53" t="inlineStr">
        <is>
          <t>CHOOSE RATING</t>
        </is>
      </c>
      <c r="EA151" s="54" t="inlineStr">
        <is>
          <t>Add the Tutor's Comment . . .</t>
        </is>
      </c>
      <c r="EB151" s="55" t="inlineStr">
        <is>
          <t>Choose Principals comment</t>
        </is>
      </c>
      <c r="EC151" s="56" t="n"/>
      <c r="ED151" s="57" t="inlineStr">
        <is>
          <t>Next Term Begins on Monday, 22nd September, 2025</t>
        </is>
      </c>
    </row>
    <row r="152" ht="30.6" customHeight="1" s="6">
      <c r="A152" s="18" t="n">
        <v>149</v>
      </c>
      <c r="B152" s="19" t="n"/>
      <c r="C152" s="20" t="n"/>
      <c r="D152" s="128" t="n"/>
      <c r="E152" s="21" t="n"/>
      <c r="F152" s="22" t="n"/>
      <c r="G152" s="22" t="n"/>
      <c r="H152" s="22" t="n"/>
      <c r="I152" s="26">
        <f>G152-H152</f>
        <v/>
      </c>
      <c r="J152" s="21" t="n"/>
      <c r="K152" s="21" t="n"/>
      <c r="L152" s="27">
        <f>SUM(J152:K152)</f>
        <v/>
      </c>
      <c r="M152" s="28" t="n"/>
      <c r="N152" s="28" t="n"/>
      <c r="O152" s="29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1" t="n"/>
      <c r="Q152" s="21" t="n"/>
      <c r="R152" s="27">
        <f>SUM(P152:Q152)</f>
        <v/>
      </c>
      <c r="S152" s="28" t="n"/>
      <c r="T152" s="28" t="n"/>
      <c r="U152" s="29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1" t="n"/>
      <c r="W152" s="21" t="n"/>
      <c r="X152" s="27">
        <f>SUM(V152:W152)</f>
        <v/>
      </c>
      <c r="Y152" s="28" t="n"/>
      <c r="Z152" s="28" t="n"/>
      <c r="AA152" s="29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1" t="n"/>
      <c r="AC152" s="21" t="n"/>
      <c r="AD152" s="27">
        <f>SUM(AB152:AC152)</f>
        <v/>
      </c>
      <c r="AE152" s="28" t="n"/>
      <c r="AF152" s="28" t="n"/>
      <c r="AG152" s="29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1" t="n"/>
      <c r="AI152" s="21" t="n"/>
      <c r="AJ152" s="27">
        <f>SUM(AH152:AI152)</f>
        <v/>
      </c>
      <c r="AK152" s="28" t="n"/>
      <c r="AL152" s="28" t="n"/>
      <c r="AM152" s="29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1" t="n"/>
      <c r="AO152" s="21" t="n"/>
      <c r="AP152" s="27">
        <f>SUM(AN152:AO152)</f>
        <v/>
      </c>
      <c r="AQ152" s="28" t="n"/>
      <c r="AR152" s="30" t="n"/>
      <c r="AS152" s="29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1" t="n"/>
      <c r="AU152" s="21" t="n"/>
      <c r="AV152" s="27">
        <f>SUM(AT152:AU152)</f>
        <v/>
      </c>
      <c r="AW152" s="28" t="n"/>
      <c r="AX152" s="30" t="n"/>
      <c r="AY152" s="29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1" t="n"/>
      <c r="BA152" s="21" t="n"/>
      <c r="BB152" s="27">
        <f>SUM(AZ152:BA152)</f>
        <v/>
      </c>
      <c r="BC152" s="28" t="n"/>
      <c r="BD152" s="28" t="n"/>
      <c r="BE152" s="29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1" t="n"/>
      <c r="BG152" s="21" t="n"/>
      <c r="BH152" s="27">
        <f>SUM(BF152:BG152)</f>
        <v/>
      </c>
      <c r="BI152" s="28" t="n"/>
      <c r="BJ152" s="28" t="n"/>
      <c r="BK152" s="29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1" t="n"/>
      <c r="BM152" s="21" t="n"/>
      <c r="BN152" s="27">
        <f>SUM(BL152:BM152)</f>
        <v/>
      </c>
      <c r="BO152" s="28" t="n"/>
      <c r="BP152" s="31" t="n"/>
      <c r="BQ152" s="29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1" t="n"/>
      <c r="BS152" s="21" t="n"/>
      <c r="BT152" s="27">
        <f>SUM(BR152:BS152)</f>
        <v/>
      </c>
      <c r="BU152" s="28" t="n"/>
      <c r="BV152" s="31" t="n"/>
      <c r="BW152" s="29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1" t="n"/>
      <c r="BY152" s="21" t="n"/>
      <c r="BZ152" s="27">
        <f>SUM(BX152:BY152)</f>
        <v/>
      </c>
      <c r="CA152" s="28" t="n"/>
      <c r="CB152" s="31" t="n"/>
      <c r="CC152" s="29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1" t="n"/>
      <c r="CE152" s="21" t="n"/>
      <c r="CF152" s="27">
        <f>SUM(CD152:CE152)</f>
        <v/>
      </c>
      <c r="CG152" s="28" t="n"/>
      <c r="CH152" s="31" t="n"/>
      <c r="CI152" s="29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1" t="n"/>
      <c r="CK152" s="21" t="n"/>
      <c r="CL152" s="27">
        <f>SUM(CJ152:CK152)</f>
        <v/>
      </c>
      <c r="CM152" s="28" t="n"/>
      <c r="CN152" s="31" t="n"/>
      <c r="CO152" s="29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1" t="n"/>
      <c r="CQ152" s="21" t="n"/>
      <c r="CR152" s="27">
        <f>SUM(CP152:CQ152)</f>
        <v/>
      </c>
      <c r="CS152" s="28" t="n"/>
      <c r="CT152" s="31" t="n"/>
      <c r="CU152" s="29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1" t="n"/>
      <c r="CW152" s="21" t="n"/>
      <c r="CX152" s="27">
        <f>SUM(CV152:CW152)</f>
        <v/>
      </c>
      <c r="CY152" s="28" t="n"/>
      <c r="CZ152" s="31" t="n"/>
      <c r="DA152" s="29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1" t="n"/>
      <c r="DC152" s="21" t="n"/>
      <c r="DD152" s="27">
        <f>SUM(DB152:DC152)</f>
        <v/>
      </c>
      <c r="DE152" s="28" t="n"/>
      <c r="DF152" s="31" t="n"/>
      <c r="DG152" s="29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34">
        <f>SUM(O152,U152,AA152,AG152,AM152,AS152,AY152,BE152,BK152,BQ152,BW152,CC152,CI152,CO152,CU152,DA152,DG152)</f>
        <v/>
      </c>
      <c r="DI152" s="39">
        <f>RANK(DH152,DH$4:DH$503)</f>
        <v/>
      </c>
      <c r="DJ152" s="40" t="inlineStr">
        <is>
          <t>CHOOSE RATING</t>
        </is>
      </c>
      <c r="DK152" s="40" t="inlineStr">
        <is>
          <t>CHOOSE RATING</t>
        </is>
      </c>
      <c r="DL152" s="40" t="inlineStr">
        <is>
          <t>CHOOSE RATING</t>
        </is>
      </c>
      <c r="DM152" s="40" t="inlineStr">
        <is>
          <t>CHOOSE RATING</t>
        </is>
      </c>
      <c r="DN152" s="40" t="inlineStr">
        <is>
          <t>CHOOSE RATING</t>
        </is>
      </c>
      <c r="DO152" s="40" t="inlineStr">
        <is>
          <t>CHOOSE RATING</t>
        </is>
      </c>
      <c r="DP152" s="40" t="inlineStr">
        <is>
          <t>CHOOSE RATING</t>
        </is>
      </c>
      <c r="DQ152" s="40" t="inlineStr">
        <is>
          <t>CHOOSE RATING</t>
        </is>
      </c>
      <c r="DR152" s="43" t="inlineStr">
        <is>
          <t>2024/2025</t>
        </is>
      </c>
      <c r="DS152" s="45" t="inlineStr">
        <is>
          <t>THIRD</t>
        </is>
      </c>
      <c r="DT152" s="40" t="inlineStr">
        <is>
          <t>CHOOSE RATING</t>
        </is>
      </c>
      <c r="DU152" s="40" t="inlineStr">
        <is>
          <t>CHOOSE RATING</t>
        </is>
      </c>
      <c r="DV152" s="40" t="inlineStr">
        <is>
          <t>CHOOSE RATING</t>
        </is>
      </c>
      <c r="DW152" s="40" t="inlineStr">
        <is>
          <t>CHOOSE RATING</t>
        </is>
      </c>
      <c r="DX152" s="40" t="inlineStr">
        <is>
          <t>CHOOSE RATING</t>
        </is>
      </c>
      <c r="DY152" s="40" t="inlineStr">
        <is>
          <t>CHOOSE RATING</t>
        </is>
      </c>
      <c r="DZ152" s="53" t="inlineStr">
        <is>
          <t>CHOOSE RATING</t>
        </is>
      </c>
      <c r="EA152" s="54" t="inlineStr">
        <is>
          <t>Add the Tutor's Comment . . .</t>
        </is>
      </c>
      <c r="EB152" s="55" t="inlineStr">
        <is>
          <t>Choose Principals comment</t>
        </is>
      </c>
      <c r="EC152" s="56" t="n"/>
      <c r="ED152" s="57" t="inlineStr">
        <is>
          <t>Next Term Begins on Monday, 22nd September, 2025</t>
        </is>
      </c>
    </row>
    <row r="153" ht="30.6" customHeight="1" s="6">
      <c r="A153" s="18" t="n">
        <v>150</v>
      </c>
      <c r="B153" s="19" t="n"/>
      <c r="C153" s="20" t="n"/>
      <c r="D153" s="128" t="n"/>
      <c r="E153" s="21" t="n"/>
      <c r="F153" s="22" t="n"/>
      <c r="G153" s="22" t="n"/>
      <c r="H153" s="22" t="n"/>
      <c r="I153" s="26">
        <f>G153-H153</f>
        <v/>
      </c>
      <c r="J153" s="21" t="n"/>
      <c r="K153" s="21" t="n"/>
      <c r="L153" s="27">
        <f>SUM(J153:K153)</f>
        <v/>
      </c>
      <c r="M153" s="28" t="n"/>
      <c r="N153" s="28" t="n"/>
      <c r="O153" s="29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1" t="n"/>
      <c r="Q153" s="21" t="n"/>
      <c r="R153" s="27">
        <f>SUM(P153:Q153)</f>
        <v/>
      </c>
      <c r="S153" s="28" t="n"/>
      <c r="T153" s="28" t="n"/>
      <c r="U153" s="29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1" t="n"/>
      <c r="W153" s="21" t="n"/>
      <c r="X153" s="27">
        <f>SUM(V153:W153)</f>
        <v/>
      </c>
      <c r="Y153" s="28" t="n"/>
      <c r="Z153" s="28" t="n"/>
      <c r="AA153" s="29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1" t="n"/>
      <c r="AC153" s="21" t="n"/>
      <c r="AD153" s="27">
        <f>SUM(AB153:AC153)</f>
        <v/>
      </c>
      <c r="AE153" s="28" t="n"/>
      <c r="AF153" s="28" t="n"/>
      <c r="AG153" s="29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1" t="n"/>
      <c r="AI153" s="21" t="n"/>
      <c r="AJ153" s="27">
        <f>SUM(AH153:AI153)</f>
        <v/>
      </c>
      <c r="AK153" s="28" t="n"/>
      <c r="AL153" s="28" t="n"/>
      <c r="AM153" s="29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1" t="n"/>
      <c r="AO153" s="21" t="n"/>
      <c r="AP153" s="27">
        <f>SUM(AN153:AO153)</f>
        <v/>
      </c>
      <c r="AQ153" s="28" t="n"/>
      <c r="AR153" s="30" t="n"/>
      <c r="AS153" s="29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1" t="n"/>
      <c r="AU153" s="21" t="n"/>
      <c r="AV153" s="27">
        <f>SUM(AT153:AU153)</f>
        <v/>
      </c>
      <c r="AW153" s="28" t="n"/>
      <c r="AX153" s="30" t="n"/>
      <c r="AY153" s="29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1" t="n"/>
      <c r="BA153" s="21" t="n"/>
      <c r="BB153" s="27">
        <f>SUM(AZ153:BA153)</f>
        <v/>
      </c>
      <c r="BC153" s="28" t="n"/>
      <c r="BD153" s="28" t="n"/>
      <c r="BE153" s="29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1" t="n"/>
      <c r="BG153" s="21" t="n"/>
      <c r="BH153" s="27">
        <f>SUM(BF153:BG153)</f>
        <v/>
      </c>
      <c r="BI153" s="28" t="n"/>
      <c r="BJ153" s="28" t="n"/>
      <c r="BK153" s="29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1" t="n"/>
      <c r="BM153" s="21" t="n"/>
      <c r="BN153" s="27">
        <f>SUM(BL153:BM153)</f>
        <v/>
      </c>
      <c r="BO153" s="28" t="n"/>
      <c r="BP153" s="31" t="n"/>
      <c r="BQ153" s="29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1" t="n"/>
      <c r="BS153" s="21" t="n"/>
      <c r="BT153" s="27">
        <f>SUM(BR153:BS153)</f>
        <v/>
      </c>
      <c r="BU153" s="28" t="n"/>
      <c r="BV153" s="31" t="n"/>
      <c r="BW153" s="29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1" t="n"/>
      <c r="BY153" s="21" t="n"/>
      <c r="BZ153" s="27">
        <f>SUM(BX153:BY153)</f>
        <v/>
      </c>
      <c r="CA153" s="28" t="n"/>
      <c r="CB153" s="31" t="n"/>
      <c r="CC153" s="29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1" t="n"/>
      <c r="CE153" s="21" t="n"/>
      <c r="CF153" s="27">
        <f>SUM(CD153:CE153)</f>
        <v/>
      </c>
      <c r="CG153" s="28" t="n"/>
      <c r="CH153" s="31" t="n"/>
      <c r="CI153" s="29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1" t="n"/>
      <c r="CK153" s="21" t="n"/>
      <c r="CL153" s="27">
        <f>SUM(CJ153:CK153)</f>
        <v/>
      </c>
      <c r="CM153" s="28" t="n"/>
      <c r="CN153" s="31" t="n"/>
      <c r="CO153" s="29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1" t="n"/>
      <c r="CQ153" s="21" t="n"/>
      <c r="CR153" s="27">
        <f>SUM(CP153:CQ153)</f>
        <v/>
      </c>
      <c r="CS153" s="28" t="n"/>
      <c r="CT153" s="31" t="n"/>
      <c r="CU153" s="29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1" t="n"/>
      <c r="CW153" s="21" t="n"/>
      <c r="CX153" s="27">
        <f>SUM(CV153:CW153)</f>
        <v/>
      </c>
      <c r="CY153" s="28" t="n"/>
      <c r="CZ153" s="31" t="n"/>
      <c r="DA153" s="29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1" t="n"/>
      <c r="DC153" s="21" t="n"/>
      <c r="DD153" s="27">
        <f>SUM(DB153:DC153)</f>
        <v/>
      </c>
      <c r="DE153" s="28" t="n"/>
      <c r="DF153" s="31" t="n"/>
      <c r="DG153" s="29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34">
        <f>SUM(O153,U153,AA153,AG153,AM153,AS153,AY153,BE153,BK153,BQ153,BW153,CC153,CI153,CO153,CU153,DA153,DG153)</f>
        <v/>
      </c>
      <c r="DI153" s="39">
        <f>RANK(DH153,DH$4:DH$503)</f>
        <v/>
      </c>
      <c r="DJ153" s="40" t="inlineStr">
        <is>
          <t>CHOOSE RATING</t>
        </is>
      </c>
      <c r="DK153" s="40" t="inlineStr">
        <is>
          <t>CHOOSE RATING</t>
        </is>
      </c>
      <c r="DL153" s="40" t="inlineStr">
        <is>
          <t>CHOOSE RATING</t>
        </is>
      </c>
      <c r="DM153" s="40" t="inlineStr">
        <is>
          <t>CHOOSE RATING</t>
        </is>
      </c>
      <c r="DN153" s="40" t="inlineStr">
        <is>
          <t>CHOOSE RATING</t>
        </is>
      </c>
      <c r="DO153" s="40" t="inlineStr">
        <is>
          <t>CHOOSE RATING</t>
        </is>
      </c>
      <c r="DP153" s="40" t="inlineStr">
        <is>
          <t>CHOOSE RATING</t>
        </is>
      </c>
      <c r="DQ153" s="40" t="inlineStr">
        <is>
          <t>CHOOSE RATING</t>
        </is>
      </c>
      <c r="DR153" s="43" t="inlineStr">
        <is>
          <t>2024/2025</t>
        </is>
      </c>
      <c r="DS153" s="45" t="inlineStr">
        <is>
          <t>THIRD</t>
        </is>
      </c>
      <c r="DT153" s="40" t="inlineStr">
        <is>
          <t>CHOOSE RATING</t>
        </is>
      </c>
      <c r="DU153" s="40" t="inlineStr">
        <is>
          <t>CHOOSE RATING</t>
        </is>
      </c>
      <c r="DV153" s="40" t="inlineStr">
        <is>
          <t>CHOOSE RATING</t>
        </is>
      </c>
      <c r="DW153" s="40" t="inlineStr">
        <is>
          <t>CHOOSE RATING</t>
        </is>
      </c>
      <c r="DX153" s="40" t="inlineStr">
        <is>
          <t>CHOOSE RATING</t>
        </is>
      </c>
      <c r="DY153" s="40" t="inlineStr">
        <is>
          <t>CHOOSE RATING</t>
        </is>
      </c>
      <c r="DZ153" s="53" t="inlineStr">
        <is>
          <t>CHOOSE RATING</t>
        </is>
      </c>
      <c r="EA153" s="54" t="inlineStr">
        <is>
          <t>Add the Tutor's Comment . . .</t>
        </is>
      </c>
      <c r="EB153" s="55" t="inlineStr">
        <is>
          <t>Choose Principals comment</t>
        </is>
      </c>
      <c r="EC153" s="56" t="n"/>
      <c r="ED153" s="57" t="inlineStr">
        <is>
          <t>Next Term Begins on Monday, 22nd September, 2025</t>
        </is>
      </c>
    </row>
    <row r="154" ht="30.6" customHeight="1" s="6">
      <c r="A154" s="18" t="n">
        <v>151</v>
      </c>
      <c r="B154" s="19" t="n"/>
      <c r="C154" s="20" t="n"/>
      <c r="D154" s="128" t="n"/>
      <c r="E154" s="21" t="n"/>
      <c r="F154" s="22" t="n"/>
      <c r="G154" s="22" t="n"/>
      <c r="H154" s="22" t="n"/>
      <c r="I154" s="26">
        <f>G154-H154</f>
        <v/>
      </c>
      <c r="J154" s="21" t="n"/>
      <c r="K154" s="21" t="n"/>
      <c r="L154" s="27">
        <f>SUM(J154:K154)</f>
        <v/>
      </c>
      <c r="M154" s="28" t="n"/>
      <c r="N154" s="28" t="n"/>
      <c r="O154" s="29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1" t="n"/>
      <c r="Q154" s="21" t="n"/>
      <c r="R154" s="27">
        <f>SUM(P154:Q154)</f>
        <v/>
      </c>
      <c r="S154" s="28" t="n"/>
      <c r="T154" s="28" t="n"/>
      <c r="U154" s="29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1" t="n"/>
      <c r="W154" s="21" t="n"/>
      <c r="X154" s="27">
        <f>SUM(V154:W154)</f>
        <v/>
      </c>
      <c r="Y154" s="28" t="n"/>
      <c r="Z154" s="28" t="n"/>
      <c r="AA154" s="29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1" t="n"/>
      <c r="AC154" s="21" t="n"/>
      <c r="AD154" s="27">
        <f>SUM(AB154:AC154)</f>
        <v/>
      </c>
      <c r="AE154" s="28" t="n"/>
      <c r="AF154" s="28" t="n"/>
      <c r="AG154" s="29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1" t="n"/>
      <c r="AI154" s="21" t="n"/>
      <c r="AJ154" s="27">
        <f>SUM(AH154:AI154)</f>
        <v/>
      </c>
      <c r="AK154" s="28" t="n"/>
      <c r="AL154" s="28" t="n"/>
      <c r="AM154" s="29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1" t="n"/>
      <c r="AO154" s="21" t="n"/>
      <c r="AP154" s="27">
        <f>SUM(AN154:AO154)</f>
        <v/>
      </c>
      <c r="AQ154" s="28" t="n"/>
      <c r="AR154" s="30" t="n"/>
      <c r="AS154" s="29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1" t="n"/>
      <c r="AU154" s="21" t="n"/>
      <c r="AV154" s="27">
        <f>SUM(AT154:AU154)</f>
        <v/>
      </c>
      <c r="AW154" s="28" t="n"/>
      <c r="AX154" s="30" t="n"/>
      <c r="AY154" s="29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1" t="n"/>
      <c r="BA154" s="21" t="n"/>
      <c r="BB154" s="27">
        <f>SUM(AZ154:BA154)</f>
        <v/>
      </c>
      <c r="BC154" s="28" t="n"/>
      <c r="BD154" s="28" t="n"/>
      <c r="BE154" s="29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1" t="n"/>
      <c r="BG154" s="21" t="n"/>
      <c r="BH154" s="27">
        <f>SUM(BF154:BG154)</f>
        <v/>
      </c>
      <c r="BI154" s="28" t="n"/>
      <c r="BJ154" s="28" t="n"/>
      <c r="BK154" s="29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1" t="n"/>
      <c r="BM154" s="21" t="n"/>
      <c r="BN154" s="27">
        <f>SUM(BL154:BM154)</f>
        <v/>
      </c>
      <c r="BO154" s="28" t="n"/>
      <c r="BP154" s="31" t="n"/>
      <c r="BQ154" s="29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1" t="n"/>
      <c r="BS154" s="21" t="n"/>
      <c r="BT154" s="27">
        <f>SUM(BR154:BS154)</f>
        <v/>
      </c>
      <c r="BU154" s="28" t="n"/>
      <c r="BV154" s="31" t="n"/>
      <c r="BW154" s="29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1" t="n"/>
      <c r="BY154" s="21" t="n"/>
      <c r="BZ154" s="27">
        <f>SUM(BX154:BY154)</f>
        <v/>
      </c>
      <c r="CA154" s="28" t="n"/>
      <c r="CB154" s="31" t="n"/>
      <c r="CC154" s="29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1" t="n"/>
      <c r="CE154" s="21" t="n"/>
      <c r="CF154" s="27">
        <f>SUM(CD154:CE154)</f>
        <v/>
      </c>
      <c r="CG154" s="28" t="n"/>
      <c r="CH154" s="31" t="n"/>
      <c r="CI154" s="29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1" t="n"/>
      <c r="CK154" s="21" t="n"/>
      <c r="CL154" s="27">
        <f>SUM(CJ154:CK154)</f>
        <v/>
      </c>
      <c r="CM154" s="28" t="n"/>
      <c r="CN154" s="31" t="n"/>
      <c r="CO154" s="29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1" t="n"/>
      <c r="CQ154" s="21" t="n"/>
      <c r="CR154" s="27">
        <f>SUM(CP154:CQ154)</f>
        <v/>
      </c>
      <c r="CS154" s="28" t="n"/>
      <c r="CT154" s="31" t="n"/>
      <c r="CU154" s="29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1" t="n"/>
      <c r="CW154" s="21" t="n"/>
      <c r="CX154" s="27">
        <f>SUM(CV154:CW154)</f>
        <v/>
      </c>
      <c r="CY154" s="28" t="n"/>
      <c r="CZ154" s="31" t="n"/>
      <c r="DA154" s="29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1" t="n"/>
      <c r="DC154" s="21" t="n"/>
      <c r="DD154" s="27">
        <f>SUM(DB154:DC154)</f>
        <v/>
      </c>
      <c r="DE154" s="28" t="n"/>
      <c r="DF154" s="31" t="n"/>
      <c r="DG154" s="29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34">
        <f>SUM(O154,U154,AA154,AG154,AM154,AS154,AY154,BE154,BK154,BQ154,BW154,CC154,CI154,CO154,CU154,DA154,DG154)</f>
        <v/>
      </c>
      <c r="DI154" s="39">
        <f>RANK(DH154,DH$4:DH$503)</f>
        <v/>
      </c>
      <c r="DJ154" s="40" t="inlineStr">
        <is>
          <t>CHOOSE RATING</t>
        </is>
      </c>
      <c r="DK154" s="40" t="inlineStr">
        <is>
          <t>CHOOSE RATING</t>
        </is>
      </c>
      <c r="DL154" s="40" t="inlineStr">
        <is>
          <t>CHOOSE RATING</t>
        </is>
      </c>
      <c r="DM154" s="40" t="inlineStr">
        <is>
          <t>CHOOSE RATING</t>
        </is>
      </c>
      <c r="DN154" s="40" t="inlineStr">
        <is>
          <t>CHOOSE RATING</t>
        </is>
      </c>
      <c r="DO154" s="40" t="inlineStr">
        <is>
          <t>CHOOSE RATING</t>
        </is>
      </c>
      <c r="DP154" s="40" t="inlineStr">
        <is>
          <t>CHOOSE RATING</t>
        </is>
      </c>
      <c r="DQ154" s="40" t="inlineStr">
        <is>
          <t>CHOOSE RATING</t>
        </is>
      </c>
      <c r="DR154" s="43" t="inlineStr">
        <is>
          <t>2024/2025</t>
        </is>
      </c>
      <c r="DS154" s="45" t="inlineStr">
        <is>
          <t>THIRD</t>
        </is>
      </c>
      <c r="DT154" s="40" t="inlineStr">
        <is>
          <t>CHOOSE RATING</t>
        </is>
      </c>
      <c r="DU154" s="40" t="inlineStr">
        <is>
          <t>CHOOSE RATING</t>
        </is>
      </c>
      <c r="DV154" s="40" t="inlineStr">
        <is>
          <t>CHOOSE RATING</t>
        </is>
      </c>
      <c r="DW154" s="40" t="inlineStr">
        <is>
          <t>CHOOSE RATING</t>
        </is>
      </c>
      <c r="DX154" s="40" t="inlineStr">
        <is>
          <t>CHOOSE RATING</t>
        </is>
      </c>
      <c r="DY154" s="40" t="inlineStr">
        <is>
          <t>CHOOSE RATING</t>
        </is>
      </c>
      <c r="DZ154" s="53" t="inlineStr">
        <is>
          <t>CHOOSE RATING</t>
        </is>
      </c>
      <c r="EA154" s="54" t="inlineStr">
        <is>
          <t>Add the Tutor's Comment . . .</t>
        </is>
      </c>
      <c r="EB154" s="55" t="inlineStr">
        <is>
          <t>Choose Principals comment</t>
        </is>
      </c>
      <c r="EC154" s="56" t="n"/>
      <c r="ED154" s="57" t="inlineStr">
        <is>
          <t>Next Term Begins on Monday, 22nd September, 2025</t>
        </is>
      </c>
    </row>
    <row r="155" ht="30.6" customHeight="1" s="6">
      <c r="A155" s="18" t="n">
        <v>152</v>
      </c>
      <c r="B155" s="19" t="n"/>
      <c r="C155" s="20" t="n"/>
      <c r="D155" s="128" t="n"/>
      <c r="E155" s="21" t="n"/>
      <c r="F155" s="22" t="n"/>
      <c r="G155" s="22" t="n"/>
      <c r="H155" s="22" t="n"/>
      <c r="I155" s="26">
        <f>G155-H155</f>
        <v/>
      </c>
      <c r="J155" s="21" t="n"/>
      <c r="K155" s="21" t="n"/>
      <c r="L155" s="27">
        <f>SUM(J155:K155)</f>
        <v/>
      </c>
      <c r="M155" s="28" t="n"/>
      <c r="N155" s="28" t="n"/>
      <c r="O155" s="29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1" t="n"/>
      <c r="Q155" s="21" t="n"/>
      <c r="R155" s="27">
        <f>SUM(P155:Q155)</f>
        <v/>
      </c>
      <c r="S155" s="28" t="n"/>
      <c r="T155" s="28" t="n"/>
      <c r="U155" s="29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1" t="n"/>
      <c r="W155" s="21" t="n"/>
      <c r="X155" s="27">
        <f>SUM(V155:W155)</f>
        <v/>
      </c>
      <c r="Y155" s="28" t="n"/>
      <c r="Z155" s="28" t="n"/>
      <c r="AA155" s="29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1" t="n"/>
      <c r="AC155" s="21" t="n"/>
      <c r="AD155" s="27">
        <f>SUM(AB155:AC155)</f>
        <v/>
      </c>
      <c r="AE155" s="28" t="n"/>
      <c r="AF155" s="28" t="n"/>
      <c r="AG155" s="29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1" t="n"/>
      <c r="AI155" s="21" t="n"/>
      <c r="AJ155" s="27">
        <f>SUM(AH155:AI155)</f>
        <v/>
      </c>
      <c r="AK155" s="28" t="n"/>
      <c r="AL155" s="28" t="n"/>
      <c r="AM155" s="29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1" t="n"/>
      <c r="AO155" s="21" t="n"/>
      <c r="AP155" s="27">
        <f>SUM(AN155:AO155)</f>
        <v/>
      </c>
      <c r="AQ155" s="28" t="n"/>
      <c r="AR155" s="30" t="n"/>
      <c r="AS155" s="29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1" t="n"/>
      <c r="AU155" s="21" t="n"/>
      <c r="AV155" s="27">
        <f>SUM(AT155:AU155)</f>
        <v/>
      </c>
      <c r="AW155" s="28" t="n"/>
      <c r="AX155" s="30" t="n"/>
      <c r="AY155" s="29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1" t="n"/>
      <c r="BA155" s="21" t="n"/>
      <c r="BB155" s="27">
        <f>SUM(AZ155:BA155)</f>
        <v/>
      </c>
      <c r="BC155" s="28" t="n"/>
      <c r="BD155" s="28" t="n"/>
      <c r="BE155" s="29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1" t="n"/>
      <c r="BG155" s="21" t="n"/>
      <c r="BH155" s="27">
        <f>SUM(BF155:BG155)</f>
        <v/>
      </c>
      <c r="BI155" s="28" t="n"/>
      <c r="BJ155" s="28" t="n"/>
      <c r="BK155" s="29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1" t="n"/>
      <c r="BM155" s="21" t="n"/>
      <c r="BN155" s="27">
        <f>SUM(BL155:BM155)</f>
        <v/>
      </c>
      <c r="BO155" s="28" t="n"/>
      <c r="BP155" s="31" t="n"/>
      <c r="BQ155" s="29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1" t="n"/>
      <c r="BS155" s="21" t="n"/>
      <c r="BT155" s="27">
        <f>SUM(BR155:BS155)</f>
        <v/>
      </c>
      <c r="BU155" s="28" t="n"/>
      <c r="BV155" s="31" t="n"/>
      <c r="BW155" s="29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1" t="n"/>
      <c r="BY155" s="21" t="n"/>
      <c r="BZ155" s="27">
        <f>SUM(BX155:BY155)</f>
        <v/>
      </c>
      <c r="CA155" s="28" t="n"/>
      <c r="CB155" s="31" t="n"/>
      <c r="CC155" s="29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1" t="n"/>
      <c r="CE155" s="21" t="n"/>
      <c r="CF155" s="27">
        <f>SUM(CD155:CE155)</f>
        <v/>
      </c>
      <c r="CG155" s="28" t="n"/>
      <c r="CH155" s="31" t="n"/>
      <c r="CI155" s="29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1" t="n"/>
      <c r="CK155" s="21" t="n"/>
      <c r="CL155" s="27">
        <f>SUM(CJ155:CK155)</f>
        <v/>
      </c>
      <c r="CM155" s="28" t="n"/>
      <c r="CN155" s="31" t="n"/>
      <c r="CO155" s="29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1" t="n"/>
      <c r="CQ155" s="21" t="n"/>
      <c r="CR155" s="27">
        <f>SUM(CP155:CQ155)</f>
        <v/>
      </c>
      <c r="CS155" s="28" t="n"/>
      <c r="CT155" s="31" t="n"/>
      <c r="CU155" s="29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1" t="n"/>
      <c r="CW155" s="21" t="n"/>
      <c r="CX155" s="27">
        <f>SUM(CV155:CW155)</f>
        <v/>
      </c>
      <c r="CY155" s="28" t="n"/>
      <c r="CZ155" s="31" t="n"/>
      <c r="DA155" s="29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1" t="n"/>
      <c r="DC155" s="21" t="n"/>
      <c r="DD155" s="27">
        <f>SUM(DB155:DC155)</f>
        <v/>
      </c>
      <c r="DE155" s="28" t="n"/>
      <c r="DF155" s="31" t="n"/>
      <c r="DG155" s="29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34">
        <f>SUM(O155,U155,AA155,AG155,AM155,AS155,AY155,BE155,BK155,BQ155,BW155,CC155,CI155,CO155,CU155,DA155,DG155)</f>
        <v/>
      </c>
      <c r="DI155" s="39">
        <f>RANK(DH155,DH$4:DH$503)</f>
        <v/>
      </c>
      <c r="DJ155" s="40" t="inlineStr">
        <is>
          <t>CHOOSE RATING</t>
        </is>
      </c>
      <c r="DK155" s="40" t="inlineStr">
        <is>
          <t>CHOOSE RATING</t>
        </is>
      </c>
      <c r="DL155" s="40" t="inlineStr">
        <is>
          <t>CHOOSE RATING</t>
        </is>
      </c>
      <c r="DM155" s="40" t="inlineStr">
        <is>
          <t>CHOOSE RATING</t>
        </is>
      </c>
      <c r="DN155" s="40" t="inlineStr">
        <is>
          <t>CHOOSE RATING</t>
        </is>
      </c>
      <c r="DO155" s="40" t="inlineStr">
        <is>
          <t>CHOOSE RATING</t>
        </is>
      </c>
      <c r="DP155" s="40" t="inlineStr">
        <is>
          <t>CHOOSE RATING</t>
        </is>
      </c>
      <c r="DQ155" s="40" t="inlineStr">
        <is>
          <t>CHOOSE RATING</t>
        </is>
      </c>
      <c r="DR155" s="43" t="inlineStr">
        <is>
          <t>2024/2025</t>
        </is>
      </c>
      <c r="DS155" s="45" t="inlineStr">
        <is>
          <t>THIRD</t>
        </is>
      </c>
      <c r="DT155" s="40" t="inlineStr">
        <is>
          <t>CHOOSE RATING</t>
        </is>
      </c>
      <c r="DU155" s="40" t="inlineStr">
        <is>
          <t>CHOOSE RATING</t>
        </is>
      </c>
      <c r="DV155" s="40" t="inlineStr">
        <is>
          <t>CHOOSE RATING</t>
        </is>
      </c>
      <c r="DW155" s="40" t="inlineStr">
        <is>
          <t>CHOOSE RATING</t>
        </is>
      </c>
      <c r="DX155" s="40" t="inlineStr">
        <is>
          <t>CHOOSE RATING</t>
        </is>
      </c>
      <c r="DY155" s="40" t="inlineStr">
        <is>
          <t>CHOOSE RATING</t>
        </is>
      </c>
      <c r="DZ155" s="53" t="inlineStr">
        <is>
          <t>CHOOSE RATING</t>
        </is>
      </c>
      <c r="EA155" s="54" t="inlineStr">
        <is>
          <t>Add the Tutor's Comment . . .</t>
        </is>
      </c>
      <c r="EB155" s="55" t="inlineStr">
        <is>
          <t>Choose Principals comment</t>
        </is>
      </c>
      <c r="EC155" s="56" t="n"/>
      <c r="ED155" s="57" t="inlineStr">
        <is>
          <t>Next Term Begins on Monday, 22nd September, 2025</t>
        </is>
      </c>
    </row>
    <row r="156" ht="30.6" customHeight="1" s="6">
      <c r="A156" s="18" t="n">
        <v>153</v>
      </c>
      <c r="B156" s="19" t="n"/>
      <c r="C156" s="20" t="n"/>
      <c r="D156" s="128" t="n"/>
      <c r="E156" s="21" t="n"/>
      <c r="F156" s="22" t="n"/>
      <c r="G156" s="22" t="n"/>
      <c r="H156" s="22" t="n"/>
      <c r="I156" s="26">
        <f>G156-H156</f>
        <v/>
      </c>
      <c r="J156" s="21" t="n"/>
      <c r="K156" s="21" t="n"/>
      <c r="L156" s="27">
        <f>SUM(J156:K156)</f>
        <v/>
      </c>
      <c r="M156" s="28" t="n"/>
      <c r="N156" s="28" t="n"/>
      <c r="O156" s="29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1" t="n"/>
      <c r="Q156" s="21" t="n"/>
      <c r="R156" s="27">
        <f>SUM(P156:Q156)</f>
        <v/>
      </c>
      <c r="S156" s="28" t="n"/>
      <c r="T156" s="28" t="n"/>
      <c r="U156" s="29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1" t="n"/>
      <c r="W156" s="21" t="n"/>
      <c r="X156" s="27">
        <f>SUM(V156:W156)</f>
        <v/>
      </c>
      <c r="Y156" s="28" t="n"/>
      <c r="Z156" s="28" t="n"/>
      <c r="AA156" s="29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1" t="n"/>
      <c r="AC156" s="21" t="n"/>
      <c r="AD156" s="27">
        <f>SUM(AB156:AC156)</f>
        <v/>
      </c>
      <c r="AE156" s="28" t="n"/>
      <c r="AF156" s="28" t="n"/>
      <c r="AG156" s="29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1" t="n"/>
      <c r="AI156" s="21" t="n"/>
      <c r="AJ156" s="27">
        <f>SUM(AH156:AI156)</f>
        <v/>
      </c>
      <c r="AK156" s="28" t="n"/>
      <c r="AL156" s="28" t="n"/>
      <c r="AM156" s="29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1" t="n"/>
      <c r="AO156" s="21" t="n"/>
      <c r="AP156" s="27">
        <f>SUM(AN156:AO156)</f>
        <v/>
      </c>
      <c r="AQ156" s="28" t="n"/>
      <c r="AR156" s="30" t="n"/>
      <c r="AS156" s="29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1" t="n"/>
      <c r="AU156" s="21" t="n"/>
      <c r="AV156" s="27">
        <f>SUM(AT156:AU156)</f>
        <v/>
      </c>
      <c r="AW156" s="28" t="n"/>
      <c r="AX156" s="30" t="n"/>
      <c r="AY156" s="29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1" t="n"/>
      <c r="BA156" s="21" t="n"/>
      <c r="BB156" s="27">
        <f>SUM(AZ156:BA156)</f>
        <v/>
      </c>
      <c r="BC156" s="28" t="n"/>
      <c r="BD156" s="28" t="n"/>
      <c r="BE156" s="29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1" t="n"/>
      <c r="BG156" s="21" t="n"/>
      <c r="BH156" s="27">
        <f>SUM(BF156:BG156)</f>
        <v/>
      </c>
      <c r="BI156" s="28" t="n"/>
      <c r="BJ156" s="28" t="n"/>
      <c r="BK156" s="29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1" t="n"/>
      <c r="BM156" s="21" t="n"/>
      <c r="BN156" s="27">
        <f>SUM(BL156:BM156)</f>
        <v/>
      </c>
      <c r="BO156" s="28" t="n"/>
      <c r="BP156" s="31" t="n"/>
      <c r="BQ156" s="29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1" t="n"/>
      <c r="BS156" s="21" t="n"/>
      <c r="BT156" s="27">
        <f>SUM(BR156:BS156)</f>
        <v/>
      </c>
      <c r="BU156" s="28" t="n"/>
      <c r="BV156" s="31" t="n"/>
      <c r="BW156" s="29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1" t="n"/>
      <c r="BY156" s="21" t="n"/>
      <c r="BZ156" s="27">
        <f>SUM(BX156:BY156)</f>
        <v/>
      </c>
      <c r="CA156" s="28" t="n"/>
      <c r="CB156" s="31" t="n"/>
      <c r="CC156" s="29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1" t="n"/>
      <c r="CE156" s="21" t="n"/>
      <c r="CF156" s="27">
        <f>SUM(CD156:CE156)</f>
        <v/>
      </c>
      <c r="CG156" s="28" t="n"/>
      <c r="CH156" s="31" t="n"/>
      <c r="CI156" s="29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1" t="n"/>
      <c r="CK156" s="21" t="n"/>
      <c r="CL156" s="27">
        <f>SUM(CJ156:CK156)</f>
        <v/>
      </c>
      <c r="CM156" s="28" t="n"/>
      <c r="CN156" s="31" t="n"/>
      <c r="CO156" s="29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1" t="n"/>
      <c r="CQ156" s="21" t="n"/>
      <c r="CR156" s="27">
        <f>SUM(CP156:CQ156)</f>
        <v/>
      </c>
      <c r="CS156" s="28" t="n"/>
      <c r="CT156" s="31" t="n"/>
      <c r="CU156" s="29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1" t="n"/>
      <c r="CW156" s="21" t="n"/>
      <c r="CX156" s="27">
        <f>SUM(CV156:CW156)</f>
        <v/>
      </c>
      <c r="CY156" s="28" t="n"/>
      <c r="CZ156" s="31" t="n"/>
      <c r="DA156" s="29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1" t="n"/>
      <c r="DC156" s="21" t="n"/>
      <c r="DD156" s="27">
        <f>SUM(DB156:DC156)</f>
        <v/>
      </c>
      <c r="DE156" s="28" t="n"/>
      <c r="DF156" s="31" t="n"/>
      <c r="DG156" s="29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34">
        <f>SUM(O156,U156,AA156,AG156,AM156,AS156,AY156,BE156,BK156,BQ156,BW156,CC156,CI156,CO156,CU156,DA156,DG156)</f>
        <v/>
      </c>
      <c r="DI156" s="39">
        <f>RANK(DH156,DH$4:DH$503)</f>
        <v/>
      </c>
      <c r="DJ156" s="40" t="inlineStr">
        <is>
          <t>CHOOSE RATING</t>
        </is>
      </c>
      <c r="DK156" s="40" t="inlineStr">
        <is>
          <t>CHOOSE RATING</t>
        </is>
      </c>
      <c r="DL156" s="40" t="inlineStr">
        <is>
          <t>CHOOSE RATING</t>
        </is>
      </c>
      <c r="DM156" s="40" t="inlineStr">
        <is>
          <t>CHOOSE RATING</t>
        </is>
      </c>
      <c r="DN156" s="40" t="inlineStr">
        <is>
          <t>CHOOSE RATING</t>
        </is>
      </c>
      <c r="DO156" s="40" t="inlineStr">
        <is>
          <t>CHOOSE RATING</t>
        </is>
      </c>
      <c r="DP156" s="40" t="inlineStr">
        <is>
          <t>CHOOSE RATING</t>
        </is>
      </c>
      <c r="DQ156" s="40" t="inlineStr">
        <is>
          <t>CHOOSE RATING</t>
        </is>
      </c>
      <c r="DR156" s="43" t="inlineStr">
        <is>
          <t>2024/2025</t>
        </is>
      </c>
      <c r="DS156" s="45" t="inlineStr">
        <is>
          <t>THIRD</t>
        </is>
      </c>
      <c r="DT156" s="40" t="inlineStr">
        <is>
          <t>CHOOSE RATING</t>
        </is>
      </c>
      <c r="DU156" s="40" t="inlineStr">
        <is>
          <t>CHOOSE RATING</t>
        </is>
      </c>
      <c r="DV156" s="40" t="inlineStr">
        <is>
          <t>CHOOSE RATING</t>
        </is>
      </c>
      <c r="DW156" s="40" t="inlineStr">
        <is>
          <t>CHOOSE RATING</t>
        </is>
      </c>
      <c r="DX156" s="40" t="inlineStr">
        <is>
          <t>CHOOSE RATING</t>
        </is>
      </c>
      <c r="DY156" s="40" t="inlineStr">
        <is>
          <t>CHOOSE RATING</t>
        </is>
      </c>
      <c r="DZ156" s="53" t="inlineStr">
        <is>
          <t>CHOOSE RATING</t>
        </is>
      </c>
      <c r="EA156" s="54" t="inlineStr">
        <is>
          <t>Add the Tutor's Comment . . .</t>
        </is>
      </c>
      <c r="EB156" s="55" t="inlineStr">
        <is>
          <t>Choose Principals comment</t>
        </is>
      </c>
      <c r="EC156" s="56" t="n"/>
      <c r="ED156" s="57" t="inlineStr">
        <is>
          <t>Next Term Begins on Monday, 22nd September, 2025</t>
        </is>
      </c>
    </row>
    <row r="157" ht="30.6" customHeight="1" s="6">
      <c r="A157" s="18" t="n">
        <v>154</v>
      </c>
      <c r="B157" s="19" t="n"/>
      <c r="C157" s="20" t="n"/>
      <c r="D157" s="128" t="n"/>
      <c r="E157" s="21" t="n"/>
      <c r="F157" s="22" t="n"/>
      <c r="G157" s="22" t="n"/>
      <c r="H157" s="22" t="n"/>
      <c r="I157" s="26">
        <f>G157-H157</f>
        <v/>
      </c>
      <c r="J157" s="21" t="n"/>
      <c r="K157" s="21" t="n"/>
      <c r="L157" s="27">
        <f>SUM(J157:K157)</f>
        <v/>
      </c>
      <c r="M157" s="28" t="n"/>
      <c r="N157" s="28" t="n"/>
      <c r="O157" s="29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1" t="n"/>
      <c r="Q157" s="21" t="n"/>
      <c r="R157" s="27">
        <f>SUM(P157:Q157)</f>
        <v/>
      </c>
      <c r="S157" s="28" t="n"/>
      <c r="T157" s="28" t="n"/>
      <c r="U157" s="29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1" t="n"/>
      <c r="W157" s="21" t="n"/>
      <c r="X157" s="27">
        <f>SUM(V157:W157)</f>
        <v/>
      </c>
      <c r="Y157" s="28" t="n"/>
      <c r="Z157" s="28" t="n"/>
      <c r="AA157" s="29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1" t="n"/>
      <c r="AC157" s="21" t="n"/>
      <c r="AD157" s="27">
        <f>SUM(AB157:AC157)</f>
        <v/>
      </c>
      <c r="AE157" s="28" t="n"/>
      <c r="AF157" s="28" t="n"/>
      <c r="AG157" s="29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1" t="n"/>
      <c r="AI157" s="21" t="n"/>
      <c r="AJ157" s="27">
        <f>SUM(AH157:AI157)</f>
        <v/>
      </c>
      <c r="AK157" s="28" t="n"/>
      <c r="AL157" s="28" t="n"/>
      <c r="AM157" s="29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1" t="n"/>
      <c r="AO157" s="21" t="n"/>
      <c r="AP157" s="27">
        <f>SUM(AN157:AO157)</f>
        <v/>
      </c>
      <c r="AQ157" s="28" t="n"/>
      <c r="AR157" s="30" t="n"/>
      <c r="AS157" s="29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1" t="n"/>
      <c r="AU157" s="21" t="n"/>
      <c r="AV157" s="27">
        <f>SUM(AT157:AU157)</f>
        <v/>
      </c>
      <c r="AW157" s="28" t="n"/>
      <c r="AX157" s="30" t="n"/>
      <c r="AY157" s="29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1" t="n"/>
      <c r="BA157" s="21" t="n"/>
      <c r="BB157" s="27">
        <f>SUM(AZ157:BA157)</f>
        <v/>
      </c>
      <c r="BC157" s="28" t="n"/>
      <c r="BD157" s="28" t="n"/>
      <c r="BE157" s="29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1" t="n"/>
      <c r="BG157" s="21" t="n"/>
      <c r="BH157" s="27">
        <f>SUM(BF157:BG157)</f>
        <v/>
      </c>
      <c r="BI157" s="28" t="n"/>
      <c r="BJ157" s="28" t="n"/>
      <c r="BK157" s="29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1" t="n"/>
      <c r="BM157" s="21" t="n"/>
      <c r="BN157" s="27">
        <f>SUM(BL157:BM157)</f>
        <v/>
      </c>
      <c r="BO157" s="28" t="n"/>
      <c r="BP157" s="31" t="n"/>
      <c r="BQ157" s="29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1" t="n"/>
      <c r="BS157" s="21" t="n"/>
      <c r="BT157" s="27">
        <f>SUM(BR157:BS157)</f>
        <v/>
      </c>
      <c r="BU157" s="28" t="n"/>
      <c r="BV157" s="31" t="n"/>
      <c r="BW157" s="29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1" t="n"/>
      <c r="BY157" s="21" t="n"/>
      <c r="BZ157" s="27">
        <f>SUM(BX157:BY157)</f>
        <v/>
      </c>
      <c r="CA157" s="28" t="n"/>
      <c r="CB157" s="31" t="n"/>
      <c r="CC157" s="29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1" t="n"/>
      <c r="CE157" s="21" t="n"/>
      <c r="CF157" s="27">
        <f>SUM(CD157:CE157)</f>
        <v/>
      </c>
      <c r="CG157" s="28" t="n"/>
      <c r="CH157" s="31" t="n"/>
      <c r="CI157" s="29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1" t="n"/>
      <c r="CK157" s="21" t="n"/>
      <c r="CL157" s="27">
        <f>SUM(CJ157:CK157)</f>
        <v/>
      </c>
      <c r="CM157" s="28" t="n"/>
      <c r="CN157" s="31" t="n"/>
      <c r="CO157" s="29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1" t="n"/>
      <c r="CQ157" s="21" t="n"/>
      <c r="CR157" s="27">
        <f>SUM(CP157:CQ157)</f>
        <v/>
      </c>
      <c r="CS157" s="28" t="n"/>
      <c r="CT157" s="31" t="n"/>
      <c r="CU157" s="29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1" t="n"/>
      <c r="CW157" s="21" t="n"/>
      <c r="CX157" s="27">
        <f>SUM(CV157:CW157)</f>
        <v/>
      </c>
      <c r="CY157" s="28" t="n"/>
      <c r="CZ157" s="31" t="n"/>
      <c r="DA157" s="29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1" t="n"/>
      <c r="DC157" s="21" t="n"/>
      <c r="DD157" s="27">
        <f>SUM(DB157:DC157)</f>
        <v/>
      </c>
      <c r="DE157" s="28" t="n"/>
      <c r="DF157" s="31" t="n"/>
      <c r="DG157" s="29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34">
        <f>SUM(O157,U157,AA157,AG157,AM157,AS157,AY157,BE157,BK157,BQ157,BW157,CC157,CI157,CO157,CU157,DA157,DG157)</f>
        <v/>
      </c>
      <c r="DI157" s="39">
        <f>RANK(DH157,DH$4:DH$503)</f>
        <v/>
      </c>
      <c r="DJ157" s="40" t="inlineStr">
        <is>
          <t>CHOOSE RATING</t>
        </is>
      </c>
      <c r="DK157" s="40" t="inlineStr">
        <is>
          <t>CHOOSE RATING</t>
        </is>
      </c>
      <c r="DL157" s="40" t="inlineStr">
        <is>
          <t>CHOOSE RATING</t>
        </is>
      </c>
      <c r="DM157" s="40" t="inlineStr">
        <is>
          <t>CHOOSE RATING</t>
        </is>
      </c>
      <c r="DN157" s="40" t="inlineStr">
        <is>
          <t>CHOOSE RATING</t>
        </is>
      </c>
      <c r="DO157" s="40" t="inlineStr">
        <is>
          <t>CHOOSE RATING</t>
        </is>
      </c>
      <c r="DP157" s="40" t="inlineStr">
        <is>
          <t>CHOOSE RATING</t>
        </is>
      </c>
      <c r="DQ157" s="40" t="inlineStr">
        <is>
          <t>CHOOSE RATING</t>
        </is>
      </c>
      <c r="DR157" s="43" t="inlineStr">
        <is>
          <t>2024/2025</t>
        </is>
      </c>
      <c r="DS157" s="45" t="inlineStr">
        <is>
          <t>THIRD</t>
        </is>
      </c>
      <c r="DT157" s="40" t="inlineStr">
        <is>
          <t>CHOOSE RATING</t>
        </is>
      </c>
      <c r="DU157" s="40" t="inlineStr">
        <is>
          <t>CHOOSE RATING</t>
        </is>
      </c>
      <c r="DV157" s="40" t="inlineStr">
        <is>
          <t>CHOOSE RATING</t>
        </is>
      </c>
      <c r="DW157" s="40" t="inlineStr">
        <is>
          <t>CHOOSE RATING</t>
        </is>
      </c>
      <c r="DX157" s="40" t="inlineStr">
        <is>
          <t>CHOOSE RATING</t>
        </is>
      </c>
      <c r="DY157" s="40" t="inlineStr">
        <is>
          <t>CHOOSE RATING</t>
        </is>
      </c>
      <c r="DZ157" s="53" t="inlineStr">
        <is>
          <t>CHOOSE RATING</t>
        </is>
      </c>
      <c r="EA157" s="54" t="inlineStr">
        <is>
          <t>Add the Tutor's Comment . . .</t>
        </is>
      </c>
      <c r="EB157" s="55" t="inlineStr">
        <is>
          <t>Choose Principals comment</t>
        </is>
      </c>
      <c r="EC157" s="56" t="n"/>
      <c r="ED157" s="57" t="inlineStr">
        <is>
          <t>Next Term Begins on Monday, 22nd September, 2025</t>
        </is>
      </c>
    </row>
    <row r="158" ht="30.6" customHeight="1" s="6">
      <c r="A158" s="18" t="n">
        <v>155</v>
      </c>
      <c r="B158" s="19" t="n"/>
      <c r="C158" s="20" t="n"/>
      <c r="D158" s="128" t="n"/>
      <c r="E158" s="21" t="n"/>
      <c r="F158" s="22" t="n"/>
      <c r="G158" s="22" t="n"/>
      <c r="H158" s="22" t="n"/>
      <c r="I158" s="26">
        <f>G158-H158</f>
        <v/>
      </c>
      <c r="J158" s="21" t="n"/>
      <c r="K158" s="21" t="n"/>
      <c r="L158" s="27">
        <f>SUM(J158:K158)</f>
        <v/>
      </c>
      <c r="M158" s="28" t="n"/>
      <c r="N158" s="28" t="n"/>
      <c r="O158" s="29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1" t="n"/>
      <c r="Q158" s="21" t="n"/>
      <c r="R158" s="27">
        <f>SUM(P158:Q158)</f>
        <v/>
      </c>
      <c r="S158" s="28" t="n"/>
      <c r="T158" s="28" t="n"/>
      <c r="U158" s="29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1" t="n"/>
      <c r="W158" s="21" t="n"/>
      <c r="X158" s="27">
        <f>SUM(V158:W158)</f>
        <v/>
      </c>
      <c r="Y158" s="28" t="n"/>
      <c r="Z158" s="28" t="n"/>
      <c r="AA158" s="29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1" t="n"/>
      <c r="AC158" s="21" t="n"/>
      <c r="AD158" s="27">
        <f>SUM(AB158:AC158)</f>
        <v/>
      </c>
      <c r="AE158" s="28" t="n"/>
      <c r="AF158" s="28" t="n"/>
      <c r="AG158" s="29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1" t="n"/>
      <c r="AI158" s="21" t="n"/>
      <c r="AJ158" s="27">
        <f>SUM(AH158:AI158)</f>
        <v/>
      </c>
      <c r="AK158" s="28" t="n"/>
      <c r="AL158" s="28" t="n"/>
      <c r="AM158" s="29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1" t="n"/>
      <c r="AO158" s="21" t="n"/>
      <c r="AP158" s="27">
        <f>SUM(AN158:AO158)</f>
        <v/>
      </c>
      <c r="AQ158" s="28" t="n"/>
      <c r="AR158" s="30" t="n"/>
      <c r="AS158" s="29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1" t="n"/>
      <c r="AU158" s="21" t="n"/>
      <c r="AV158" s="27">
        <f>SUM(AT158:AU158)</f>
        <v/>
      </c>
      <c r="AW158" s="28" t="n"/>
      <c r="AX158" s="30" t="n"/>
      <c r="AY158" s="29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1" t="n"/>
      <c r="BA158" s="21" t="n"/>
      <c r="BB158" s="27">
        <f>SUM(AZ158:BA158)</f>
        <v/>
      </c>
      <c r="BC158" s="28" t="n"/>
      <c r="BD158" s="28" t="n"/>
      <c r="BE158" s="29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1" t="n"/>
      <c r="BG158" s="21" t="n"/>
      <c r="BH158" s="27">
        <f>SUM(BF158:BG158)</f>
        <v/>
      </c>
      <c r="BI158" s="28" t="n"/>
      <c r="BJ158" s="28" t="n"/>
      <c r="BK158" s="29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1" t="n"/>
      <c r="BM158" s="21" t="n"/>
      <c r="BN158" s="27">
        <f>SUM(BL158:BM158)</f>
        <v/>
      </c>
      <c r="BO158" s="28" t="n"/>
      <c r="BP158" s="31" t="n"/>
      <c r="BQ158" s="29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1" t="n"/>
      <c r="BS158" s="21" t="n"/>
      <c r="BT158" s="27">
        <f>SUM(BR158:BS158)</f>
        <v/>
      </c>
      <c r="BU158" s="28" t="n"/>
      <c r="BV158" s="31" t="n"/>
      <c r="BW158" s="29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1" t="n"/>
      <c r="BY158" s="21" t="n"/>
      <c r="BZ158" s="27">
        <f>SUM(BX158:BY158)</f>
        <v/>
      </c>
      <c r="CA158" s="28" t="n"/>
      <c r="CB158" s="31" t="n"/>
      <c r="CC158" s="29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1" t="n"/>
      <c r="CE158" s="21" t="n"/>
      <c r="CF158" s="27">
        <f>SUM(CD158:CE158)</f>
        <v/>
      </c>
      <c r="CG158" s="28" t="n"/>
      <c r="CH158" s="31" t="n"/>
      <c r="CI158" s="29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1" t="n"/>
      <c r="CK158" s="21" t="n"/>
      <c r="CL158" s="27">
        <f>SUM(CJ158:CK158)</f>
        <v/>
      </c>
      <c r="CM158" s="28" t="n"/>
      <c r="CN158" s="31" t="n"/>
      <c r="CO158" s="29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1" t="n"/>
      <c r="CQ158" s="21" t="n"/>
      <c r="CR158" s="27">
        <f>SUM(CP158:CQ158)</f>
        <v/>
      </c>
      <c r="CS158" s="28" t="n"/>
      <c r="CT158" s="31" t="n"/>
      <c r="CU158" s="29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1" t="n"/>
      <c r="CW158" s="21" t="n"/>
      <c r="CX158" s="27">
        <f>SUM(CV158:CW158)</f>
        <v/>
      </c>
      <c r="CY158" s="28" t="n"/>
      <c r="CZ158" s="31" t="n"/>
      <c r="DA158" s="29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1" t="n"/>
      <c r="DC158" s="21" t="n"/>
      <c r="DD158" s="27">
        <f>SUM(DB158:DC158)</f>
        <v/>
      </c>
      <c r="DE158" s="28" t="n"/>
      <c r="DF158" s="31" t="n"/>
      <c r="DG158" s="29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34">
        <f>SUM(O158,U158,AA158,AG158,AM158,AS158,AY158,BE158,BK158,BQ158,BW158,CC158,CI158,CO158,CU158,DA158,DG158)</f>
        <v/>
      </c>
      <c r="DI158" s="39">
        <f>RANK(DH158,DH$4:DH$503)</f>
        <v/>
      </c>
      <c r="DJ158" s="40" t="inlineStr">
        <is>
          <t>CHOOSE RATING</t>
        </is>
      </c>
      <c r="DK158" s="40" t="inlineStr">
        <is>
          <t>CHOOSE RATING</t>
        </is>
      </c>
      <c r="DL158" s="40" t="inlineStr">
        <is>
          <t>CHOOSE RATING</t>
        </is>
      </c>
      <c r="DM158" s="40" t="inlineStr">
        <is>
          <t>CHOOSE RATING</t>
        </is>
      </c>
      <c r="DN158" s="40" t="inlineStr">
        <is>
          <t>CHOOSE RATING</t>
        </is>
      </c>
      <c r="DO158" s="40" t="inlineStr">
        <is>
          <t>CHOOSE RATING</t>
        </is>
      </c>
      <c r="DP158" s="40" t="inlineStr">
        <is>
          <t>CHOOSE RATING</t>
        </is>
      </c>
      <c r="DQ158" s="40" t="inlineStr">
        <is>
          <t>CHOOSE RATING</t>
        </is>
      </c>
      <c r="DR158" s="43" t="inlineStr">
        <is>
          <t>2024/2025</t>
        </is>
      </c>
      <c r="DS158" s="45" t="inlineStr">
        <is>
          <t>THIRD</t>
        </is>
      </c>
      <c r="DT158" s="40" t="inlineStr">
        <is>
          <t>CHOOSE RATING</t>
        </is>
      </c>
      <c r="DU158" s="40" t="inlineStr">
        <is>
          <t>CHOOSE RATING</t>
        </is>
      </c>
      <c r="DV158" s="40" t="inlineStr">
        <is>
          <t>CHOOSE RATING</t>
        </is>
      </c>
      <c r="DW158" s="40" t="inlineStr">
        <is>
          <t>CHOOSE RATING</t>
        </is>
      </c>
      <c r="DX158" s="40" t="inlineStr">
        <is>
          <t>CHOOSE RATING</t>
        </is>
      </c>
      <c r="DY158" s="40" t="inlineStr">
        <is>
          <t>CHOOSE RATING</t>
        </is>
      </c>
      <c r="DZ158" s="53" t="inlineStr">
        <is>
          <t>CHOOSE RATING</t>
        </is>
      </c>
      <c r="EA158" s="54" t="inlineStr">
        <is>
          <t>Add the Tutor's Comment . . .</t>
        </is>
      </c>
      <c r="EB158" s="55" t="inlineStr">
        <is>
          <t>Choose Principals comment</t>
        </is>
      </c>
      <c r="EC158" s="56" t="n"/>
      <c r="ED158" s="57" t="inlineStr">
        <is>
          <t>Next Term Begins on Monday, 22nd September, 2025</t>
        </is>
      </c>
    </row>
    <row r="159" ht="30.6" customHeight="1" s="6">
      <c r="A159" s="18" t="n">
        <v>156</v>
      </c>
      <c r="B159" s="19" t="n"/>
      <c r="C159" s="20" t="n"/>
      <c r="D159" s="128" t="n"/>
      <c r="E159" s="21" t="n"/>
      <c r="F159" s="22" t="n"/>
      <c r="G159" s="22" t="n"/>
      <c r="H159" s="22" t="n"/>
      <c r="I159" s="26">
        <f>G159-H159</f>
        <v/>
      </c>
      <c r="J159" s="21" t="n"/>
      <c r="K159" s="21" t="n"/>
      <c r="L159" s="27">
        <f>SUM(J159:K159)</f>
        <v/>
      </c>
      <c r="M159" s="28" t="n"/>
      <c r="N159" s="28" t="n"/>
      <c r="O159" s="29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1" t="n"/>
      <c r="Q159" s="21" t="n"/>
      <c r="R159" s="27">
        <f>SUM(P159:Q159)</f>
        <v/>
      </c>
      <c r="S159" s="28" t="n"/>
      <c r="T159" s="28" t="n"/>
      <c r="U159" s="29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1" t="n"/>
      <c r="W159" s="21" t="n"/>
      <c r="X159" s="27">
        <f>SUM(V159:W159)</f>
        <v/>
      </c>
      <c r="Y159" s="28" t="n"/>
      <c r="Z159" s="28" t="n"/>
      <c r="AA159" s="29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1" t="n"/>
      <c r="AC159" s="21" t="n"/>
      <c r="AD159" s="27">
        <f>SUM(AB159:AC159)</f>
        <v/>
      </c>
      <c r="AE159" s="28" t="n"/>
      <c r="AF159" s="28" t="n"/>
      <c r="AG159" s="29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1" t="n"/>
      <c r="AI159" s="21" t="n"/>
      <c r="AJ159" s="27">
        <f>SUM(AH159:AI159)</f>
        <v/>
      </c>
      <c r="AK159" s="28" t="n"/>
      <c r="AL159" s="28" t="n"/>
      <c r="AM159" s="29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1" t="n"/>
      <c r="AO159" s="21" t="n"/>
      <c r="AP159" s="27">
        <f>SUM(AN159:AO159)</f>
        <v/>
      </c>
      <c r="AQ159" s="28" t="n"/>
      <c r="AR159" s="30" t="n"/>
      <c r="AS159" s="29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1" t="n"/>
      <c r="AU159" s="21" t="n"/>
      <c r="AV159" s="27">
        <f>SUM(AT159:AU159)</f>
        <v/>
      </c>
      <c r="AW159" s="28" t="n"/>
      <c r="AX159" s="30" t="n"/>
      <c r="AY159" s="29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1" t="n"/>
      <c r="BA159" s="21" t="n"/>
      <c r="BB159" s="27">
        <f>SUM(AZ159:BA159)</f>
        <v/>
      </c>
      <c r="BC159" s="28" t="n"/>
      <c r="BD159" s="28" t="n"/>
      <c r="BE159" s="29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1" t="n"/>
      <c r="BG159" s="21" t="n"/>
      <c r="BH159" s="27">
        <f>SUM(BF159:BG159)</f>
        <v/>
      </c>
      <c r="BI159" s="28" t="n"/>
      <c r="BJ159" s="28" t="n"/>
      <c r="BK159" s="29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1" t="n"/>
      <c r="BM159" s="21" t="n"/>
      <c r="BN159" s="27">
        <f>SUM(BL159:BM159)</f>
        <v/>
      </c>
      <c r="BO159" s="28" t="n"/>
      <c r="BP159" s="31" t="n"/>
      <c r="BQ159" s="29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1" t="n"/>
      <c r="BS159" s="21" t="n"/>
      <c r="BT159" s="27">
        <f>SUM(BR159:BS159)</f>
        <v/>
      </c>
      <c r="BU159" s="28" t="n"/>
      <c r="BV159" s="31" t="n"/>
      <c r="BW159" s="29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1" t="n"/>
      <c r="BY159" s="21" t="n"/>
      <c r="BZ159" s="27">
        <f>SUM(BX159:BY159)</f>
        <v/>
      </c>
      <c r="CA159" s="28" t="n"/>
      <c r="CB159" s="31" t="n"/>
      <c r="CC159" s="29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1" t="n"/>
      <c r="CE159" s="21" t="n"/>
      <c r="CF159" s="27">
        <f>SUM(CD159:CE159)</f>
        <v/>
      </c>
      <c r="CG159" s="28" t="n"/>
      <c r="CH159" s="31" t="n"/>
      <c r="CI159" s="29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1" t="n"/>
      <c r="CK159" s="21" t="n"/>
      <c r="CL159" s="27">
        <f>SUM(CJ159:CK159)</f>
        <v/>
      </c>
      <c r="CM159" s="28" t="n"/>
      <c r="CN159" s="31" t="n"/>
      <c r="CO159" s="29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1" t="n"/>
      <c r="CQ159" s="21" t="n"/>
      <c r="CR159" s="27">
        <f>SUM(CP159:CQ159)</f>
        <v/>
      </c>
      <c r="CS159" s="28" t="n"/>
      <c r="CT159" s="31" t="n"/>
      <c r="CU159" s="29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1" t="n"/>
      <c r="CW159" s="21" t="n"/>
      <c r="CX159" s="27">
        <f>SUM(CV159:CW159)</f>
        <v/>
      </c>
      <c r="CY159" s="28" t="n"/>
      <c r="CZ159" s="31" t="n"/>
      <c r="DA159" s="29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1" t="n"/>
      <c r="DC159" s="21" t="n"/>
      <c r="DD159" s="27">
        <f>SUM(DB159:DC159)</f>
        <v/>
      </c>
      <c r="DE159" s="28" t="n"/>
      <c r="DF159" s="31" t="n"/>
      <c r="DG159" s="29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34">
        <f>SUM(O159,U159,AA159,AG159,AM159,AS159,AY159,BE159,BK159,BQ159,BW159,CC159,CI159,CO159,CU159,DA159,DG159)</f>
        <v/>
      </c>
      <c r="DI159" s="39">
        <f>RANK(DH159,DH$4:DH$503)</f>
        <v/>
      </c>
      <c r="DJ159" s="40" t="inlineStr">
        <is>
          <t>CHOOSE RATING</t>
        </is>
      </c>
      <c r="DK159" s="40" t="inlineStr">
        <is>
          <t>CHOOSE RATING</t>
        </is>
      </c>
      <c r="DL159" s="40" t="inlineStr">
        <is>
          <t>CHOOSE RATING</t>
        </is>
      </c>
      <c r="DM159" s="40" t="inlineStr">
        <is>
          <t>CHOOSE RATING</t>
        </is>
      </c>
      <c r="DN159" s="40" t="inlineStr">
        <is>
          <t>CHOOSE RATING</t>
        </is>
      </c>
      <c r="DO159" s="40" t="inlineStr">
        <is>
          <t>CHOOSE RATING</t>
        </is>
      </c>
      <c r="DP159" s="40" t="inlineStr">
        <is>
          <t>CHOOSE RATING</t>
        </is>
      </c>
      <c r="DQ159" s="40" t="inlineStr">
        <is>
          <t>CHOOSE RATING</t>
        </is>
      </c>
      <c r="DR159" s="43" t="inlineStr">
        <is>
          <t>2024/2025</t>
        </is>
      </c>
      <c r="DS159" s="45" t="inlineStr">
        <is>
          <t>THIRD</t>
        </is>
      </c>
      <c r="DT159" s="40" t="inlineStr">
        <is>
          <t>CHOOSE RATING</t>
        </is>
      </c>
      <c r="DU159" s="40" t="inlineStr">
        <is>
          <t>CHOOSE RATING</t>
        </is>
      </c>
      <c r="DV159" s="40" t="inlineStr">
        <is>
          <t>CHOOSE RATING</t>
        </is>
      </c>
      <c r="DW159" s="40" t="inlineStr">
        <is>
          <t>CHOOSE RATING</t>
        </is>
      </c>
      <c r="DX159" s="40" t="inlineStr">
        <is>
          <t>CHOOSE RATING</t>
        </is>
      </c>
      <c r="DY159" s="40" t="inlineStr">
        <is>
          <t>CHOOSE RATING</t>
        </is>
      </c>
      <c r="DZ159" s="53" t="inlineStr">
        <is>
          <t>CHOOSE RATING</t>
        </is>
      </c>
      <c r="EA159" s="54" t="inlineStr">
        <is>
          <t>Add the Tutor's Comment . . .</t>
        </is>
      </c>
      <c r="EB159" s="55" t="inlineStr">
        <is>
          <t>Choose Principals comment</t>
        </is>
      </c>
      <c r="EC159" s="56" t="n"/>
      <c r="ED159" s="57" t="inlineStr">
        <is>
          <t>Next Term Begins on Monday, 22nd September, 2025</t>
        </is>
      </c>
    </row>
    <row r="160" ht="30.6" customHeight="1" s="6">
      <c r="A160" s="18" t="n">
        <v>157</v>
      </c>
      <c r="B160" s="19" t="n"/>
      <c r="C160" s="20" t="n"/>
      <c r="D160" s="128" t="n"/>
      <c r="E160" s="21" t="n"/>
      <c r="F160" s="22" t="n"/>
      <c r="G160" s="22" t="n"/>
      <c r="H160" s="22" t="n"/>
      <c r="I160" s="26">
        <f>G160-H160</f>
        <v/>
      </c>
      <c r="J160" s="21" t="n"/>
      <c r="K160" s="21" t="n"/>
      <c r="L160" s="27">
        <f>SUM(J160:K160)</f>
        <v/>
      </c>
      <c r="M160" s="28" t="n"/>
      <c r="N160" s="28" t="n"/>
      <c r="O160" s="29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1" t="n"/>
      <c r="Q160" s="21" t="n"/>
      <c r="R160" s="27">
        <f>SUM(P160:Q160)</f>
        <v/>
      </c>
      <c r="S160" s="28" t="n"/>
      <c r="T160" s="28" t="n"/>
      <c r="U160" s="29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1" t="n"/>
      <c r="W160" s="21" t="n"/>
      <c r="X160" s="27">
        <f>SUM(V160:W160)</f>
        <v/>
      </c>
      <c r="Y160" s="28" t="n"/>
      <c r="Z160" s="28" t="n"/>
      <c r="AA160" s="29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1" t="n"/>
      <c r="AC160" s="21" t="n"/>
      <c r="AD160" s="27">
        <f>SUM(AB160:AC160)</f>
        <v/>
      </c>
      <c r="AE160" s="28" t="n"/>
      <c r="AF160" s="28" t="n"/>
      <c r="AG160" s="29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1" t="n"/>
      <c r="AI160" s="21" t="n"/>
      <c r="AJ160" s="27">
        <f>SUM(AH160:AI160)</f>
        <v/>
      </c>
      <c r="AK160" s="28" t="n"/>
      <c r="AL160" s="28" t="n"/>
      <c r="AM160" s="29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1" t="n"/>
      <c r="AO160" s="21" t="n"/>
      <c r="AP160" s="27">
        <f>SUM(AN160:AO160)</f>
        <v/>
      </c>
      <c r="AQ160" s="28" t="n"/>
      <c r="AR160" s="30" t="n"/>
      <c r="AS160" s="29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1" t="n"/>
      <c r="AU160" s="21" t="n"/>
      <c r="AV160" s="27">
        <f>SUM(AT160:AU160)</f>
        <v/>
      </c>
      <c r="AW160" s="28" t="n"/>
      <c r="AX160" s="30" t="n"/>
      <c r="AY160" s="29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1" t="n"/>
      <c r="BA160" s="21" t="n"/>
      <c r="BB160" s="27">
        <f>SUM(AZ160:BA160)</f>
        <v/>
      </c>
      <c r="BC160" s="28" t="n"/>
      <c r="BD160" s="28" t="n"/>
      <c r="BE160" s="29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1" t="n"/>
      <c r="BG160" s="21" t="n"/>
      <c r="BH160" s="27">
        <f>SUM(BF160:BG160)</f>
        <v/>
      </c>
      <c r="BI160" s="28" t="n"/>
      <c r="BJ160" s="28" t="n"/>
      <c r="BK160" s="29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1" t="n"/>
      <c r="BM160" s="21" t="n"/>
      <c r="BN160" s="27">
        <f>SUM(BL160:BM160)</f>
        <v/>
      </c>
      <c r="BO160" s="28" t="n"/>
      <c r="BP160" s="31" t="n"/>
      <c r="BQ160" s="29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1" t="n"/>
      <c r="BS160" s="21" t="n"/>
      <c r="BT160" s="27">
        <f>SUM(BR160:BS160)</f>
        <v/>
      </c>
      <c r="BU160" s="28" t="n"/>
      <c r="BV160" s="31" t="n"/>
      <c r="BW160" s="29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1" t="n"/>
      <c r="BY160" s="21" t="n"/>
      <c r="BZ160" s="27">
        <f>SUM(BX160:BY160)</f>
        <v/>
      </c>
      <c r="CA160" s="28" t="n"/>
      <c r="CB160" s="31" t="n"/>
      <c r="CC160" s="29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1" t="n"/>
      <c r="CE160" s="21" t="n"/>
      <c r="CF160" s="27">
        <f>SUM(CD160:CE160)</f>
        <v/>
      </c>
      <c r="CG160" s="28" t="n"/>
      <c r="CH160" s="31" t="n"/>
      <c r="CI160" s="29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1" t="n"/>
      <c r="CK160" s="21" t="n"/>
      <c r="CL160" s="27">
        <f>SUM(CJ160:CK160)</f>
        <v/>
      </c>
      <c r="CM160" s="28" t="n"/>
      <c r="CN160" s="31" t="n"/>
      <c r="CO160" s="29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1" t="n"/>
      <c r="CQ160" s="21" t="n"/>
      <c r="CR160" s="27">
        <f>SUM(CP160:CQ160)</f>
        <v/>
      </c>
      <c r="CS160" s="28" t="n"/>
      <c r="CT160" s="31" t="n"/>
      <c r="CU160" s="29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1" t="n"/>
      <c r="CW160" s="21" t="n"/>
      <c r="CX160" s="27">
        <f>SUM(CV160:CW160)</f>
        <v/>
      </c>
      <c r="CY160" s="28" t="n"/>
      <c r="CZ160" s="31" t="n"/>
      <c r="DA160" s="29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1" t="n"/>
      <c r="DC160" s="21" t="n"/>
      <c r="DD160" s="27">
        <f>SUM(DB160:DC160)</f>
        <v/>
      </c>
      <c r="DE160" s="28" t="n"/>
      <c r="DF160" s="31" t="n"/>
      <c r="DG160" s="29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34">
        <f>SUM(O160,U160,AA160,AG160,AM160,AS160,AY160,BE160,BK160,BQ160,BW160,CC160,CI160,CO160,CU160,DA160,DG160)</f>
        <v/>
      </c>
      <c r="DI160" s="39">
        <f>RANK(DH160,DH$4:DH$503)</f>
        <v/>
      </c>
      <c r="DJ160" s="40" t="inlineStr">
        <is>
          <t>CHOOSE RATING</t>
        </is>
      </c>
      <c r="DK160" s="40" t="inlineStr">
        <is>
          <t>CHOOSE RATING</t>
        </is>
      </c>
      <c r="DL160" s="40" t="inlineStr">
        <is>
          <t>CHOOSE RATING</t>
        </is>
      </c>
      <c r="DM160" s="40" t="inlineStr">
        <is>
          <t>CHOOSE RATING</t>
        </is>
      </c>
      <c r="DN160" s="40" t="inlineStr">
        <is>
          <t>CHOOSE RATING</t>
        </is>
      </c>
      <c r="DO160" s="40" t="inlineStr">
        <is>
          <t>CHOOSE RATING</t>
        </is>
      </c>
      <c r="DP160" s="40" t="inlineStr">
        <is>
          <t>CHOOSE RATING</t>
        </is>
      </c>
      <c r="DQ160" s="40" t="inlineStr">
        <is>
          <t>CHOOSE RATING</t>
        </is>
      </c>
      <c r="DR160" s="43" t="inlineStr">
        <is>
          <t>2024/2025</t>
        </is>
      </c>
      <c r="DS160" s="45" t="inlineStr">
        <is>
          <t>THIRD</t>
        </is>
      </c>
      <c r="DT160" s="40" t="inlineStr">
        <is>
          <t>CHOOSE RATING</t>
        </is>
      </c>
      <c r="DU160" s="40" t="inlineStr">
        <is>
          <t>CHOOSE RATING</t>
        </is>
      </c>
      <c r="DV160" s="40" t="inlineStr">
        <is>
          <t>CHOOSE RATING</t>
        </is>
      </c>
      <c r="DW160" s="40" t="inlineStr">
        <is>
          <t>CHOOSE RATING</t>
        </is>
      </c>
      <c r="DX160" s="40" t="inlineStr">
        <is>
          <t>CHOOSE RATING</t>
        </is>
      </c>
      <c r="DY160" s="40" t="inlineStr">
        <is>
          <t>CHOOSE RATING</t>
        </is>
      </c>
      <c r="DZ160" s="53" t="inlineStr">
        <is>
          <t>CHOOSE RATING</t>
        </is>
      </c>
      <c r="EA160" s="54" t="inlineStr">
        <is>
          <t>Add the Tutor's Comment . . .</t>
        </is>
      </c>
      <c r="EB160" s="55" t="inlineStr">
        <is>
          <t>Choose Principals comment</t>
        </is>
      </c>
      <c r="EC160" s="56" t="n"/>
      <c r="ED160" s="57" t="inlineStr">
        <is>
          <t>Next Term Begins on Monday, 22nd September, 2025</t>
        </is>
      </c>
    </row>
    <row r="161" ht="30.6" customHeight="1" s="6">
      <c r="A161" s="18" t="n">
        <v>158</v>
      </c>
      <c r="B161" s="19" t="n"/>
      <c r="C161" s="20" t="n"/>
      <c r="D161" s="128" t="n"/>
      <c r="E161" s="21" t="n"/>
      <c r="F161" s="22" t="n"/>
      <c r="G161" s="22" t="n"/>
      <c r="H161" s="22" t="n"/>
      <c r="I161" s="26">
        <f>G161-H161</f>
        <v/>
      </c>
      <c r="J161" s="21" t="n"/>
      <c r="K161" s="21" t="n"/>
      <c r="L161" s="27">
        <f>SUM(J161:K161)</f>
        <v/>
      </c>
      <c r="M161" s="28" t="n"/>
      <c r="N161" s="28" t="n"/>
      <c r="O161" s="29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1" t="n"/>
      <c r="Q161" s="21" t="n"/>
      <c r="R161" s="27">
        <f>SUM(P161:Q161)</f>
        <v/>
      </c>
      <c r="S161" s="28" t="n"/>
      <c r="T161" s="28" t="n"/>
      <c r="U161" s="29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1" t="n"/>
      <c r="W161" s="21" t="n"/>
      <c r="X161" s="27">
        <f>SUM(V161:W161)</f>
        <v/>
      </c>
      <c r="Y161" s="28" t="n"/>
      <c r="Z161" s="28" t="n"/>
      <c r="AA161" s="29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1" t="n"/>
      <c r="AC161" s="21" t="n"/>
      <c r="AD161" s="27">
        <f>SUM(AB161:AC161)</f>
        <v/>
      </c>
      <c r="AE161" s="28" t="n"/>
      <c r="AF161" s="28" t="n"/>
      <c r="AG161" s="29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1" t="n"/>
      <c r="AI161" s="21" t="n"/>
      <c r="AJ161" s="27">
        <f>SUM(AH161:AI161)</f>
        <v/>
      </c>
      <c r="AK161" s="28" t="n"/>
      <c r="AL161" s="28" t="n"/>
      <c r="AM161" s="29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1" t="n"/>
      <c r="AO161" s="21" t="n"/>
      <c r="AP161" s="27">
        <f>SUM(AN161:AO161)</f>
        <v/>
      </c>
      <c r="AQ161" s="28" t="n"/>
      <c r="AR161" s="30" t="n"/>
      <c r="AS161" s="29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1" t="n"/>
      <c r="AU161" s="21" t="n"/>
      <c r="AV161" s="27">
        <f>SUM(AT161:AU161)</f>
        <v/>
      </c>
      <c r="AW161" s="28" t="n"/>
      <c r="AX161" s="30" t="n"/>
      <c r="AY161" s="29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1" t="n"/>
      <c r="BA161" s="21" t="n"/>
      <c r="BB161" s="27">
        <f>SUM(AZ161:BA161)</f>
        <v/>
      </c>
      <c r="BC161" s="28" t="n"/>
      <c r="BD161" s="28" t="n"/>
      <c r="BE161" s="29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1" t="n"/>
      <c r="BG161" s="21" t="n"/>
      <c r="BH161" s="27">
        <f>SUM(BF161:BG161)</f>
        <v/>
      </c>
      <c r="BI161" s="28" t="n"/>
      <c r="BJ161" s="28" t="n"/>
      <c r="BK161" s="29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1" t="n"/>
      <c r="BM161" s="21" t="n"/>
      <c r="BN161" s="27">
        <f>SUM(BL161:BM161)</f>
        <v/>
      </c>
      <c r="BO161" s="28" t="n"/>
      <c r="BP161" s="31" t="n"/>
      <c r="BQ161" s="29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1" t="n"/>
      <c r="BS161" s="21" t="n"/>
      <c r="BT161" s="27">
        <f>SUM(BR161:BS161)</f>
        <v/>
      </c>
      <c r="BU161" s="28" t="n"/>
      <c r="BV161" s="31" t="n"/>
      <c r="BW161" s="29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1" t="n"/>
      <c r="BY161" s="21" t="n"/>
      <c r="BZ161" s="27">
        <f>SUM(BX161:BY161)</f>
        <v/>
      </c>
      <c r="CA161" s="28" t="n"/>
      <c r="CB161" s="31" t="n"/>
      <c r="CC161" s="29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1" t="n"/>
      <c r="CE161" s="21" t="n"/>
      <c r="CF161" s="27">
        <f>SUM(CD161:CE161)</f>
        <v/>
      </c>
      <c r="CG161" s="28" t="n"/>
      <c r="CH161" s="31" t="n"/>
      <c r="CI161" s="29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1" t="n"/>
      <c r="CK161" s="21" t="n"/>
      <c r="CL161" s="27">
        <f>SUM(CJ161:CK161)</f>
        <v/>
      </c>
      <c r="CM161" s="28" t="n"/>
      <c r="CN161" s="31" t="n"/>
      <c r="CO161" s="29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1" t="n"/>
      <c r="CQ161" s="21" t="n"/>
      <c r="CR161" s="27">
        <f>SUM(CP161:CQ161)</f>
        <v/>
      </c>
      <c r="CS161" s="28" t="n"/>
      <c r="CT161" s="31" t="n"/>
      <c r="CU161" s="29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1" t="n"/>
      <c r="CW161" s="21" t="n"/>
      <c r="CX161" s="27">
        <f>SUM(CV161:CW161)</f>
        <v/>
      </c>
      <c r="CY161" s="28" t="n"/>
      <c r="CZ161" s="31" t="n"/>
      <c r="DA161" s="29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1" t="n"/>
      <c r="DC161" s="21" t="n"/>
      <c r="DD161" s="27">
        <f>SUM(DB161:DC161)</f>
        <v/>
      </c>
      <c r="DE161" s="28" t="n"/>
      <c r="DF161" s="31" t="n"/>
      <c r="DG161" s="29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34">
        <f>SUM(O161,U161,AA161,AG161,AM161,AS161,AY161,BE161,BK161,BQ161,BW161,CC161,CI161,CO161,CU161,DA161,DG161)</f>
        <v/>
      </c>
      <c r="DI161" s="39">
        <f>RANK(DH161,DH$4:DH$503)</f>
        <v/>
      </c>
      <c r="DJ161" s="40" t="inlineStr">
        <is>
          <t>CHOOSE RATING</t>
        </is>
      </c>
      <c r="DK161" s="40" t="inlineStr">
        <is>
          <t>CHOOSE RATING</t>
        </is>
      </c>
      <c r="DL161" s="40" t="inlineStr">
        <is>
          <t>CHOOSE RATING</t>
        </is>
      </c>
      <c r="DM161" s="40" t="inlineStr">
        <is>
          <t>CHOOSE RATING</t>
        </is>
      </c>
      <c r="DN161" s="40" t="inlineStr">
        <is>
          <t>CHOOSE RATING</t>
        </is>
      </c>
      <c r="DO161" s="40" t="inlineStr">
        <is>
          <t>CHOOSE RATING</t>
        </is>
      </c>
      <c r="DP161" s="40" t="inlineStr">
        <is>
          <t>CHOOSE RATING</t>
        </is>
      </c>
      <c r="DQ161" s="40" t="inlineStr">
        <is>
          <t>CHOOSE RATING</t>
        </is>
      </c>
      <c r="DR161" s="43" t="inlineStr">
        <is>
          <t>2024/2025</t>
        </is>
      </c>
      <c r="DS161" s="45" t="inlineStr">
        <is>
          <t>THIRD</t>
        </is>
      </c>
      <c r="DT161" s="40" t="inlineStr">
        <is>
          <t>CHOOSE RATING</t>
        </is>
      </c>
      <c r="DU161" s="40" t="inlineStr">
        <is>
          <t>CHOOSE RATING</t>
        </is>
      </c>
      <c r="DV161" s="40" t="inlineStr">
        <is>
          <t>CHOOSE RATING</t>
        </is>
      </c>
      <c r="DW161" s="40" t="inlineStr">
        <is>
          <t>CHOOSE RATING</t>
        </is>
      </c>
      <c r="DX161" s="40" t="inlineStr">
        <is>
          <t>CHOOSE RATING</t>
        </is>
      </c>
      <c r="DY161" s="40" t="inlineStr">
        <is>
          <t>CHOOSE RATING</t>
        </is>
      </c>
      <c r="DZ161" s="53" t="inlineStr">
        <is>
          <t>CHOOSE RATING</t>
        </is>
      </c>
      <c r="EA161" s="54" t="inlineStr">
        <is>
          <t>Add the Tutor's Comment . . .</t>
        </is>
      </c>
      <c r="EB161" s="55" t="inlineStr">
        <is>
          <t>Choose Principals comment</t>
        </is>
      </c>
      <c r="EC161" s="56" t="n"/>
      <c r="ED161" s="57" t="inlineStr">
        <is>
          <t>Next Term Begins on Monday, 22nd September, 2025</t>
        </is>
      </c>
    </row>
    <row r="162" ht="30.6" customHeight="1" s="6">
      <c r="A162" s="18" t="n">
        <v>159</v>
      </c>
      <c r="B162" s="19" t="n"/>
      <c r="C162" s="20" t="n"/>
      <c r="D162" s="128" t="n"/>
      <c r="E162" s="21" t="n"/>
      <c r="F162" s="22" t="n"/>
      <c r="G162" s="22" t="n"/>
      <c r="H162" s="22" t="n"/>
      <c r="I162" s="26">
        <f>G162-H162</f>
        <v/>
      </c>
      <c r="J162" s="21" t="n"/>
      <c r="K162" s="21" t="n"/>
      <c r="L162" s="27">
        <f>SUM(J162:K162)</f>
        <v/>
      </c>
      <c r="M162" s="28" t="n"/>
      <c r="N162" s="28" t="n"/>
      <c r="O162" s="29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1" t="n"/>
      <c r="Q162" s="21" t="n"/>
      <c r="R162" s="27">
        <f>SUM(P162:Q162)</f>
        <v/>
      </c>
      <c r="S162" s="28" t="n"/>
      <c r="T162" s="28" t="n"/>
      <c r="U162" s="29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1" t="n"/>
      <c r="W162" s="21" t="n"/>
      <c r="X162" s="27">
        <f>SUM(V162:W162)</f>
        <v/>
      </c>
      <c r="Y162" s="28" t="n"/>
      <c r="Z162" s="28" t="n"/>
      <c r="AA162" s="29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1" t="n"/>
      <c r="AC162" s="21" t="n"/>
      <c r="AD162" s="27">
        <f>SUM(AB162:AC162)</f>
        <v/>
      </c>
      <c r="AE162" s="28" t="n"/>
      <c r="AF162" s="28" t="n"/>
      <c r="AG162" s="29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1" t="n"/>
      <c r="AI162" s="21" t="n"/>
      <c r="AJ162" s="27">
        <f>SUM(AH162:AI162)</f>
        <v/>
      </c>
      <c r="AK162" s="28" t="n"/>
      <c r="AL162" s="28" t="n"/>
      <c r="AM162" s="29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1" t="n"/>
      <c r="AO162" s="21" t="n"/>
      <c r="AP162" s="27">
        <f>SUM(AN162:AO162)</f>
        <v/>
      </c>
      <c r="AQ162" s="28" t="n"/>
      <c r="AR162" s="30" t="n"/>
      <c r="AS162" s="29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1" t="n"/>
      <c r="AU162" s="21" t="n"/>
      <c r="AV162" s="27">
        <f>SUM(AT162:AU162)</f>
        <v/>
      </c>
      <c r="AW162" s="28" t="n"/>
      <c r="AX162" s="30" t="n"/>
      <c r="AY162" s="29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1" t="n"/>
      <c r="BA162" s="21" t="n"/>
      <c r="BB162" s="27">
        <f>SUM(AZ162:BA162)</f>
        <v/>
      </c>
      <c r="BC162" s="28" t="n"/>
      <c r="BD162" s="28" t="n"/>
      <c r="BE162" s="29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1" t="n"/>
      <c r="BG162" s="21" t="n"/>
      <c r="BH162" s="27">
        <f>SUM(BF162:BG162)</f>
        <v/>
      </c>
      <c r="BI162" s="28" t="n"/>
      <c r="BJ162" s="28" t="n"/>
      <c r="BK162" s="29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1" t="n"/>
      <c r="BM162" s="21" t="n"/>
      <c r="BN162" s="27">
        <f>SUM(BL162:BM162)</f>
        <v/>
      </c>
      <c r="BO162" s="28" t="n"/>
      <c r="BP162" s="31" t="n"/>
      <c r="BQ162" s="29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1" t="n"/>
      <c r="BS162" s="21" t="n"/>
      <c r="BT162" s="27">
        <f>SUM(BR162:BS162)</f>
        <v/>
      </c>
      <c r="BU162" s="28" t="n"/>
      <c r="BV162" s="31" t="n"/>
      <c r="BW162" s="29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1" t="n"/>
      <c r="BY162" s="21" t="n"/>
      <c r="BZ162" s="27">
        <f>SUM(BX162:BY162)</f>
        <v/>
      </c>
      <c r="CA162" s="28" t="n"/>
      <c r="CB162" s="31" t="n"/>
      <c r="CC162" s="29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1" t="n"/>
      <c r="CE162" s="21" t="n"/>
      <c r="CF162" s="27">
        <f>SUM(CD162:CE162)</f>
        <v/>
      </c>
      <c r="CG162" s="28" t="n"/>
      <c r="CH162" s="31" t="n"/>
      <c r="CI162" s="29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1" t="n"/>
      <c r="CK162" s="21" t="n"/>
      <c r="CL162" s="27">
        <f>SUM(CJ162:CK162)</f>
        <v/>
      </c>
      <c r="CM162" s="28" t="n"/>
      <c r="CN162" s="31" t="n"/>
      <c r="CO162" s="29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1" t="n"/>
      <c r="CQ162" s="21" t="n"/>
      <c r="CR162" s="27">
        <f>SUM(CP162:CQ162)</f>
        <v/>
      </c>
      <c r="CS162" s="28" t="n"/>
      <c r="CT162" s="31" t="n"/>
      <c r="CU162" s="29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1" t="n"/>
      <c r="CW162" s="21" t="n"/>
      <c r="CX162" s="27">
        <f>SUM(CV162:CW162)</f>
        <v/>
      </c>
      <c r="CY162" s="28" t="n"/>
      <c r="CZ162" s="31" t="n"/>
      <c r="DA162" s="29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1" t="n"/>
      <c r="DC162" s="21" t="n"/>
      <c r="DD162" s="27">
        <f>SUM(DB162:DC162)</f>
        <v/>
      </c>
      <c r="DE162" s="28" t="n"/>
      <c r="DF162" s="31" t="n"/>
      <c r="DG162" s="29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34">
        <f>SUM(O162,U162,AA162,AG162,AM162,AS162,AY162,BE162,BK162,BQ162,BW162,CC162,CI162,CO162,CU162,DA162,DG162)</f>
        <v/>
      </c>
      <c r="DI162" s="39">
        <f>RANK(DH162,DH$4:DH$503)</f>
        <v/>
      </c>
      <c r="DJ162" s="40" t="inlineStr">
        <is>
          <t>CHOOSE RATING</t>
        </is>
      </c>
      <c r="DK162" s="40" t="inlineStr">
        <is>
          <t>CHOOSE RATING</t>
        </is>
      </c>
      <c r="DL162" s="40" t="inlineStr">
        <is>
          <t>CHOOSE RATING</t>
        </is>
      </c>
      <c r="DM162" s="40" t="inlineStr">
        <is>
          <t>CHOOSE RATING</t>
        </is>
      </c>
      <c r="DN162" s="40" t="inlineStr">
        <is>
          <t>CHOOSE RATING</t>
        </is>
      </c>
      <c r="DO162" s="40" t="inlineStr">
        <is>
          <t>CHOOSE RATING</t>
        </is>
      </c>
      <c r="DP162" s="40" t="inlineStr">
        <is>
          <t>CHOOSE RATING</t>
        </is>
      </c>
      <c r="DQ162" s="40" t="inlineStr">
        <is>
          <t>CHOOSE RATING</t>
        </is>
      </c>
      <c r="DR162" s="43" t="inlineStr">
        <is>
          <t>2024/2025</t>
        </is>
      </c>
      <c r="DS162" s="45" t="inlineStr">
        <is>
          <t>THIRD</t>
        </is>
      </c>
      <c r="DT162" s="40" t="inlineStr">
        <is>
          <t>CHOOSE RATING</t>
        </is>
      </c>
      <c r="DU162" s="40" t="inlineStr">
        <is>
          <t>CHOOSE RATING</t>
        </is>
      </c>
      <c r="DV162" s="40" t="inlineStr">
        <is>
          <t>CHOOSE RATING</t>
        </is>
      </c>
      <c r="DW162" s="40" t="inlineStr">
        <is>
          <t>CHOOSE RATING</t>
        </is>
      </c>
      <c r="DX162" s="40" t="inlineStr">
        <is>
          <t>CHOOSE RATING</t>
        </is>
      </c>
      <c r="DY162" s="40" t="inlineStr">
        <is>
          <t>CHOOSE RATING</t>
        </is>
      </c>
      <c r="DZ162" s="53" t="inlineStr">
        <is>
          <t>CHOOSE RATING</t>
        </is>
      </c>
      <c r="EA162" s="54" t="inlineStr">
        <is>
          <t>Add the Tutor's Comment . . .</t>
        </is>
      </c>
      <c r="EB162" s="55" t="inlineStr">
        <is>
          <t>Choose Principals comment</t>
        </is>
      </c>
      <c r="EC162" s="56" t="n"/>
      <c r="ED162" s="57" t="inlineStr">
        <is>
          <t>Next Term Begins on Monday, 22nd September, 2025</t>
        </is>
      </c>
    </row>
    <row r="163" ht="30.6" customHeight="1" s="6">
      <c r="A163" s="18" t="n">
        <v>160</v>
      </c>
      <c r="B163" s="19" t="n"/>
      <c r="C163" s="20" t="n"/>
      <c r="D163" s="128" t="n"/>
      <c r="E163" s="21" t="n"/>
      <c r="F163" s="22" t="n"/>
      <c r="G163" s="22" t="n"/>
      <c r="H163" s="22" t="n"/>
      <c r="I163" s="26">
        <f>G163-H163</f>
        <v/>
      </c>
      <c r="J163" s="21" t="n"/>
      <c r="K163" s="21" t="n"/>
      <c r="L163" s="27">
        <f>SUM(J163:K163)</f>
        <v/>
      </c>
      <c r="M163" s="28" t="n"/>
      <c r="N163" s="28" t="n"/>
      <c r="O163" s="29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1" t="n"/>
      <c r="Q163" s="21" t="n"/>
      <c r="R163" s="27">
        <f>SUM(P163:Q163)</f>
        <v/>
      </c>
      <c r="S163" s="28" t="n"/>
      <c r="T163" s="28" t="n"/>
      <c r="U163" s="29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1" t="n"/>
      <c r="W163" s="21" t="n"/>
      <c r="X163" s="27">
        <f>SUM(V163:W163)</f>
        <v/>
      </c>
      <c r="Y163" s="28" t="n"/>
      <c r="Z163" s="28" t="n"/>
      <c r="AA163" s="29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1" t="n"/>
      <c r="AC163" s="21" t="n"/>
      <c r="AD163" s="27">
        <f>SUM(AB163:AC163)</f>
        <v/>
      </c>
      <c r="AE163" s="28" t="n"/>
      <c r="AF163" s="28" t="n"/>
      <c r="AG163" s="29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1" t="n"/>
      <c r="AI163" s="21" t="n"/>
      <c r="AJ163" s="27">
        <f>SUM(AH163:AI163)</f>
        <v/>
      </c>
      <c r="AK163" s="28" t="n"/>
      <c r="AL163" s="28" t="n"/>
      <c r="AM163" s="29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1" t="n"/>
      <c r="AO163" s="21" t="n"/>
      <c r="AP163" s="27">
        <f>SUM(AN163:AO163)</f>
        <v/>
      </c>
      <c r="AQ163" s="28" t="n"/>
      <c r="AR163" s="30" t="n"/>
      <c r="AS163" s="29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1" t="n"/>
      <c r="AU163" s="21" t="n"/>
      <c r="AV163" s="27">
        <f>SUM(AT163:AU163)</f>
        <v/>
      </c>
      <c r="AW163" s="28" t="n"/>
      <c r="AX163" s="30" t="n"/>
      <c r="AY163" s="29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1" t="n"/>
      <c r="BA163" s="21" t="n"/>
      <c r="BB163" s="27">
        <f>SUM(AZ163:BA163)</f>
        <v/>
      </c>
      <c r="BC163" s="28" t="n"/>
      <c r="BD163" s="28" t="n"/>
      <c r="BE163" s="29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1" t="n"/>
      <c r="BG163" s="21" t="n"/>
      <c r="BH163" s="27">
        <f>SUM(BF163:BG163)</f>
        <v/>
      </c>
      <c r="BI163" s="28" t="n"/>
      <c r="BJ163" s="28" t="n"/>
      <c r="BK163" s="29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1" t="n"/>
      <c r="BM163" s="21" t="n"/>
      <c r="BN163" s="27">
        <f>SUM(BL163:BM163)</f>
        <v/>
      </c>
      <c r="BO163" s="28" t="n"/>
      <c r="BP163" s="31" t="n"/>
      <c r="BQ163" s="29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1" t="n"/>
      <c r="BS163" s="21" t="n"/>
      <c r="BT163" s="27">
        <f>SUM(BR163:BS163)</f>
        <v/>
      </c>
      <c r="BU163" s="28" t="n"/>
      <c r="BV163" s="31" t="n"/>
      <c r="BW163" s="29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1" t="n"/>
      <c r="BY163" s="21" t="n"/>
      <c r="BZ163" s="27">
        <f>SUM(BX163:BY163)</f>
        <v/>
      </c>
      <c r="CA163" s="28" t="n"/>
      <c r="CB163" s="31" t="n"/>
      <c r="CC163" s="29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1" t="n"/>
      <c r="CE163" s="21" t="n"/>
      <c r="CF163" s="27">
        <f>SUM(CD163:CE163)</f>
        <v/>
      </c>
      <c r="CG163" s="28" t="n"/>
      <c r="CH163" s="31" t="n"/>
      <c r="CI163" s="29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1" t="n"/>
      <c r="CK163" s="21" t="n"/>
      <c r="CL163" s="27">
        <f>SUM(CJ163:CK163)</f>
        <v/>
      </c>
      <c r="CM163" s="28" t="n"/>
      <c r="CN163" s="31" t="n"/>
      <c r="CO163" s="29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1" t="n"/>
      <c r="CQ163" s="21" t="n"/>
      <c r="CR163" s="27">
        <f>SUM(CP163:CQ163)</f>
        <v/>
      </c>
      <c r="CS163" s="28" t="n"/>
      <c r="CT163" s="31" t="n"/>
      <c r="CU163" s="29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1" t="n"/>
      <c r="CW163" s="21" t="n"/>
      <c r="CX163" s="27">
        <f>SUM(CV163:CW163)</f>
        <v/>
      </c>
      <c r="CY163" s="28" t="n"/>
      <c r="CZ163" s="31" t="n"/>
      <c r="DA163" s="29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1" t="n"/>
      <c r="DC163" s="21" t="n"/>
      <c r="DD163" s="27">
        <f>SUM(DB163:DC163)</f>
        <v/>
      </c>
      <c r="DE163" s="28" t="n"/>
      <c r="DF163" s="31" t="n"/>
      <c r="DG163" s="29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34">
        <f>SUM(O163,U163,AA163,AG163,AM163,AS163,AY163,BE163,BK163,BQ163,BW163,CC163,CI163,CO163,CU163,DA163,DG163)</f>
        <v/>
      </c>
      <c r="DI163" s="39">
        <f>RANK(DH163,DH$4:DH$503)</f>
        <v/>
      </c>
      <c r="DJ163" s="40" t="inlineStr">
        <is>
          <t>CHOOSE RATING</t>
        </is>
      </c>
      <c r="DK163" s="40" t="inlineStr">
        <is>
          <t>CHOOSE RATING</t>
        </is>
      </c>
      <c r="DL163" s="40" t="inlineStr">
        <is>
          <t>CHOOSE RATING</t>
        </is>
      </c>
      <c r="DM163" s="40" t="inlineStr">
        <is>
          <t>CHOOSE RATING</t>
        </is>
      </c>
      <c r="DN163" s="40" t="inlineStr">
        <is>
          <t>CHOOSE RATING</t>
        </is>
      </c>
      <c r="DO163" s="40" t="inlineStr">
        <is>
          <t>CHOOSE RATING</t>
        </is>
      </c>
      <c r="DP163" s="40" t="inlineStr">
        <is>
          <t>CHOOSE RATING</t>
        </is>
      </c>
      <c r="DQ163" s="40" t="inlineStr">
        <is>
          <t>CHOOSE RATING</t>
        </is>
      </c>
      <c r="DR163" s="43" t="inlineStr">
        <is>
          <t>2024/2025</t>
        </is>
      </c>
      <c r="DS163" s="45" t="inlineStr">
        <is>
          <t>THIRD</t>
        </is>
      </c>
      <c r="DT163" s="40" t="inlineStr">
        <is>
          <t>CHOOSE RATING</t>
        </is>
      </c>
      <c r="DU163" s="40" t="inlineStr">
        <is>
          <t>CHOOSE RATING</t>
        </is>
      </c>
      <c r="DV163" s="40" t="inlineStr">
        <is>
          <t>CHOOSE RATING</t>
        </is>
      </c>
      <c r="DW163" s="40" t="inlineStr">
        <is>
          <t>CHOOSE RATING</t>
        </is>
      </c>
      <c r="DX163" s="40" t="inlineStr">
        <is>
          <t>CHOOSE RATING</t>
        </is>
      </c>
      <c r="DY163" s="40" t="inlineStr">
        <is>
          <t>CHOOSE RATING</t>
        </is>
      </c>
      <c r="DZ163" s="53" t="inlineStr">
        <is>
          <t>CHOOSE RATING</t>
        </is>
      </c>
      <c r="EA163" s="54" t="inlineStr">
        <is>
          <t>Add the Tutor's Comment . . .</t>
        </is>
      </c>
      <c r="EB163" s="55" t="inlineStr">
        <is>
          <t>Choose Principals comment</t>
        </is>
      </c>
      <c r="EC163" s="56" t="n"/>
      <c r="ED163" s="57" t="inlineStr">
        <is>
          <t>Next Term Begins on Monday, 22nd September, 2025</t>
        </is>
      </c>
    </row>
    <row r="164" ht="30.6" customHeight="1" s="6">
      <c r="A164" s="18" t="n">
        <v>161</v>
      </c>
      <c r="B164" s="19" t="n"/>
      <c r="C164" s="20" t="n"/>
      <c r="D164" s="128" t="n"/>
      <c r="E164" s="21" t="n"/>
      <c r="F164" s="22" t="n"/>
      <c r="G164" s="22" t="n"/>
      <c r="H164" s="22" t="n"/>
      <c r="I164" s="26">
        <f>G164-H164</f>
        <v/>
      </c>
      <c r="J164" s="21" t="n"/>
      <c r="K164" s="21" t="n"/>
      <c r="L164" s="27">
        <f>SUM(J164:K164)</f>
        <v/>
      </c>
      <c r="M164" s="28" t="n"/>
      <c r="N164" s="28" t="n"/>
      <c r="O164" s="29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1" t="n"/>
      <c r="Q164" s="21" t="n"/>
      <c r="R164" s="27">
        <f>SUM(P164:Q164)</f>
        <v/>
      </c>
      <c r="S164" s="28" t="n"/>
      <c r="T164" s="28" t="n"/>
      <c r="U164" s="29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1" t="n"/>
      <c r="W164" s="21" t="n"/>
      <c r="X164" s="27">
        <f>SUM(V164:W164)</f>
        <v/>
      </c>
      <c r="Y164" s="28" t="n"/>
      <c r="Z164" s="28" t="n"/>
      <c r="AA164" s="29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1" t="n"/>
      <c r="AC164" s="21" t="n"/>
      <c r="AD164" s="27">
        <f>SUM(AB164:AC164)</f>
        <v/>
      </c>
      <c r="AE164" s="28" t="n"/>
      <c r="AF164" s="28" t="n"/>
      <c r="AG164" s="29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1" t="n"/>
      <c r="AI164" s="21" t="n"/>
      <c r="AJ164" s="27">
        <f>SUM(AH164:AI164)</f>
        <v/>
      </c>
      <c r="AK164" s="28" t="n"/>
      <c r="AL164" s="28" t="n"/>
      <c r="AM164" s="29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1" t="n"/>
      <c r="AO164" s="21" t="n"/>
      <c r="AP164" s="27">
        <f>SUM(AN164:AO164)</f>
        <v/>
      </c>
      <c r="AQ164" s="28" t="n"/>
      <c r="AR164" s="30" t="n"/>
      <c r="AS164" s="29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1" t="n"/>
      <c r="AU164" s="21" t="n"/>
      <c r="AV164" s="27">
        <f>SUM(AT164:AU164)</f>
        <v/>
      </c>
      <c r="AW164" s="28" t="n"/>
      <c r="AX164" s="30" t="n"/>
      <c r="AY164" s="29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1" t="n"/>
      <c r="BA164" s="21" t="n"/>
      <c r="BB164" s="27">
        <f>SUM(AZ164:BA164)</f>
        <v/>
      </c>
      <c r="BC164" s="28" t="n"/>
      <c r="BD164" s="28" t="n"/>
      <c r="BE164" s="29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1" t="n"/>
      <c r="BG164" s="21" t="n"/>
      <c r="BH164" s="27">
        <f>SUM(BF164:BG164)</f>
        <v/>
      </c>
      <c r="BI164" s="28" t="n"/>
      <c r="BJ164" s="28" t="n"/>
      <c r="BK164" s="29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1" t="n"/>
      <c r="BM164" s="21" t="n"/>
      <c r="BN164" s="27">
        <f>SUM(BL164:BM164)</f>
        <v/>
      </c>
      <c r="BO164" s="28" t="n"/>
      <c r="BP164" s="31" t="n"/>
      <c r="BQ164" s="29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1" t="n"/>
      <c r="BS164" s="21" t="n"/>
      <c r="BT164" s="27">
        <f>SUM(BR164:BS164)</f>
        <v/>
      </c>
      <c r="BU164" s="28" t="n"/>
      <c r="BV164" s="31" t="n"/>
      <c r="BW164" s="29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1" t="n"/>
      <c r="BY164" s="21" t="n"/>
      <c r="BZ164" s="27">
        <f>SUM(BX164:BY164)</f>
        <v/>
      </c>
      <c r="CA164" s="28" t="n"/>
      <c r="CB164" s="31" t="n"/>
      <c r="CC164" s="29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1" t="n"/>
      <c r="CE164" s="21" t="n"/>
      <c r="CF164" s="27">
        <f>SUM(CD164:CE164)</f>
        <v/>
      </c>
      <c r="CG164" s="28" t="n"/>
      <c r="CH164" s="31" t="n"/>
      <c r="CI164" s="29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1" t="n"/>
      <c r="CK164" s="21" t="n"/>
      <c r="CL164" s="27">
        <f>SUM(CJ164:CK164)</f>
        <v/>
      </c>
      <c r="CM164" s="28" t="n"/>
      <c r="CN164" s="31" t="n"/>
      <c r="CO164" s="29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1" t="n"/>
      <c r="CQ164" s="21" t="n"/>
      <c r="CR164" s="27">
        <f>SUM(CP164:CQ164)</f>
        <v/>
      </c>
      <c r="CS164" s="28" t="n"/>
      <c r="CT164" s="31" t="n"/>
      <c r="CU164" s="29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1" t="n"/>
      <c r="CW164" s="21" t="n"/>
      <c r="CX164" s="27">
        <f>SUM(CV164:CW164)</f>
        <v/>
      </c>
      <c r="CY164" s="28" t="n"/>
      <c r="CZ164" s="31" t="n"/>
      <c r="DA164" s="29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1" t="n"/>
      <c r="DC164" s="21" t="n"/>
      <c r="DD164" s="27">
        <f>SUM(DB164:DC164)</f>
        <v/>
      </c>
      <c r="DE164" s="28" t="n"/>
      <c r="DF164" s="31" t="n"/>
      <c r="DG164" s="29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34">
        <f>SUM(O164,U164,AA164,AG164,AM164,AS164,AY164,BE164,BK164,BQ164,BW164,CC164,CI164,CO164,CU164,DA164,DG164)</f>
        <v/>
      </c>
      <c r="DI164" s="39">
        <f>RANK(DH164,DH$4:DH$503)</f>
        <v/>
      </c>
      <c r="DJ164" s="40" t="inlineStr">
        <is>
          <t>CHOOSE RATING</t>
        </is>
      </c>
      <c r="DK164" s="40" t="inlineStr">
        <is>
          <t>CHOOSE RATING</t>
        </is>
      </c>
      <c r="DL164" s="40" t="inlineStr">
        <is>
          <t>CHOOSE RATING</t>
        </is>
      </c>
      <c r="DM164" s="40" t="inlineStr">
        <is>
          <t>CHOOSE RATING</t>
        </is>
      </c>
      <c r="DN164" s="40" t="inlineStr">
        <is>
          <t>CHOOSE RATING</t>
        </is>
      </c>
      <c r="DO164" s="40" t="inlineStr">
        <is>
          <t>CHOOSE RATING</t>
        </is>
      </c>
      <c r="DP164" s="40" t="inlineStr">
        <is>
          <t>CHOOSE RATING</t>
        </is>
      </c>
      <c r="DQ164" s="40" t="inlineStr">
        <is>
          <t>CHOOSE RATING</t>
        </is>
      </c>
      <c r="DR164" s="43" t="inlineStr">
        <is>
          <t>2024/2025</t>
        </is>
      </c>
      <c r="DS164" s="45" t="inlineStr">
        <is>
          <t>THIRD</t>
        </is>
      </c>
      <c r="DT164" s="40" t="inlineStr">
        <is>
          <t>CHOOSE RATING</t>
        </is>
      </c>
      <c r="DU164" s="40" t="inlineStr">
        <is>
          <t>CHOOSE RATING</t>
        </is>
      </c>
      <c r="DV164" s="40" t="inlineStr">
        <is>
          <t>CHOOSE RATING</t>
        </is>
      </c>
      <c r="DW164" s="40" t="inlineStr">
        <is>
          <t>CHOOSE RATING</t>
        </is>
      </c>
      <c r="DX164" s="40" t="inlineStr">
        <is>
          <t>CHOOSE RATING</t>
        </is>
      </c>
      <c r="DY164" s="40" t="inlineStr">
        <is>
          <t>CHOOSE RATING</t>
        </is>
      </c>
      <c r="DZ164" s="53" t="inlineStr">
        <is>
          <t>CHOOSE RATING</t>
        </is>
      </c>
      <c r="EA164" s="54" t="inlineStr">
        <is>
          <t>Add the Tutor's Comment . . .</t>
        </is>
      </c>
      <c r="EB164" s="55" t="inlineStr">
        <is>
          <t>Choose Principals comment</t>
        </is>
      </c>
      <c r="EC164" s="56" t="n"/>
      <c r="ED164" s="57" t="inlineStr">
        <is>
          <t>Next Term Begins on Monday, 22nd September, 2025</t>
        </is>
      </c>
    </row>
    <row r="165" ht="30.6" customHeight="1" s="6">
      <c r="A165" s="18" t="n">
        <v>162</v>
      </c>
      <c r="B165" s="19" t="n"/>
      <c r="C165" s="20" t="n"/>
      <c r="D165" s="128" t="n"/>
      <c r="E165" s="21" t="n"/>
      <c r="F165" s="22" t="n"/>
      <c r="G165" s="22" t="n"/>
      <c r="H165" s="22" t="n"/>
      <c r="I165" s="26">
        <f>G165-H165</f>
        <v/>
      </c>
      <c r="J165" s="21" t="n"/>
      <c r="K165" s="21" t="n"/>
      <c r="L165" s="27">
        <f>SUM(J165:K165)</f>
        <v/>
      </c>
      <c r="M165" s="28" t="n"/>
      <c r="N165" s="28" t="n"/>
      <c r="O165" s="29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1" t="n"/>
      <c r="Q165" s="21" t="n"/>
      <c r="R165" s="27">
        <f>SUM(P165:Q165)</f>
        <v/>
      </c>
      <c r="S165" s="28" t="n"/>
      <c r="T165" s="28" t="n"/>
      <c r="U165" s="29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1" t="n"/>
      <c r="W165" s="21" t="n"/>
      <c r="X165" s="27">
        <f>SUM(V165:W165)</f>
        <v/>
      </c>
      <c r="Y165" s="28" t="n"/>
      <c r="Z165" s="28" t="n"/>
      <c r="AA165" s="29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1" t="n"/>
      <c r="AC165" s="21" t="n"/>
      <c r="AD165" s="27">
        <f>SUM(AB165:AC165)</f>
        <v/>
      </c>
      <c r="AE165" s="28" t="n"/>
      <c r="AF165" s="28" t="n"/>
      <c r="AG165" s="29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1" t="n"/>
      <c r="AI165" s="21" t="n"/>
      <c r="AJ165" s="27">
        <f>SUM(AH165:AI165)</f>
        <v/>
      </c>
      <c r="AK165" s="28" t="n"/>
      <c r="AL165" s="28" t="n"/>
      <c r="AM165" s="29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1" t="n"/>
      <c r="AO165" s="21" t="n"/>
      <c r="AP165" s="27">
        <f>SUM(AN165:AO165)</f>
        <v/>
      </c>
      <c r="AQ165" s="28" t="n"/>
      <c r="AR165" s="30" t="n"/>
      <c r="AS165" s="29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1" t="n"/>
      <c r="AU165" s="21" t="n"/>
      <c r="AV165" s="27">
        <f>SUM(AT165:AU165)</f>
        <v/>
      </c>
      <c r="AW165" s="28" t="n"/>
      <c r="AX165" s="30" t="n"/>
      <c r="AY165" s="29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1" t="n"/>
      <c r="BA165" s="21" t="n"/>
      <c r="BB165" s="27">
        <f>SUM(AZ165:BA165)</f>
        <v/>
      </c>
      <c r="BC165" s="28" t="n"/>
      <c r="BD165" s="28" t="n"/>
      <c r="BE165" s="29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1" t="n"/>
      <c r="BG165" s="21" t="n"/>
      <c r="BH165" s="27">
        <f>SUM(BF165:BG165)</f>
        <v/>
      </c>
      <c r="BI165" s="28" t="n"/>
      <c r="BJ165" s="28" t="n"/>
      <c r="BK165" s="29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1" t="n"/>
      <c r="BM165" s="21" t="n"/>
      <c r="BN165" s="27">
        <f>SUM(BL165:BM165)</f>
        <v/>
      </c>
      <c r="BO165" s="28" t="n"/>
      <c r="BP165" s="31" t="n"/>
      <c r="BQ165" s="29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1" t="n"/>
      <c r="BS165" s="21" t="n"/>
      <c r="BT165" s="27">
        <f>SUM(BR165:BS165)</f>
        <v/>
      </c>
      <c r="BU165" s="28" t="n"/>
      <c r="BV165" s="31" t="n"/>
      <c r="BW165" s="29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1" t="n"/>
      <c r="BY165" s="21" t="n"/>
      <c r="BZ165" s="27">
        <f>SUM(BX165:BY165)</f>
        <v/>
      </c>
      <c r="CA165" s="28" t="n"/>
      <c r="CB165" s="31" t="n"/>
      <c r="CC165" s="29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1" t="n"/>
      <c r="CE165" s="21" t="n"/>
      <c r="CF165" s="27">
        <f>SUM(CD165:CE165)</f>
        <v/>
      </c>
      <c r="CG165" s="28" t="n"/>
      <c r="CH165" s="31" t="n"/>
      <c r="CI165" s="29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1" t="n"/>
      <c r="CK165" s="21" t="n"/>
      <c r="CL165" s="27">
        <f>SUM(CJ165:CK165)</f>
        <v/>
      </c>
      <c r="CM165" s="28" t="n"/>
      <c r="CN165" s="31" t="n"/>
      <c r="CO165" s="29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1" t="n"/>
      <c r="CQ165" s="21" t="n"/>
      <c r="CR165" s="27">
        <f>SUM(CP165:CQ165)</f>
        <v/>
      </c>
      <c r="CS165" s="28" t="n"/>
      <c r="CT165" s="31" t="n"/>
      <c r="CU165" s="29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1" t="n"/>
      <c r="CW165" s="21" t="n"/>
      <c r="CX165" s="27">
        <f>SUM(CV165:CW165)</f>
        <v/>
      </c>
      <c r="CY165" s="28" t="n"/>
      <c r="CZ165" s="31" t="n"/>
      <c r="DA165" s="29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1" t="n"/>
      <c r="DC165" s="21" t="n"/>
      <c r="DD165" s="27">
        <f>SUM(DB165:DC165)</f>
        <v/>
      </c>
      <c r="DE165" s="28" t="n"/>
      <c r="DF165" s="31" t="n"/>
      <c r="DG165" s="29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34">
        <f>SUM(O165,U165,AA165,AG165,AM165,AS165,AY165,BE165,BK165,BQ165,BW165,CC165,CI165,CO165,CU165,DA165,DG165)</f>
        <v/>
      </c>
      <c r="DI165" s="39">
        <f>RANK(DH165,DH$4:DH$503)</f>
        <v/>
      </c>
      <c r="DJ165" s="40" t="inlineStr">
        <is>
          <t>CHOOSE RATING</t>
        </is>
      </c>
      <c r="DK165" s="40" t="inlineStr">
        <is>
          <t>CHOOSE RATING</t>
        </is>
      </c>
      <c r="DL165" s="40" t="inlineStr">
        <is>
          <t>CHOOSE RATING</t>
        </is>
      </c>
      <c r="DM165" s="40" t="inlineStr">
        <is>
          <t>CHOOSE RATING</t>
        </is>
      </c>
      <c r="DN165" s="40" t="inlineStr">
        <is>
          <t>CHOOSE RATING</t>
        </is>
      </c>
      <c r="DO165" s="40" t="inlineStr">
        <is>
          <t>CHOOSE RATING</t>
        </is>
      </c>
      <c r="DP165" s="40" t="inlineStr">
        <is>
          <t>CHOOSE RATING</t>
        </is>
      </c>
      <c r="DQ165" s="40" t="inlineStr">
        <is>
          <t>CHOOSE RATING</t>
        </is>
      </c>
      <c r="DR165" s="43" t="inlineStr">
        <is>
          <t>2024/2025</t>
        </is>
      </c>
      <c r="DS165" s="45" t="inlineStr">
        <is>
          <t>THIRD</t>
        </is>
      </c>
      <c r="DT165" s="40" t="inlineStr">
        <is>
          <t>CHOOSE RATING</t>
        </is>
      </c>
      <c r="DU165" s="40" t="inlineStr">
        <is>
          <t>CHOOSE RATING</t>
        </is>
      </c>
      <c r="DV165" s="40" t="inlineStr">
        <is>
          <t>CHOOSE RATING</t>
        </is>
      </c>
      <c r="DW165" s="40" t="inlineStr">
        <is>
          <t>CHOOSE RATING</t>
        </is>
      </c>
      <c r="DX165" s="40" t="inlineStr">
        <is>
          <t>CHOOSE RATING</t>
        </is>
      </c>
      <c r="DY165" s="40" t="inlineStr">
        <is>
          <t>CHOOSE RATING</t>
        </is>
      </c>
      <c r="DZ165" s="53" t="inlineStr">
        <is>
          <t>CHOOSE RATING</t>
        </is>
      </c>
      <c r="EA165" s="54" t="inlineStr">
        <is>
          <t>Add the Tutor's Comment . . .</t>
        </is>
      </c>
      <c r="EB165" s="55" t="inlineStr">
        <is>
          <t>Choose Principals comment</t>
        </is>
      </c>
      <c r="EC165" s="56" t="n"/>
      <c r="ED165" s="57" t="inlineStr">
        <is>
          <t>Next Term Begins on Monday, 22nd September, 2025</t>
        </is>
      </c>
    </row>
    <row r="166" ht="30.6" customHeight="1" s="6">
      <c r="A166" s="18" t="n">
        <v>163</v>
      </c>
      <c r="B166" s="19" t="n"/>
      <c r="C166" s="20" t="n"/>
      <c r="D166" s="128" t="n"/>
      <c r="E166" s="21" t="n"/>
      <c r="F166" s="22" t="n"/>
      <c r="G166" s="22" t="n"/>
      <c r="H166" s="22" t="n"/>
      <c r="I166" s="26">
        <f>G166-H166</f>
        <v/>
      </c>
      <c r="J166" s="21" t="n"/>
      <c r="K166" s="21" t="n"/>
      <c r="L166" s="27">
        <f>SUM(J166:K166)</f>
        <v/>
      </c>
      <c r="M166" s="28" t="n"/>
      <c r="N166" s="28" t="n"/>
      <c r="O166" s="29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1" t="n"/>
      <c r="Q166" s="21" t="n"/>
      <c r="R166" s="27">
        <f>SUM(P166:Q166)</f>
        <v/>
      </c>
      <c r="S166" s="28" t="n"/>
      <c r="T166" s="28" t="n"/>
      <c r="U166" s="29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1" t="n"/>
      <c r="W166" s="21" t="n"/>
      <c r="X166" s="27">
        <f>SUM(V166:W166)</f>
        <v/>
      </c>
      <c r="Y166" s="28" t="n"/>
      <c r="Z166" s="28" t="n"/>
      <c r="AA166" s="29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1" t="n"/>
      <c r="AC166" s="21" t="n"/>
      <c r="AD166" s="27">
        <f>SUM(AB166:AC166)</f>
        <v/>
      </c>
      <c r="AE166" s="28" t="n"/>
      <c r="AF166" s="28" t="n"/>
      <c r="AG166" s="29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1" t="n"/>
      <c r="AI166" s="21" t="n"/>
      <c r="AJ166" s="27">
        <f>SUM(AH166:AI166)</f>
        <v/>
      </c>
      <c r="AK166" s="28" t="n"/>
      <c r="AL166" s="28" t="n"/>
      <c r="AM166" s="29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1" t="n"/>
      <c r="AO166" s="21" t="n"/>
      <c r="AP166" s="27">
        <f>SUM(AN166:AO166)</f>
        <v/>
      </c>
      <c r="AQ166" s="28" t="n"/>
      <c r="AR166" s="30" t="n"/>
      <c r="AS166" s="29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1" t="n"/>
      <c r="AU166" s="21" t="n"/>
      <c r="AV166" s="27">
        <f>SUM(AT166:AU166)</f>
        <v/>
      </c>
      <c r="AW166" s="28" t="n"/>
      <c r="AX166" s="30" t="n"/>
      <c r="AY166" s="29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1" t="n"/>
      <c r="BA166" s="21" t="n"/>
      <c r="BB166" s="27">
        <f>SUM(AZ166:BA166)</f>
        <v/>
      </c>
      <c r="BC166" s="28" t="n"/>
      <c r="BD166" s="28" t="n"/>
      <c r="BE166" s="29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1" t="n"/>
      <c r="BG166" s="21" t="n"/>
      <c r="BH166" s="27">
        <f>SUM(BF166:BG166)</f>
        <v/>
      </c>
      <c r="BI166" s="28" t="n"/>
      <c r="BJ166" s="28" t="n"/>
      <c r="BK166" s="29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1" t="n"/>
      <c r="BM166" s="21" t="n"/>
      <c r="BN166" s="27">
        <f>SUM(BL166:BM166)</f>
        <v/>
      </c>
      <c r="BO166" s="28" t="n"/>
      <c r="BP166" s="31" t="n"/>
      <c r="BQ166" s="29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1" t="n"/>
      <c r="BS166" s="21" t="n"/>
      <c r="BT166" s="27">
        <f>SUM(BR166:BS166)</f>
        <v/>
      </c>
      <c r="BU166" s="28" t="n"/>
      <c r="BV166" s="31" t="n"/>
      <c r="BW166" s="29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1" t="n"/>
      <c r="BY166" s="21" t="n"/>
      <c r="BZ166" s="27">
        <f>SUM(BX166:BY166)</f>
        <v/>
      </c>
      <c r="CA166" s="28" t="n"/>
      <c r="CB166" s="31" t="n"/>
      <c r="CC166" s="29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1" t="n"/>
      <c r="CE166" s="21" t="n"/>
      <c r="CF166" s="27">
        <f>SUM(CD166:CE166)</f>
        <v/>
      </c>
      <c r="CG166" s="28" t="n"/>
      <c r="CH166" s="31" t="n"/>
      <c r="CI166" s="29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1" t="n"/>
      <c r="CK166" s="21" t="n"/>
      <c r="CL166" s="27">
        <f>SUM(CJ166:CK166)</f>
        <v/>
      </c>
      <c r="CM166" s="28" t="n"/>
      <c r="CN166" s="31" t="n"/>
      <c r="CO166" s="29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1" t="n"/>
      <c r="CQ166" s="21" t="n"/>
      <c r="CR166" s="27">
        <f>SUM(CP166:CQ166)</f>
        <v/>
      </c>
      <c r="CS166" s="28" t="n"/>
      <c r="CT166" s="31" t="n"/>
      <c r="CU166" s="29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1" t="n"/>
      <c r="CW166" s="21" t="n"/>
      <c r="CX166" s="27">
        <f>SUM(CV166:CW166)</f>
        <v/>
      </c>
      <c r="CY166" s="28" t="n"/>
      <c r="CZ166" s="31" t="n"/>
      <c r="DA166" s="29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1" t="n"/>
      <c r="DC166" s="21" t="n"/>
      <c r="DD166" s="27">
        <f>SUM(DB166:DC166)</f>
        <v/>
      </c>
      <c r="DE166" s="28" t="n"/>
      <c r="DF166" s="31" t="n"/>
      <c r="DG166" s="29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34">
        <f>SUM(O166,U166,AA166,AG166,AM166,AS166,AY166,BE166,BK166,BQ166,BW166,CC166,CI166,CO166,CU166,DA166,DG166)</f>
        <v/>
      </c>
      <c r="DI166" s="39">
        <f>RANK(DH166,DH$4:DH$503)</f>
        <v/>
      </c>
      <c r="DJ166" s="40" t="inlineStr">
        <is>
          <t>CHOOSE RATING</t>
        </is>
      </c>
      <c r="DK166" s="40" t="inlineStr">
        <is>
          <t>CHOOSE RATING</t>
        </is>
      </c>
      <c r="DL166" s="40" t="inlineStr">
        <is>
          <t>CHOOSE RATING</t>
        </is>
      </c>
      <c r="DM166" s="40" t="inlineStr">
        <is>
          <t>CHOOSE RATING</t>
        </is>
      </c>
      <c r="DN166" s="40" t="inlineStr">
        <is>
          <t>CHOOSE RATING</t>
        </is>
      </c>
      <c r="DO166" s="40" t="inlineStr">
        <is>
          <t>CHOOSE RATING</t>
        </is>
      </c>
      <c r="DP166" s="40" t="inlineStr">
        <is>
          <t>CHOOSE RATING</t>
        </is>
      </c>
      <c r="DQ166" s="40" t="inlineStr">
        <is>
          <t>CHOOSE RATING</t>
        </is>
      </c>
      <c r="DR166" s="43" t="inlineStr">
        <is>
          <t>2024/2025</t>
        </is>
      </c>
      <c r="DS166" s="45" t="inlineStr">
        <is>
          <t>THIRD</t>
        </is>
      </c>
      <c r="DT166" s="40" t="inlineStr">
        <is>
          <t>CHOOSE RATING</t>
        </is>
      </c>
      <c r="DU166" s="40" t="inlineStr">
        <is>
          <t>CHOOSE RATING</t>
        </is>
      </c>
      <c r="DV166" s="40" t="inlineStr">
        <is>
          <t>CHOOSE RATING</t>
        </is>
      </c>
      <c r="DW166" s="40" t="inlineStr">
        <is>
          <t>CHOOSE RATING</t>
        </is>
      </c>
      <c r="DX166" s="40" t="inlineStr">
        <is>
          <t>CHOOSE RATING</t>
        </is>
      </c>
      <c r="DY166" s="40" t="inlineStr">
        <is>
          <t>CHOOSE RATING</t>
        </is>
      </c>
      <c r="DZ166" s="53" t="inlineStr">
        <is>
          <t>CHOOSE RATING</t>
        </is>
      </c>
      <c r="EA166" s="54" t="inlineStr">
        <is>
          <t>Add the Tutor's Comment . . .</t>
        </is>
      </c>
      <c r="EB166" s="55" t="inlineStr">
        <is>
          <t>Choose Principals comment</t>
        </is>
      </c>
      <c r="EC166" s="56" t="n"/>
      <c r="ED166" s="57" t="inlineStr">
        <is>
          <t>Next Term Begins on Monday, 22nd September, 2025</t>
        </is>
      </c>
    </row>
    <row r="167" ht="30.6" customHeight="1" s="6">
      <c r="A167" s="18" t="n">
        <v>164</v>
      </c>
      <c r="B167" s="19" t="n"/>
      <c r="C167" s="20" t="n"/>
      <c r="D167" s="128" t="n"/>
      <c r="E167" s="21" t="n"/>
      <c r="F167" s="22" t="n"/>
      <c r="G167" s="22" t="n"/>
      <c r="H167" s="22" t="n"/>
      <c r="I167" s="26">
        <f>G167-H167</f>
        <v/>
      </c>
      <c r="J167" s="21" t="n"/>
      <c r="K167" s="21" t="n"/>
      <c r="L167" s="27">
        <f>SUM(J167:K167)</f>
        <v/>
      </c>
      <c r="M167" s="28" t="n"/>
      <c r="N167" s="28" t="n"/>
      <c r="O167" s="29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1" t="n"/>
      <c r="Q167" s="21" t="n"/>
      <c r="R167" s="27">
        <f>SUM(P167:Q167)</f>
        <v/>
      </c>
      <c r="S167" s="28" t="n"/>
      <c r="T167" s="28" t="n"/>
      <c r="U167" s="29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1" t="n"/>
      <c r="W167" s="21" t="n"/>
      <c r="X167" s="27">
        <f>SUM(V167:W167)</f>
        <v/>
      </c>
      <c r="Y167" s="28" t="n"/>
      <c r="Z167" s="28" t="n"/>
      <c r="AA167" s="29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1" t="n"/>
      <c r="AC167" s="21" t="n"/>
      <c r="AD167" s="27">
        <f>SUM(AB167:AC167)</f>
        <v/>
      </c>
      <c r="AE167" s="28" t="n"/>
      <c r="AF167" s="28" t="n"/>
      <c r="AG167" s="29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1" t="n"/>
      <c r="AI167" s="21" t="n"/>
      <c r="AJ167" s="27">
        <f>SUM(AH167:AI167)</f>
        <v/>
      </c>
      <c r="AK167" s="28" t="n"/>
      <c r="AL167" s="28" t="n"/>
      <c r="AM167" s="29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1" t="n"/>
      <c r="AO167" s="21" t="n"/>
      <c r="AP167" s="27">
        <f>SUM(AN167:AO167)</f>
        <v/>
      </c>
      <c r="AQ167" s="28" t="n"/>
      <c r="AR167" s="30" t="n"/>
      <c r="AS167" s="29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1" t="n"/>
      <c r="AU167" s="21" t="n"/>
      <c r="AV167" s="27">
        <f>SUM(AT167:AU167)</f>
        <v/>
      </c>
      <c r="AW167" s="28" t="n"/>
      <c r="AX167" s="30" t="n"/>
      <c r="AY167" s="29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1" t="n"/>
      <c r="BA167" s="21" t="n"/>
      <c r="BB167" s="27">
        <f>SUM(AZ167:BA167)</f>
        <v/>
      </c>
      <c r="BC167" s="28" t="n"/>
      <c r="BD167" s="28" t="n"/>
      <c r="BE167" s="29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1" t="n"/>
      <c r="BG167" s="21" t="n"/>
      <c r="BH167" s="27">
        <f>SUM(BF167:BG167)</f>
        <v/>
      </c>
      <c r="BI167" s="28" t="n"/>
      <c r="BJ167" s="28" t="n"/>
      <c r="BK167" s="29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1" t="n"/>
      <c r="BM167" s="21" t="n"/>
      <c r="BN167" s="27">
        <f>SUM(BL167:BM167)</f>
        <v/>
      </c>
      <c r="BO167" s="28" t="n"/>
      <c r="BP167" s="31" t="n"/>
      <c r="BQ167" s="29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1" t="n"/>
      <c r="BS167" s="21" t="n"/>
      <c r="BT167" s="27">
        <f>SUM(BR167:BS167)</f>
        <v/>
      </c>
      <c r="BU167" s="28" t="n"/>
      <c r="BV167" s="31" t="n"/>
      <c r="BW167" s="29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1" t="n"/>
      <c r="BY167" s="21" t="n"/>
      <c r="BZ167" s="27">
        <f>SUM(BX167:BY167)</f>
        <v/>
      </c>
      <c r="CA167" s="28" t="n"/>
      <c r="CB167" s="31" t="n"/>
      <c r="CC167" s="29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1" t="n"/>
      <c r="CE167" s="21" t="n"/>
      <c r="CF167" s="27">
        <f>SUM(CD167:CE167)</f>
        <v/>
      </c>
      <c r="CG167" s="28" t="n"/>
      <c r="CH167" s="31" t="n"/>
      <c r="CI167" s="29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1" t="n"/>
      <c r="CK167" s="21" t="n"/>
      <c r="CL167" s="27">
        <f>SUM(CJ167:CK167)</f>
        <v/>
      </c>
      <c r="CM167" s="28" t="n"/>
      <c r="CN167" s="31" t="n"/>
      <c r="CO167" s="29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1" t="n"/>
      <c r="CQ167" s="21" t="n"/>
      <c r="CR167" s="27">
        <f>SUM(CP167:CQ167)</f>
        <v/>
      </c>
      <c r="CS167" s="28" t="n"/>
      <c r="CT167" s="31" t="n"/>
      <c r="CU167" s="29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1" t="n"/>
      <c r="CW167" s="21" t="n"/>
      <c r="CX167" s="27">
        <f>SUM(CV167:CW167)</f>
        <v/>
      </c>
      <c r="CY167" s="28" t="n"/>
      <c r="CZ167" s="31" t="n"/>
      <c r="DA167" s="29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1" t="n"/>
      <c r="DC167" s="21" t="n"/>
      <c r="DD167" s="27">
        <f>SUM(DB167:DC167)</f>
        <v/>
      </c>
      <c r="DE167" s="28" t="n"/>
      <c r="DF167" s="31" t="n"/>
      <c r="DG167" s="29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34">
        <f>SUM(O167,U167,AA167,AG167,AM167,AS167,AY167,BE167,BK167,BQ167,BW167,CC167,CI167,CO167,CU167,DA167,DG167)</f>
        <v/>
      </c>
      <c r="DI167" s="39">
        <f>RANK(DH167,DH$4:DH$503)</f>
        <v/>
      </c>
      <c r="DJ167" s="40" t="inlineStr">
        <is>
          <t>CHOOSE RATING</t>
        </is>
      </c>
      <c r="DK167" s="40" t="inlineStr">
        <is>
          <t>CHOOSE RATING</t>
        </is>
      </c>
      <c r="DL167" s="40" t="inlineStr">
        <is>
          <t>CHOOSE RATING</t>
        </is>
      </c>
      <c r="DM167" s="40" t="inlineStr">
        <is>
          <t>CHOOSE RATING</t>
        </is>
      </c>
      <c r="DN167" s="40" t="inlineStr">
        <is>
          <t>CHOOSE RATING</t>
        </is>
      </c>
      <c r="DO167" s="40" t="inlineStr">
        <is>
          <t>CHOOSE RATING</t>
        </is>
      </c>
      <c r="DP167" s="40" t="inlineStr">
        <is>
          <t>CHOOSE RATING</t>
        </is>
      </c>
      <c r="DQ167" s="40" t="inlineStr">
        <is>
          <t>CHOOSE RATING</t>
        </is>
      </c>
      <c r="DR167" s="43" t="inlineStr">
        <is>
          <t>2024/2025</t>
        </is>
      </c>
      <c r="DS167" s="45" t="inlineStr">
        <is>
          <t>THIRD</t>
        </is>
      </c>
      <c r="DT167" s="40" t="inlineStr">
        <is>
          <t>CHOOSE RATING</t>
        </is>
      </c>
      <c r="DU167" s="40" t="inlineStr">
        <is>
          <t>CHOOSE RATING</t>
        </is>
      </c>
      <c r="DV167" s="40" t="inlineStr">
        <is>
          <t>CHOOSE RATING</t>
        </is>
      </c>
      <c r="DW167" s="40" t="inlineStr">
        <is>
          <t>CHOOSE RATING</t>
        </is>
      </c>
      <c r="DX167" s="40" t="inlineStr">
        <is>
          <t>CHOOSE RATING</t>
        </is>
      </c>
      <c r="DY167" s="40" t="inlineStr">
        <is>
          <t>CHOOSE RATING</t>
        </is>
      </c>
      <c r="DZ167" s="53" t="inlineStr">
        <is>
          <t>CHOOSE RATING</t>
        </is>
      </c>
      <c r="EA167" s="54" t="inlineStr">
        <is>
          <t>Add the Tutor's Comment . . .</t>
        </is>
      </c>
      <c r="EB167" s="55" t="inlineStr">
        <is>
          <t>Choose Principals comment</t>
        </is>
      </c>
      <c r="EC167" s="56" t="n"/>
      <c r="ED167" s="57" t="inlineStr">
        <is>
          <t>Next Term Begins on Monday, 22nd September, 2025</t>
        </is>
      </c>
    </row>
    <row r="168" ht="30.6" customHeight="1" s="6">
      <c r="A168" s="18" t="n">
        <v>165</v>
      </c>
      <c r="B168" s="19" t="n"/>
      <c r="C168" s="20" t="n"/>
      <c r="D168" s="128" t="n"/>
      <c r="E168" s="21" t="n"/>
      <c r="F168" s="22" t="n"/>
      <c r="G168" s="22" t="n"/>
      <c r="H168" s="22" t="n"/>
      <c r="I168" s="26">
        <f>G168-H168</f>
        <v/>
      </c>
      <c r="J168" s="21" t="n"/>
      <c r="K168" s="21" t="n"/>
      <c r="L168" s="27">
        <f>SUM(J168:K168)</f>
        <v/>
      </c>
      <c r="M168" s="28" t="n"/>
      <c r="N168" s="28" t="n"/>
      <c r="O168" s="29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1" t="n"/>
      <c r="Q168" s="21" t="n"/>
      <c r="R168" s="27">
        <f>SUM(P168:Q168)</f>
        <v/>
      </c>
      <c r="S168" s="28" t="n"/>
      <c r="T168" s="28" t="n"/>
      <c r="U168" s="29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1" t="n"/>
      <c r="W168" s="21" t="n"/>
      <c r="X168" s="27">
        <f>SUM(V168:W168)</f>
        <v/>
      </c>
      <c r="Y168" s="28" t="n"/>
      <c r="Z168" s="28" t="n"/>
      <c r="AA168" s="29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1" t="n"/>
      <c r="AC168" s="21" t="n"/>
      <c r="AD168" s="27">
        <f>SUM(AB168:AC168)</f>
        <v/>
      </c>
      <c r="AE168" s="28" t="n"/>
      <c r="AF168" s="28" t="n"/>
      <c r="AG168" s="29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1" t="n"/>
      <c r="AI168" s="21" t="n"/>
      <c r="AJ168" s="27">
        <f>SUM(AH168:AI168)</f>
        <v/>
      </c>
      <c r="AK168" s="28" t="n"/>
      <c r="AL168" s="28" t="n"/>
      <c r="AM168" s="29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1" t="n"/>
      <c r="AO168" s="21" t="n"/>
      <c r="AP168" s="27">
        <f>SUM(AN168:AO168)</f>
        <v/>
      </c>
      <c r="AQ168" s="28" t="n"/>
      <c r="AR168" s="30" t="n"/>
      <c r="AS168" s="29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1" t="n"/>
      <c r="AU168" s="21" t="n"/>
      <c r="AV168" s="27">
        <f>SUM(AT168:AU168)</f>
        <v/>
      </c>
      <c r="AW168" s="28" t="n"/>
      <c r="AX168" s="30" t="n"/>
      <c r="AY168" s="29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1" t="n"/>
      <c r="BA168" s="21" t="n"/>
      <c r="BB168" s="27">
        <f>SUM(AZ168:BA168)</f>
        <v/>
      </c>
      <c r="BC168" s="28" t="n"/>
      <c r="BD168" s="28" t="n"/>
      <c r="BE168" s="29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1" t="n"/>
      <c r="BG168" s="21" t="n"/>
      <c r="BH168" s="27">
        <f>SUM(BF168:BG168)</f>
        <v/>
      </c>
      <c r="BI168" s="28" t="n"/>
      <c r="BJ168" s="28" t="n"/>
      <c r="BK168" s="29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1" t="n"/>
      <c r="BM168" s="21" t="n"/>
      <c r="BN168" s="27">
        <f>SUM(BL168:BM168)</f>
        <v/>
      </c>
      <c r="BO168" s="28" t="n"/>
      <c r="BP168" s="31" t="n"/>
      <c r="BQ168" s="29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1" t="n"/>
      <c r="BS168" s="21" t="n"/>
      <c r="BT168" s="27">
        <f>SUM(BR168:BS168)</f>
        <v/>
      </c>
      <c r="BU168" s="28" t="n"/>
      <c r="BV168" s="31" t="n"/>
      <c r="BW168" s="29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1" t="n"/>
      <c r="BY168" s="21" t="n"/>
      <c r="BZ168" s="27">
        <f>SUM(BX168:BY168)</f>
        <v/>
      </c>
      <c r="CA168" s="28" t="n"/>
      <c r="CB168" s="31" t="n"/>
      <c r="CC168" s="29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1" t="n"/>
      <c r="CE168" s="21" t="n"/>
      <c r="CF168" s="27">
        <f>SUM(CD168:CE168)</f>
        <v/>
      </c>
      <c r="CG168" s="28" t="n"/>
      <c r="CH168" s="31" t="n"/>
      <c r="CI168" s="29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1" t="n"/>
      <c r="CK168" s="21" t="n"/>
      <c r="CL168" s="27">
        <f>SUM(CJ168:CK168)</f>
        <v/>
      </c>
      <c r="CM168" s="28" t="n"/>
      <c r="CN168" s="31" t="n"/>
      <c r="CO168" s="29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1" t="n"/>
      <c r="CQ168" s="21" t="n"/>
      <c r="CR168" s="27">
        <f>SUM(CP168:CQ168)</f>
        <v/>
      </c>
      <c r="CS168" s="28" t="n"/>
      <c r="CT168" s="31" t="n"/>
      <c r="CU168" s="29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1" t="n"/>
      <c r="CW168" s="21" t="n"/>
      <c r="CX168" s="27">
        <f>SUM(CV168:CW168)</f>
        <v/>
      </c>
      <c r="CY168" s="28" t="n"/>
      <c r="CZ168" s="31" t="n"/>
      <c r="DA168" s="29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1" t="n"/>
      <c r="DC168" s="21" t="n"/>
      <c r="DD168" s="27">
        <f>SUM(DB168:DC168)</f>
        <v/>
      </c>
      <c r="DE168" s="28" t="n"/>
      <c r="DF168" s="31" t="n"/>
      <c r="DG168" s="29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34">
        <f>SUM(O168,U168,AA168,AG168,AM168,AS168,AY168,BE168,BK168,BQ168,BW168,CC168,CI168,CO168,CU168,DA168,DG168)</f>
        <v/>
      </c>
      <c r="DI168" s="39">
        <f>RANK(DH168,DH$4:DH$503)</f>
        <v/>
      </c>
      <c r="DJ168" s="40" t="inlineStr">
        <is>
          <t>CHOOSE RATING</t>
        </is>
      </c>
      <c r="DK168" s="40" t="inlineStr">
        <is>
          <t>CHOOSE RATING</t>
        </is>
      </c>
      <c r="DL168" s="40" t="inlineStr">
        <is>
          <t>CHOOSE RATING</t>
        </is>
      </c>
      <c r="DM168" s="40" t="inlineStr">
        <is>
          <t>CHOOSE RATING</t>
        </is>
      </c>
      <c r="DN168" s="40" t="inlineStr">
        <is>
          <t>CHOOSE RATING</t>
        </is>
      </c>
      <c r="DO168" s="40" t="inlineStr">
        <is>
          <t>CHOOSE RATING</t>
        </is>
      </c>
      <c r="DP168" s="40" t="inlineStr">
        <is>
          <t>CHOOSE RATING</t>
        </is>
      </c>
      <c r="DQ168" s="40" t="inlineStr">
        <is>
          <t>CHOOSE RATING</t>
        </is>
      </c>
      <c r="DR168" s="43" t="inlineStr">
        <is>
          <t>2024/2025</t>
        </is>
      </c>
      <c r="DS168" s="45" t="inlineStr">
        <is>
          <t>THIRD</t>
        </is>
      </c>
      <c r="DT168" s="40" t="inlineStr">
        <is>
          <t>CHOOSE RATING</t>
        </is>
      </c>
      <c r="DU168" s="40" t="inlineStr">
        <is>
          <t>CHOOSE RATING</t>
        </is>
      </c>
      <c r="DV168" s="40" t="inlineStr">
        <is>
          <t>CHOOSE RATING</t>
        </is>
      </c>
      <c r="DW168" s="40" t="inlineStr">
        <is>
          <t>CHOOSE RATING</t>
        </is>
      </c>
      <c r="DX168" s="40" t="inlineStr">
        <is>
          <t>CHOOSE RATING</t>
        </is>
      </c>
      <c r="DY168" s="40" t="inlineStr">
        <is>
          <t>CHOOSE RATING</t>
        </is>
      </c>
      <c r="DZ168" s="53" t="inlineStr">
        <is>
          <t>CHOOSE RATING</t>
        </is>
      </c>
      <c r="EA168" s="54" t="inlineStr">
        <is>
          <t>Add the Tutor's Comment . . .</t>
        </is>
      </c>
      <c r="EB168" s="55" t="inlineStr">
        <is>
          <t>Choose Principals comment</t>
        </is>
      </c>
      <c r="EC168" s="56" t="n"/>
      <c r="ED168" s="57" t="inlineStr">
        <is>
          <t>Next Term Begins on Monday, 22nd September, 2025</t>
        </is>
      </c>
    </row>
    <row r="169" ht="30.6" customHeight="1" s="6">
      <c r="A169" s="18" t="n">
        <v>166</v>
      </c>
      <c r="B169" s="19" t="n"/>
      <c r="C169" s="20" t="n"/>
      <c r="D169" s="128" t="n"/>
      <c r="E169" s="21" t="n"/>
      <c r="F169" s="22" t="n"/>
      <c r="G169" s="22" t="n"/>
      <c r="H169" s="22" t="n"/>
      <c r="I169" s="26">
        <f>G169-H169</f>
        <v/>
      </c>
      <c r="J169" s="21" t="n"/>
      <c r="K169" s="21" t="n"/>
      <c r="L169" s="27">
        <f>SUM(J169:K169)</f>
        <v/>
      </c>
      <c r="M169" s="28" t="n"/>
      <c r="N169" s="28" t="n"/>
      <c r="O169" s="29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1" t="n"/>
      <c r="Q169" s="21" t="n"/>
      <c r="R169" s="27">
        <f>SUM(P169:Q169)</f>
        <v/>
      </c>
      <c r="S169" s="28" t="n"/>
      <c r="T169" s="28" t="n"/>
      <c r="U169" s="29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1" t="n"/>
      <c r="W169" s="21" t="n"/>
      <c r="X169" s="27">
        <f>SUM(V169:W169)</f>
        <v/>
      </c>
      <c r="Y169" s="28" t="n"/>
      <c r="Z169" s="28" t="n"/>
      <c r="AA169" s="29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1" t="n"/>
      <c r="AC169" s="21" t="n"/>
      <c r="AD169" s="27">
        <f>SUM(AB169:AC169)</f>
        <v/>
      </c>
      <c r="AE169" s="28" t="n"/>
      <c r="AF169" s="28" t="n"/>
      <c r="AG169" s="29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1" t="n"/>
      <c r="AI169" s="21" t="n"/>
      <c r="AJ169" s="27">
        <f>SUM(AH169:AI169)</f>
        <v/>
      </c>
      <c r="AK169" s="28" t="n"/>
      <c r="AL169" s="28" t="n"/>
      <c r="AM169" s="29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1" t="n"/>
      <c r="AO169" s="21" t="n"/>
      <c r="AP169" s="27">
        <f>SUM(AN169:AO169)</f>
        <v/>
      </c>
      <c r="AQ169" s="28" t="n"/>
      <c r="AR169" s="30" t="n"/>
      <c r="AS169" s="29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1" t="n"/>
      <c r="AU169" s="21" t="n"/>
      <c r="AV169" s="27">
        <f>SUM(AT169:AU169)</f>
        <v/>
      </c>
      <c r="AW169" s="28" t="n"/>
      <c r="AX169" s="30" t="n"/>
      <c r="AY169" s="29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1" t="n"/>
      <c r="BA169" s="21" t="n"/>
      <c r="BB169" s="27">
        <f>SUM(AZ169:BA169)</f>
        <v/>
      </c>
      <c r="BC169" s="28" t="n"/>
      <c r="BD169" s="28" t="n"/>
      <c r="BE169" s="29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1" t="n"/>
      <c r="BG169" s="21" t="n"/>
      <c r="BH169" s="27">
        <f>SUM(BF169:BG169)</f>
        <v/>
      </c>
      <c r="BI169" s="28" t="n"/>
      <c r="BJ169" s="28" t="n"/>
      <c r="BK169" s="29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1" t="n"/>
      <c r="BM169" s="21" t="n"/>
      <c r="BN169" s="27">
        <f>SUM(BL169:BM169)</f>
        <v/>
      </c>
      <c r="BO169" s="28" t="n"/>
      <c r="BP169" s="31" t="n"/>
      <c r="BQ169" s="29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1" t="n"/>
      <c r="BS169" s="21" t="n"/>
      <c r="BT169" s="27">
        <f>SUM(BR169:BS169)</f>
        <v/>
      </c>
      <c r="BU169" s="28" t="n"/>
      <c r="BV169" s="31" t="n"/>
      <c r="BW169" s="29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1" t="n"/>
      <c r="BY169" s="21" t="n"/>
      <c r="BZ169" s="27">
        <f>SUM(BX169:BY169)</f>
        <v/>
      </c>
      <c r="CA169" s="28" t="n"/>
      <c r="CB169" s="31" t="n"/>
      <c r="CC169" s="29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1" t="n"/>
      <c r="CE169" s="21" t="n"/>
      <c r="CF169" s="27">
        <f>SUM(CD169:CE169)</f>
        <v/>
      </c>
      <c r="CG169" s="28" t="n"/>
      <c r="CH169" s="31" t="n"/>
      <c r="CI169" s="29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1" t="n"/>
      <c r="CK169" s="21" t="n"/>
      <c r="CL169" s="27">
        <f>SUM(CJ169:CK169)</f>
        <v/>
      </c>
      <c r="CM169" s="28" t="n"/>
      <c r="CN169" s="31" t="n"/>
      <c r="CO169" s="29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1" t="n"/>
      <c r="CQ169" s="21" t="n"/>
      <c r="CR169" s="27">
        <f>SUM(CP169:CQ169)</f>
        <v/>
      </c>
      <c r="CS169" s="28" t="n"/>
      <c r="CT169" s="31" t="n"/>
      <c r="CU169" s="29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1" t="n"/>
      <c r="CW169" s="21" t="n"/>
      <c r="CX169" s="27">
        <f>SUM(CV169:CW169)</f>
        <v/>
      </c>
      <c r="CY169" s="28" t="n"/>
      <c r="CZ169" s="31" t="n"/>
      <c r="DA169" s="29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1" t="n"/>
      <c r="DC169" s="21" t="n"/>
      <c r="DD169" s="27">
        <f>SUM(DB169:DC169)</f>
        <v/>
      </c>
      <c r="DE169" s="28" t="n"/>
      <c r="DF169" s="31" t="n"/>
      <c r="DG169" s="29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34">
        <f>SUM(O169,U169,AA169,AG169,AM169,AS169,AY169,BE169,BK169,BQ169,BW169,CC169,CI169,CO169,CU169,DA169,DG169)</f>
        <v/>
      </c>
      <c r="DI169" s="39">
        <f>RANK(DH169,DH$4:DH$503)</f>
        <v/>
      </c>
      <c r="DJ169" s="40" t="inlineStr">
        <is>
          <t>CHOOSE RATING</t>
        </is>
      </c>
      <c r="DK169" s="40" t="inlineStr">
        <is>
          <t>CHOOSE RATING</t>
        </is>
      </c>
      <c r="DL169" s="40" t="inlineStr">
        <is>
          <t>CHOOSE RATING</t>
        </is>
      </c>
      <c r="DM169" s="40" t="inlineStr">
        <is>
          <t>CHOOSE RATING</t>
        </is>
      </c>
      <c r="DN169" s="40" t="inlineStr">
        <is>
          <t>CHOOSE RATING</t>
        </is>
      </c>
      <c r="DO169" s="40" t="inlineStr">
        <is>
          <t>CHOOSE RATING</t>
        </is>
      </c>
      <c r="DP169" s="40" t="inlineStr">
        <is>
          <t>CHOOSE RATING</t>
        </is>
      </c>
      <c r="DQ169" s="40" t="inlineStr">
        <is>
          <t>CHOOSE RATING</t>
        </is>
      </c>
      <c r="DR169" s="43" t="inlineStr">
        <is>
          <t>2024/2025</t>
        </is>
      </c>
      <c r="DS169" s="45" t="inlineStr">
        <is>
          <t>THIRD</t>
        </is>
      </c>
      <c r="DT169" s="40" t="inlineStr">
        <is>
          <t>CHOOSE RATING</t>
        </is>
      </c>
      <c r="DU169" s="40" t="inlineStr">
        <is>
          <t>CHOOSE RATING</t>
        </is>
      </c>
      <c r="DV169" s="40" t="inlineStr">
        <is>
          <t>CHOOSE RATING</t>
        </is>
      </c>
      <c r="DW169" s="40" t="inlineStr">
        <is>
          <t>CHOOSE RATING</t>
        </is>
      </c>
      <c r="DX169" s="40" t="inlineStr">
        <is>
          <t>CHOOSE RATING</t>
        </is>
      </c>
      <c r="DY169" s="40" t="inlineStr">
        <is>
          <t>CHOOSE RATING</t>
        </is>
      </c>
      <c r="DZ169" s="53" t="inlineStr">
        <is>
          <t>CHOOSE RATING</t>
        </is>
      </c>
      <c r="EA169" s="54" t="inlineStr">
        <is>
          <t>Add the Tutor's Comment . . .</t>
        </is>
      </c>
      <c r="EB169" s="55" t="inlineStr">
        <is>
          <t>Choose Principals comment</t>
        </is>
      </c>
      <c r="EC169" s="56" t="n"/>
      <c r="ED169" s="57" t="inlineStr">
        <is>
          <t>Next Term Begins on Monday, 22nd September, 2025</t>
        </is>
      </c>
    </row>
    <row r="170" ht="30.6" customHeight="1" s="6">
      <c r="A170" s="18" t="n">
        <v>167</v>
      </c>
      <c r="B170" s="19" t="n"/>
      <c r="C170" s="20" t="n"/>
      <c r="D170" s="128" t="n"/>
      <c r="E170" s="21" t="n"/>
      <c r="F170" s="22" t="n"/>
      <c r="G170" s="22" t="n"/>
      <c r="H170" s="22" t="n"/>
      <c r="I170" s="26">
        <f>G170-H170</f>
        <v/>
      </c>
      <c r="J170" s="21" t="n"/>
      <c r="K170" s="21" t="n"/>
      <c r="L170" s="27">
        <f>SUM(J170:K170)</f>
        <v/>
      </c>
      <c r="M170" s="28" t="n"/>
      <c r="N170" s="28" t="n"/>
      <c r="O170" s="29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1" t="n"/>
      <c r="Q170" s="21" t="n"/>
      <c r="R170" s="27">
        <f>SUM(P170:Q170)</f>
        <v/>
      </c>
      <c r="S170" s="28" t="n"/>
      <c r="T170" s="28" t="n"/>
      <c r="U170" s="29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1" t="n"/>
      <c r="W170" s="21" t="n"/>
      <c r="X170" s="27">
        <f>SUM(V170:W170)</f>
        <v/>
      </c>
      <c r="Y170" s="28" t="n"/>
      <c r="Z170" s="28" t="n"/>
      <c r="AA170" s="29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1" t="n"/>
      <c r="AC170" s="21" t="n"/>
      <c r="AD170" s="27">
        <f>SUM(AB170:AC170)</f>
        <v/>
      </c>
      <c r="AE170" s="28" t="n"/>
      <c r="AF170" s="28" t="n"/>
      <c r="AG170" s="29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1" t="n"/>
      <c r="AI170" s="21" t="n"/>
      <c r="AJ170" s="27">
        <f>SUM(AH170:AI170)</f>
        <v/>
      </c>
      <c r="AK170" s="28" t="n"/>
      <c r="AL170" s="28" t="n"/>
      <c r="AM170" s="29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1" t="n"/>
      <c r="AO170" s="21" t="n"/>
      <c r="AP170" s="27">
        <f>SUM(AN170:AO170)</f>
        <v/>
      </c>
      <c r="AQ170" s="28" t="n"/>
      <c r="AR170" s="30" t="n"/>
      <c r="AS170" s="29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1" t="n"/>
      <c r="AU170" s="21" t="n"/>
      <c r="AV170" s="27">
        <f>SUM(AT170:AU170)</f>
        <v/>
      </c>
      <c r="AW170" s="28" t="n"/>
      <c r="AX170" s="30" t="n"/>
      <c r="AY170" s="29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1" t="n"/>
      <c r="BA170" s="21" t="n"/>
      <c r="BB170" s="27">
        <f>SUM(AZ170:BA170)</f>
        <v/>
      </c>
      <c r="BC170" s="28" t="n"/>
      <c r="BD170" s="28" t="n"/>
      <c r="BE170" s="29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1" t="n"/>
      <c r="BG170" s="21" t="n"/>
      <c r="BH170" s="27">
        <f>SUM(BF170:BG170)</f>
        <v/>
      </c>
      <c r="BI170" s="28" t="n"/>
      <c r="BJ170" s="28" t="n"/>
      <c r="BK170" s="29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1" t="n"/>
      <c r="BM170" s="21" t="n"/>
      <c r="BN170" s="27">
        <f>SUM(BL170:BM170)</f>
        <v/>
      </c>
      <c r="BO170" s="28" t="n"/>
      <c r="BP170" s="31" t="n"/>
      <c r="BQ170" s="29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1" t="n"/>
      <c r="BS170" s="21" t="n"/>
      <c r="BT170" s="27">
        <f>SUM(BR170:BS170)</f>
        <v/>
      </c>
      <c r="BU170" s="28" t="n"/>
      <c r="BV170" s="31" t="n"/>
      <c r="BW170" s="29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1" t="n"/>
      <c r="BY170" s="21" t="n"/>
      <c r="BZ170" s="27">
        <f>SUM(BX170:BY170)</f>
        <v/>
      </c>
      <c r="CA170" s="28" t="n"/>
      <c r="CB170" s="31" t="n"/>
      <c r="CC170" s="29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1" t="n"/>
      <c r="CE170" s="21" t="n"/>
      <c r="CF170" s="27">
        <f>SUM(CD170:CE170)</f>
        <v/>
      </c>
      <c r="CG170" s="28" t="n"/>
      <c r="CH170" s="31" t="n"/>
      <c r="CI170" s="29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1" t="n"/>
      <c r="CK170" s="21" t="n"/>
      <c r="CL170" s="27">
        <f>SUM(CJ170:CK170)</f>
        <v/>
      </c>
      <c r="CM170" s="28" t="n"/>
      <c r="CN170" s="31" t="n"/>
      <c r="CO170" s="29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1" t="n"/>
      <c r="CQ170" s="21" t="n"/>
      <c r="CR170" s="27">
        <f>SUM(CP170:CQ170)</f>
        <v/>
      </c>
      <c r="CS170" s="28" t="n"/>
      <c r="CT170" s="31" t="n"/>
      <c r="CU170" s="29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1" t="n"/>
      <c r="CW170" s="21" t="n"/>
      <c r="CX170" s="27">
        <f>SUM(CV170:CW170)</f>
        <v/>
      </c>
      <c r="CY170" s="28" t="n"/>
      <c r="CZ170" s="31" t="n"/>
      <c r="DA170" s="29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1" t="n"/>
      <c r="DC170" s="21" t="n"/>
      <c r="DD170" s="27">
        <f>SUM(DB170:DC170)</f>
        <v/>
      </c>
      <c r="DE170" s="28" t="n"/>
      <c r="DF170" s="31" t="n"/>
      <c r="DG170" s="29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34">
        <f>SUM(O170,U170,AA170,AG170,AM170,AS170,AY170,BE170,BK170,BQ170,BW170,CC170,CI170,CO170,CU170,DA170,DG170)</f>
        <v/>
      </c>
      <c r="DI170" s="39">
        <f>RANK(DH170,DH$4:DH$503)</f>
        <v/>
      </c>
      <c r="DJ170" s="40" t="inlineStr">
        <is>
          <t>CHOOSE RATING</t>
        </is>
      </c>
      <c r="DK170" s="40" t="inlineStr">
        <is>
          <t>CHOOSE RATING</t>
        </is>
      </c>
      <c r="DL170" s="40" t="inlineStr">
        <is>
          <t>CHOOSE RATING</t>
        </is>
      </c>
      <c r="DM170" s="40" t="inlineStr">
        <is>
          <t>CHOOSE RATING</t>
        </is>
      </c>
      <c r="DN170" s="40" t="inlineStr">
        <is>
          <t>CHOOSE RATING</t>
        </is>
      </c>
      <c r="DO170" s="40" t="inlineStr">
        <is>
          <t>CHOOSE RATING</t>
        </is>
      </c>
      <c r="DP170" s="40" t="inlineStr">
        <is>
          <t>CHOOSE RATING</t>
        </is>
      </c>
      <c r="DQ170" s="40" t="inlineStr">
        <is>
          <t>CHOOSE RATING</t>
        </is>
      </c>
      <c r="DR170" s="43" t="inlineStr">
        <is>
          <t>2024/2025</t>
        </is>
      </c>
      <c r="DS170" s="45" t="inlineStr">
        <is>
          <t>THIRD</t>
        </is>
      </c>
      <c r="DT170" s="40" t="inlineStr">
        <is>
          <t>CHOOSE RATING</t>
        </is>
      </c>
      <c r="DU170" s="40" t="inlineStr">
        <is>
          <t>CHOOSE RATING</t>
        </is>
      </c>
      <c r="DV170" s="40" t="inlineStr">
        <is>
          <t>CHOOSE RATING</t>
        </is>
      </c>
      <c r="DW170" s="40" t="inlineStr">
        <is>
          <t>CHOOSE RATING</t>
        </is>
      </c>
      <c r="DX170" s="40" t="inlineStr">
        <is>
          <t>CHOOSE RATING</t>
        </is>
      </c>
      <c r="DY170" s="40" t="inlineStr">
        <is>
          <t>CHOOSE RATING</t>
        </is>
      </c>
      <c r="DZ170" s="53" t="inlineStr">
        <is>
          <t>CHOOSE RATING</t>
        </is>
      </c>
      <c r="EA170" s="54" t="inlineStr">
        <is>
          <t>Add the Tutor's Comment . . .</t>
        </is>
      </c>
      <c r="EB170" s="55" t="inlineStr">
        <is>
          <t>Choose Principals comment</t>
        </is>
      </c>
      <c r="EC170" s="56" t="n"/>
      <c r="ED170" s="57" t="inlineStr">
        <is>
          <t>Next Term Begins on Monday, 22nd September, 2025</t>
        </is>
      </c>
    </row>
    <row r="171" ht="30.6" customHeight="1" s="6">
      <c r="A171" s="18" t="n">
        <v>168</v>
      </c>
      <c r="B171" s="19" t="n"/>
      <c r="C171" s="20" t="n"/>
      <c r="D171" s="128" t="n"/>
      <c r="E171" s="21" t="n"/>
      <c r="F171" s="22" t="n"/>
      <c r="G171" s="22" t="n"/>
      <c r="H171" s="22" t="n"/>
      <c r="I171" s="26">
        <f>G171-H171</f>
        <v/>
      </c>
      <c r="J171" s="21" t="n"/>
      <c r="K171" s="21" t="n"/>
      <c r="L171" s="27">
        <f>SUM(J171:K171)</f>
        <v/>
      </c>
      <c r="M171" s="28" t="n"/>
      <c r="N171" s="28" t="n"/>
      <c r="O171" s="29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1" t="n"/>
      <c r="Q171" s="21" t="n"/>
      <c r="R171" s="27">
        <f>SUM(P171:Q171)</f>
        <v/>
      </c>
      <c r="S171" s="28" t="n"/>
      <c r="T171" s="28" t="n"/>
      <c r="U171" s="29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1" t="n"/>
      <c r="W171" s="21" t="n"/>
      <c r="X171" s="27">
        <f>SUM(V171:W171)</f>
        <v/>
      </c>
      <c r="Y171" s="28" t="n"/>
      <c r="Z171" s="28" t="n"/>
      <c r="AA171" s="29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1" t="n"/>
      <c r="AC171" s="21" t="n"/>
      <c r="AD171" s="27">
        <f>SUM(AB171:AC171)</f>
        <v/>
      </c>
      <c r="AE171" s="28" t="n"/>
      <c r="AF171" s="28" t="n"/>
      <c r="AG171" s="29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1" t="n"/>
      <c r="AI171" s="21" t="n"/>
      <c r="AJ171" s="27">
        <f>SUM(AH171:AI171)</f>
        <v/>
      </c>
      <c r="AK171" s="28" t="n"/>
      <c r="AL171" s="28" t="n"/>
      <c r="AM171" s="29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1" t="n"/>
      <c r="AO171" s="21" t="n"/>
      <c r="AP171" s="27">
        <f>SUM(AN171:AO171)</f>
        <v/>
      </c>
      <c r="AQ171" s="28" t="n"/>
      <c r="AR171" s="30" t="n"/>
      <c r="AS171" s="29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1" t="n"/>
      <c r="AU171" s="21" t="n"/>
      <c r="AV171" s="27">
        <f>SUM(AT171:AU171)</f>
        <v/>
      </c>
      <c r="AW171" s="28" t="n"/>
      <c r="AX171" s="30" t="n"/>
      <c r="AY171" s="29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1" t="n"/>
      <c r="BA171" s="21" t="n"/>
      <c r="BB171" s="27">
        <f>SUM(AZ171:BA171)</f>
        <v/>
      </c>
      <c r="BC171" s="28" t="n"/>
      <c r="BD171" s="28" t="n"/>
      <c r="BE171" s="29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1" t="n"/>
      <c r="BG171" s="21" t="n"/>
      <c r="BH171" s="27">
        <f>SUM(BF171:BG171)</f>
        <v/>
      </c>
      <c r="BI171" s="28" t="n"/>
      <c r="BJ171" s="28" t="n"/>
      <c r="BK171" s="29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1" t="n"/>
      <c r="BM171" s="21" t="n"/>
      <c r="BN171" s="27">
        <f>SUM(BL171:BM171)</f>
        <v/>
      </c>
      <c r="BO171" s="28" t="n"/>
      <c r="BP171" s="31" t="n"/>
      <c r="BQ171" s="29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1" t="n"/>
      <c r="BS171" s="21" t="n"/>
      <c r="BT171" s="27">
        <f>SUM(BR171:BS171)</f>
        <v/>
      </c>
      <c r="BU171" s="28" t="n"/>
      <c r="BV171" s="31" t="n"/>
      <c r="BW171" s="29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1" t="n"/>
      <c r="BY171" s="21" t="n"/>
      <c r="BZ171" s="27">
        <f>SUM(BX171:BY171)</f>
        <v/>
      </c>
      <c r="CA171" s="28" t="n"/>
      <c r="CB171" s="31" t="n"/>
      <c r="CC171" s="29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1" t="n"/>
      <c r="CE171" s="21" t="n"/>
      <c r="CF171" s="27">
        <f>SUM(CD171:CE171)</f>
        <v/>
      </c>
      <c r="CG171" s="28" t="n"/>
      <c r="CH171" s="31" t="n"/>
      <c r="CI171" s="29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1" t="n"/>
      <c r="CK171" s="21" t="n"/>
      <c r="CL171" s="27">
        <f>SUM(CJ171:CK171)</f>
        <v/>
      </c>
      <c r="CM171" s="28" t="n"/>
      <c r="CN171" s="31" t="n"/>
      <c r="CO171" s="29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1" t="n"/>
      <c r="CQ171" s="21" t="n"/>
      <c r="CR171" s="27">
        <f>SUM(CP171:CQ171)</f>
        <v/>
      </c>
      <c r="CS171" s="28" t="n"/>
      <c r="CT171" s="31" t="n"/>
      <c r="CU171" s="29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1" t="n"/>
      <c r="CW171" s="21" t="n"/>
      <c r="CX171" s="27">
        <f>SUM(CV171:CW171)</f>
        <v/>
      </c>
      <c r="CY171" s="28" t="n"/>
      <c r="CZ171" s="31" t="n"/>
      <c r="DA171" s="29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1" t="n"/>
      <c r="DC171" s="21" t="n"/>
      <c r="DD171" s="27">
        <f>SUM(DB171:DC171)</f>
        <v/>
      </c>
      <c r="DE171" s="28" t="n"/>
      <c r="DF171" s="31" t="n"/>
      <c r="DG171" s="29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34">
        <f>SUM(O171,U171,AA171,AG171,AM171,AS171,AY171,BE171,BK171,BQ171,BW171,CC171,CI171,CO171,CU171,DA171,DG171)</f>
        <v/>
      </c>
      <c r="DI171" s="39">
        <f>RANK(DH171,DH$4:DH$503)</f>
        <v/>
      </c>
      <c r="DJ171" s="40" t="inlineStr">
        <is>
          <t>CHOOSE RATING</t>
        </is>
      </c>
      <c r="DK171" s="40" t="inlineStr">
        <is>
          <t>CHOOSE RATING</t>
        </is>
      </c>
      <c r="DL171" s="40" t="inlineStr">
        <is>
          <t>CHOOSE RATING</t>
        </is>
      </c>
      <c r="DM171" s="40" t="inlineStr">
        <is>
          <t>CHOOSE RATING</t>
        </is>
      </c>
      <c r="DN171" s="40" t="inlineStr">
        <is>
          <t>CHOOSE RATING</t>
        </is>
      </c>
      <c r="DO171" s="40" t="inlineStr">
        <is>
          <t>CHOOSE RATING</t>
        </is>
      </c>
      <c r="DP171" s="40" t="inlineStr">
        <is>
          <t>CHOOSE RATING</t>
        </is>
      </c>
      <c r="DQ171" s="40" t="inlineStr">
        <is>
          <t>CHOOSE RATING</t>
        </is>
      </c>
      <c r="DR171" s="43" t="inlineStr">
        <is>
          <t>2024/2025</t>
        </is>
      </c>
      <c r="DS171" s="45" t="inlineStr">
        <is>
          <t>THIRD</t>
        </is>
      </c>
      <c r="DT171" s="40" t="inlineStr">
        <is>
          <t>CHOOSE RATING</t>
        </is>
      </c>
      <c r="DU171" s="40" t="inlineStr">
        <is>
          <t>CHOOSE RATING</t>
        </is>
      </c>
      <c r="DV171" s="40" t="inlineStr">
        <is>
          <t>CHOOSE RATING</t>
        </is>
      </c>
      <c r="DW171" s="40" t="inlineStr">
        <is>
          <t>CHOOSE RATING</t>
        </is>
      </c>
      <c r="DX171" s="40" t="inlineStr">
        <is>
          <t>CHOOSE RATING</t>
        </is>
      </c>
      <c r="DY171" s="40" t="inlineStr">
        <is>
          <t>CHOOSE RATING</t>
        </is>
      </c>
      <c r="DZ171" s="53" t="inlineStr">
        <is>
          <t>CHOOSE RATING</t>
        </is>
      </c>
      <c r="EA171" s="54" t="inlineStr">
        <is>
          <t>Add the Tutor's Comment . . .</t>
        </is>
      </c>
      <c r="EB171" s="55" t="inlineStr">
        <is>
          <t>Choose Principals comment</t>
        </is>
      </c>
      <c r="EC171" s="56" t="n"/>
      <c r="ED171" s="57" t="inlineStr">
        <is>
          <t>Next Term Begins on Monday, 22nd September, 2025</t>
        </is>
      </c>
    </row>
    <row r="172" ht="30.6" customHeight="1" s="6">
      <c r="A172" s="18" t="n">
        <v>169</v>
      </c>
      <c r="B172" s="19" t="n"/>
      <c r="C172" s="20" t="n"/>
      <c r="D172" s="128" t="n"/>
      <c r="E172" s="21" t="n"/>
      <c r="F172" s="22" t="n"/>
      <c r="G172" s="22" t="n"/>
      <c r="H172" s="22" t="n"/>
      <c r="I172" s="26">
        <f>G172-H172</f>
        <v/>
      </c>
      <c r="J172" s="21" t="n"/>
      <c r="K172" s="21" t="n"/>
      <c r="L172" s="27">
        <f>SUM(J172:K172)</f>
        <v/>
      </c>
      <c r="M172" s="28" t="n"/>
      <c r="N172" s="28" t="n"/>
      <c r="O172" s="29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1" t="n"/>
      <c r="Q172" s="21" t="n"/>
      <c r="R172" s="27">
        <f>SUM(P172:Q172)</f>
        <v/>
      </c>
      <c r="S172" s="28" t="n"/>
      <c r="T172" s="28" t="n"/>
      <c r="U172" s="29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1" t="n"/>
      <c r="W172" s="21" t="n"/>
      <c r="X172" s="27">
        <f>SUM(V172:W172)</f>
        <v/>
      </c>
      <c r="Y172" s="28" t="n"/>
      <c r="Z172" s="28" t="n"/>
      <c r="AA172" s="29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1" t="n"/>
      <c r="AC172" s="21" t="n"/>
      <c r="AD172" s="27">
        <f>SUM(AB172:AC172)</f>
        <v/>
      </c>
      <c r="AE172" s="28" t="n"/>
      <c r="AF172" s="28" t="n"/>
      <c r="AG172" s="29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1" t="n"/>
      <c r="AI172" s="21" t="n"/>
      <c r="AJ172" s="27">
        <f>SUM(AH172:AI172)</f>
        <v/>
      </c>
      <c r="AK172" s="28" t="n"/>
      <c r="AL172" s="28" t="n"/>
      <c r="AM172" s="29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1" t="n"/>
      <c r="AO172" s="21" t="n"/>
      <c r="AP172" s="27">
        <f>SUM(AN172:AO172)</f>
        <v/>
      </c>
      <c r="AQ172" s="28" t="n"/>
      <c r="AR172" s="30" t="n"/>
      <c r="AS172" s="29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1" t="n"/>
      <c r="AU172" s="21" t="n"/>
      <c r="AV172" s="27">
        <f>SUM(AT172:AU172)</f>
        <v/>
      </c>
      <c r="AW172" s="28" t="n"/>
      <c r="AX172" s="30" t="n"/>
      <c r="AY172" s="29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1" t="n"/>
      <c r="BA172" s="21" t="n"/>
      <c r="BB172" s="27">
        <f>SUM(AZ172:BA172)</f>
        <v/>
      </c>
      <c r="BC172" s="28" t="n"/>
      <c r="BD172" s="28" t="n"/>
      <c r="BE172" s="29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1" t="n"/>
      <c r="BG172" s="21" t="n"/>
      <c r="BH172" s="27">
        <f>SUM(BF172:BG172)</f>
        <v/>
      </c>
      <c r="BI172" s="28" t="n"/>
      <c r="BJ172" s="28" t="n"/>
      <c r="BK172" s="29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1" t="n"/>
      <c r="BM172" s="21" t="n"/>
      <c r="BN172" s="27">
        <f>SUM(BL172:BM172)</f>
        <v/>
      </c>
      <c r="BO172" s="28" t="n"/>
      <c r="BP172" s="31" t="n"/>
      <c r="BQ172" s="29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1" t="n"/>
      <c r="BS172" s="21" t="n"/>
      <c r="BT172" s="27">
        <f>SUM(BR172:BS172)</f>
        <v/>
      </c>
      <c r="BU172" s="28" t="n"/>
      <c r="BV172" s="31" t="n"/>
      <c r="BW172" s="29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1" t="n"/>
      <c r="BY172" s="21" t="n"/>
      <c r="BZ172" s="27">
        <f>SUM(BX172:BY172)</f>
        <v/>
      </c>
      <c r="CA172" s="28" t="n"/>
      <c r="CB172" s="31" t="n"/>
      <c r="CC172" s="29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1" t="n"/>
      <c r="CE172" s="21" t="n"/>
      <c r="CF172" s="27">
        <f>SUM(CD172:CE172)</f>
        <v/>
      </c>
      <c r="CG172" s="28" t="n"/>
      <c r="CH172" s="31" t="n"/>
      <c r="CI172" s="29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1" t="n"/>
      <c r="CK172" s="21" t="n"/>
      <c r="CL172" s="27">
        <f>SUM(CJ172:CK172)</f>
        <v/>
      </c>
      <c r="CM172" s="28" t="n"/>
      <c r="CN172" s="31" t="n"/>
      <c r="CO172" s="29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1" t="n"/>
      <c r="CQ172" s="21" t="n"/>
      <c r="CR172" s="27">
        <f>SUM(CP172:CQ172)</f>
        <v/>
      </c>
      <c r="CS172" s="28" t="n"/>
      <c r="CT172" s="31" t="n"/>
      <c r="CU172" s="29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1" t="n"/>
      <c r="CW172" s="21" t="n"/>
      <c r="CX172" s="27">
        <f>SUM(CV172:CW172)</f>
        <v/>
      </c>
      <c r="CY172" s="28" t="n"/>
      <c r="CZ172" s="31" t="n"/>
      <c r="DA172" s="29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1" t="n"/>
      <c r="DC172" s="21" t="n"/>
      <c r="DD172" s="27">
        <f>SUM(DB172:DC172)</f>
        <v/>
      </c>
      <c r="DE172" s="28" t="n"/>
      <c r="DF172" s="31" t="n"/>
      <c r="DG172" s="29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34">
        <f>SUM(O172,U172,AA172,AG172,AM172,AS172,AY172,BE172,BK172,BQ172,BW172,CC172,CI172,CO172,CU172,DA172,DG172)</f>
        <v/>
      </c>
      <c r="DI172" s="39">
        <f>RANK(DH172,DH$4:DH$503)</f>
        <v/>
      </c>
      <c r="DJ172" s="40" t="inlineStr">
        <is>
          <t>CHOOSE RATING</t>
        </is>
      </c>
      <c r="DK172" s="40" t="inlineStr">
        <is>
          <t>CHOOSE RATING</t>
        </is>
      </c>
      <c r="DL172" s="40" t="inlineStr">
        <is>
          <t>CHOOSE RATING</t>
        </is>
      </c>
      <c r="DM172" s="40" t="inlineStr">
        <is>
          <t>CHOOSE RATING</t>
        </is>
      </c>
      <c r="DN172" s="40" t="inlineStr">
        <is>
          <t>CHOOSE RATING</t>
        </is>
      </c>
      <c r="DO172" s="40" t="inlineStr">
        <is>
          <t>CHOOSE RATING</t>
        </is>
      </c>
      <c r="DP172" s="40" t="inlineStr">
        <is>
          <t>CHOOSE RATING</t>
        </is>
      </c>
      <c r="DQ172" s="40" t="inlineStr">
        <is>
          <t>CHOOSE RATING</t>
        </is>
      </c>
      <c r="DR172" s="43" t="inlineStr">
        <is>
          <t>2024/2025</t>
        </is>
      </c>
      <c r="DS172" s="45" t="inlineStr">
        <is>
          <t>THIRD</t>
        </is>
      </c>
      <c r="DT172" s="40" t="inlineStr">
        <is>
          <t>CHOOSE RATING</t>
        </is>
      </c>
      <c r="DU172" s="40" t="inlineStr">
        <is>
          <t>CHOOSE RATING</t>
        </is>
      </c>
      <c r="DV172" s="40" t="inlineStr">
        <is>
          <t>CHOOSE RATING</t>
        </is>
      </c>
      <c r="DW172" s="40" t="inlineStr">
        <is>
          <t>CHOOSE RATING</t>
        </is>
      </c>
      <c r="DX172" s="40" t="inlineStr">
        <is>
          <t>CHOOSE RATING</t>
        </is>
      </c>
      <c r="DY172" s="40" t="inlineStr">
        <is>
          <t>CHOOSE RATING</t>
        </is>
      </c>
      <c r="DZ172" s="53" t="inlineStr">
        <is>
          <t>CHOOSE RATING</t>
        </is>
      </c>
      <c r="EA172" s="54" t="inlineStr">
        <is>
          <t>Add the Tutor's Comment . . .</t>
        </is>
      </c>
      <c r="EB172" s="55" t="inlineStr">
        <is>
          <t>Choose Principals comment</t>
        </is>
      </c>
      <c r="EC172" s="56" t="n"/>
      <c r="ED172" s="57" t="inlineStr">
        <is>
          <t>Next Term Begins on Monday, 22nd September, 2025</t>
        </is>
      </c>
    </row>
    <row r="173" ht="30.6" customHeight="1" s="6">
      <c r="A173" s="18" t="n">
        <v>170</v>
      </c>
      <c r="B173" s="19" t="n"/>
      <c r="C173" s="20" t="n"/>
      <c r="D173" s="128" t="n"/>
      <c r="E173" s="21" t="n"/>
      <c r="F173" s="22" t="n"/>
      <c r="G173" s="22" t="n"/>
      <c r="H173" s="22" t="n"/>
      <c r="I173" s="26">
        <f>G173-H173</f>
        <v/>
      </c>
      <c r="J173" s="21" t="n"/>
      <c r="K173" s="21" t="n"/>
      <c r="L173" s="27">
        <f>SUM(J173:K173)</f>
        <v/>
      </c>
      <c r="M173" s="28" t="n"/>
      <c r="N173" s="28" t="n"/>
      <c r="O173" s="29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1" t="n"/>
      <c r="Q173" s="21" t="n"/>
      <c r="R173" s="27">
        <f>SUM(P173:Q173)</f>
        <v/>
      </c>
      <c r="S173" s="28" t="n"/>
      <c r="T173" s="28" t="n"/>
      <c r="U173" s="29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1" t="n"/>
      <c r="W173" s="21" t="n"/>
      <c r="X173" s="27">
        <f>SUM(V173:W173)</f>
        <v/>
      </c>
      <c r="Y173" s="28" t="n"/>
      <c r="Z173" s="28" t="n"/>
      <c r="AA173" s="29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1" t="n"/>
      <c r="AC173" s="21" t="n"/>
      <c r="AD173" s="27">
        <f>SUM(AB173:AC173)</f>
        <v/>
      </c>
      <c r="AE173" s="28" t="n"/>
      <c r="AF173" s="28" t="n"/>
      <c r="AG173" s="29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1" t="n"/>
      <c r="AI173" s="21" t="n"/>
      <c r="AJ173" s="27">
        <f>SUM(AH173:AI173)</f>
        <v/>
      </c>
      <c r="AK173" s="28" t="n"/>
      <c r="AL173" s="28" t="n"/>
      <c r="AM173" s="29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1" t="n"/>
      <c r="AO173" s="21" t="n"/>
      <c r="AP173" s="27">
        <f>SUM(AN173:AO173)</f>
        <v/>
      </c>
      <c r="AQ173" s="28" t="n"/>
      <c r="AR173" s="30" t="n"/>
      <c r="AS173" s="29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1" t="n"/>
      <c r="AU173" s="21" t="n"/>
      <c r="AV173" s="27">
        <f>SUM(AT173:AU173)</f>
        <v/>
      </c>
      <c r="AW173" s="28" t="n"/>
      <c r="AX173" s="30" t="n"/>
      <c r="AY173" s="29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1" t="n"/>
      <c r="BA173" s="21" t="n"/>
      <c r="BB173" s="27">
        <f>SUM(AZ173:BA173)</f>
        <v/>
      </c>
      <c r="BC173" s="28" t="n"/>
      <c r="BD173" s="28" t="n"/>
      <c r="BE173" s="29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1" t="n"/>
      <c r="BG173" s="21" t="n"/>
      <c r="BH173" s="27">
        <f>SUM(BF173:BG173)</f>
        <v/>
      </c>
      <c r="BI173" s="28" t="n"/>
      <c r="BJ173" s="28" t="n"/>
      <c r="BK173" s="29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1" t="n"/>
      <c r="BM173" s="21" t="n"/>
      <c r="BN173" s="27">
        <f>SUM(BL173:BM173)</f>
        <v/>
      </c>
      <c r="BO173" s="28" t="n"/>
      <c r="BP173" s="31" t="n"/>
      <c r="BQ173" s="29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1" t="n"/>
      <c r="BS173" s="21" t="n"/>
      <c r="BT173" s="27">
        <f>SUM(BR173:BS173)</f>
        <v/>
      </c>
      <c r="BU173" s="28" t="n"/>
      <c r="BV173" s="31" t="n"/>
      <c r="BW173" s="29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1" t="n"/>
      <c r="BY173" s="21" t="n"/>
      <c r="BZ173" s="27">
        <f>SUM(BX173:BY173)</f>
        <v/>
      </c>
      <c r="CA173" s="28" t="n"/>
      <c r="CB173" s="31" t="n"/>
      <c r="CC173" s="29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1" t="n"/>
      <c r="CE173" s="21" t="n"/>
      <c r="CF173" s="27">
        <f>SUM(CD173:CE173)</f>
        <v/>
      </c>
      <c r="CG173" s="28" t="n"/>
      <c r="CH173" s="31" t="n"/>
      <c r="CI173" s="29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1" t="n"/>
      <c r="CK173" s="21" t="n"/>
      <c r="CL173" s="27">
        <f>SUM(CJ173:CK173)</f>
        <v/>
      </c>
      <c r="CM173" s="28" t="n"/>
      <c r="CN173" s="31" t="n"/>
      <c r="CO173" s="29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1" t="n"/>
      <c r="CQ173" s="21" t="n"/>
      <c r="CR173" s="27">
        <f>SUM(CP173:CQ173)</f>
        <v/>
      </c>
      <c r="CS173" s="28" t="n"/>
      <c r="CT173" s="31" t="n"/>
      <c r="CU173" s="29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1" t="n"/>
      <c r="CW173" s="21" t="n"/>
      <c r="CX173" s="27">
        <f>SUM(CV173:CW173)</f>
        <v/>
      </c>
      <c r="CY173" s="28" t="n"/>
      <c r="CZ173" s="31" t="n"/>
      <c r="DA173" s="29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1" t="n"/>
      <c r="DC173" s="21" t="n"/>
      <c r="DD173" s="27">
        <f>SUM(DB173:DC173)</f>
        <v/>
      </c>
      <c r="DE173" s="28" t="n"/>
      <c r="DF173" s="31" t="n"/>
      <c r="DG173" s="29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34">
        <f>SUM(O173,U173,AA173,AG173,AM173,AS173,AY173,BE173,BK173,BQ173,BW173,CC173,CI173,CO173,CU173,DA173,DG173)</f>
        <v/>
      </c>
      <c r="DI173" s="39">
        <f>RANK(DH173,DH$4:DH$503)</f>
        <v/>
      </c>
      <c r="DJ173" s="40" t="inlineStr">
        <is>
          <t>CHOOSE RATING</t>
        </is>
      </c>
      <c r="DK173" s="40" t="inlineStr">
        <is>
          <t>CHOOSE RATING</t>
        </is>
      </c>
      <c r="DL173" s="40" t="inlineStr">
        <is>
          <t>CHOOSE RATING</t>
        </is>
      </c>
      <c r="DM173" s="40" t="inlineStr">
        <is>
          <t>CHOOSE RATING</t>
        </is>
      </c>
      <c r="DN173" s="40" t="inlineStr">
        <is>
          <t>CHOOSE RATING</t>
        </is>
      </c>
      <c r="DO173" s="40" t="inlineStr">
        <is>
          <t>CHOOSE RATING</t>
        </is>
      </c>
      <c r="DP173" s="40" t="inlineStr">
        <is>
          <t>CHOOSE RATING</t>
        </is>
      </c>
      <c r="DQ173" s="40" t="inlineStr">
        <is>
          <t>CHOOSE RATING</t>
        </is>
      </c>
      <c r="DR173" s="43" t="inlineStr">
        <is>
          <t>2024/2025</t>
        </is>
      </c>
      <c r="DS173" s="45" t="inlineStr">
        <is>
          <t>THIRD</t>
        </is>
      </c>
      <c r="DT173" s="40" t="inlineStr">
        <is>
          <t>CHOOSE RATING</t>
        </is>
      </c>
      <c r="DU173" s="40" t="inlineStr">
        <is>
          <t>CHOOSE RATING</t>
        </is>
      </c>
      <c r="DV173" s="40" t="inlineStr">
        <is>
          <t>CHOOSE RATING</t>
        </is>
      </c>
      <c r="DW173" s="40" t="inlineStr">
        <is>
          <t>CHOOSE RATING</t>
        </is>
      </c>
      <c r="DX173" s="40" t="inlineStr">
        <is>
          <t>CHOOSE RATING</t>
        </is>
      </c>
      <c r="DY173" s="40" t="inlineStr">
        <is>
          <t>CHOOSE RATING</t>
        </is>
      </c>
      <c r="DZ173" s="53" t="inlineStr">
        <is>
          <t>CHOOSE RATING</t>
        </is>
      </c>
      <c r="EA173" s="54" t="inlineStr">
        <is>
          <t>Add the Tutor's Comment . . .</t>
        </is>
      </c>
      <c r="EB173" s="55" t="inlineStr">
        <is>
          <t>Choose Principals comment</t>
        </is>
      </c>
      <c r="EC173" s="56" t="n"/>
      <c r="ED173" s="57" t="inlineStr">
        <is>
          <t>Next Term Begins on Monday, 22nd September, 2025</t>
        </is>
      </c>
    </row>
    <row r="174" ht="30.6" customHeight="1" s="6">
      <c r="A174" s="18" t="n">
        <v>171</v>
      </c>
      <c r="B174" s="19" t="n"/>
      <c r="C174" s="20" t="n"/>
      <c r="D174" s="128" t="n"/>
      <c r="E174" s="21" t="n"/>
      <c r="F174" s="22" t="n"/>
      <c r="G174" s="22" t="n"/>
      <c r="H174" s="22" t="n"/>
      <c r="I174" s="26">
        <f>G174-H174</f>
        <v/>
      </c>
      <c r="J174" s="21" t="n"/>
      <c r="K174" s="21" t="n"/>
      <c r="L174" s="27">
        <f>SUM(J174:K174)</f>
        <v/>
      </c>
      <c r="M174" s="28" t="n"/>
      <c r="N174" s="28" t="n"/>
      <c r="O174" s="29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1" t="n"/>
      <c r="Q174" s="21" t="n"/>
      <c r="R174" s="27">
        <f>SUM(P174:Q174)</f>
        <v/>
      </c>
      <c r="S174" s="28" t="n"/>
      <c r="T174" s="28" t="n"/>
      <c r="U174" s="29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1" t="n"/>
      <c r="W174" s="21" t="n"/>
      <c r="X174" s="27">
        <f>SUM(V174:W174)</f>
        <v/>
      </c>
      <c r="Y174" s="28" t="n"/>
      <c r="Z174" s="28" t="n"/>
      <c r="AA174" s="29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1" t="n"/>
      <c r="AC174" s="21" t="n"/>
      <c r="AD174" s="27">
        <f>SUM(AB174:AC174)</f>
        <v/>
      </c>
      <c r="AE174" s="28" t="n"/>
      <c r="AF174" s="28" t="n"/>
      <c r="AG174" s="29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1" t="n"/>
      <c r="AI174" s="21" t="n"/>
      <c r="AJ174" s="27">
        <f>SUM(AH174:AI174)</f>
        <v/>
      </c>
      <c r="AK174" s="28" t="n"/>
      <c r="AL174" s="28" t="n"/>
      <c r="AM174" s="29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1" t="n"/>
      <c r="AO174" s="21" t="n"/>
      <c r="AP174" s="27">
        <f>SUM(AN174:AO174)</f>
        <v/>
      </c>
      <c r="AQ174" s="28" t="n"/>
      <c r="AR174" s="30" t="n"/>
      <c r="AS174" s="29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1" t="n"/>
      <c r="AU174" s="21" t="n"/>
      <c r="AV174" s="27">
        <f>SUM(AT174:AU174)</f>
        <v/>
      </c>
      <c r="AW174" s="28" t="n"/>
      <c r="AX174" s="30" t="n"/>
      <c r="AY174" s="29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1" t="n"/>
      <c r="BA174" s="21" t="n"/>
      <c r="BB174" s="27">
        <f>SUM(AZ174:BA174)</f>
        <v/>
      </c>
      <c r="BC174" s="28" t="n"/>
      <c r="BD174" s="28" t="n"/>
      <c r="BE174" s="29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1" t="n"/>
      <c r="BG174" s="21" t="n"/>
      <c r="BH174" s="27">
        <f>SUM(BF174:BG174)</f>
        <v/>
      </c>
      <c r="BI174" s="28" t="n"/>
      <c r="BJ174" s="28" t="n"/>
      <c r="BK174" s="29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1" t="n"/>
      <c r="BM174" s="21" t="n"/>
      <c r="BN174" s="27">
        <f>SUM(BL174:BM174)</f>
        <v/>
      </c>
      <c r="BO174" s="28" t="n"/>
      <c r="BP174" s="31" t="n"/>
      <c r="BQ174" s="29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1" t="n"/>
      <c r="BS174" s="21" t="n"/>
      <c r="BT174" s="27">
        <f>SUM(BR174:BS174)</f>
        <v/>
      </c>
      <c r="BU174" s="28" t="n"/>
      <c r="BV174" s="31" t="n"/>
      <c r="BW174" s="29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1" t="n"/>
      <c r="BY174" s="21" t="n"/>
      <c r="BZ174" s="27">
        <f>SUM(BX174:BY174)</f>
        <v/>
      </c>
      <c r="CA174" s="28" t="n"/>
      <c r="CB174" s="31" t="n"/>
      <c r="CC174" s="29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1" t="n"/>
      <c r="CE174" s="21" t="n"/>
      <c r="CF174" s="27">
        <f>SUM(CD174:CE174)</f>
        <v/>
      </c>
      <c r="CG174" s="28" t="n"/>
      <c r="CH174" s="31" t="n"/>
      <c r="CI174" s="29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1" t="n"/>
      <c r="CK174" s="21" t="n"/>
      <c r="CL174" s="27">
        <f>SUM(CJ174:CK174)</f>
        <v/>
      </c>
      <c r="CM174" s="28" t="n"/>
      <c r="CN174" s="31" t="n"/>
      <c r="CO174" s="29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1" t="n"/>
      <c r="CQ174" s="21" t="n"/>
      <c r="CR174" s="27">
        <f>SUM(CP174:CQ174)</f>
        <v/>
      </c>
      <c r="CS174" s="28" t="n"/>
      <c r="CT174" s="31" t="n"/>
      <c r="CU174" s="29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1" t="n"/>
      <c r="CW174" s="21" t="n"/>
      <c r="CX174" s="27">
        <f>SUM(CV174:CW174)</f>
        <v/>
      </c>
      <c r="CY174" s="28" t="n"/>
      <c r="CZ174" s="31" t="n"/>
      <c r="DA174" s="29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1" t="n"/>
      <c r="DC174" s="21" t="n"/>
      <c r="DD174" s="27">
        <f>SUM(DB174:DC174)</f>
        <v/>
      </c>
      <c r="DE174" s="28" t="n"/>
      <c r="DF174" s="31" t="n"/>
      <c r="DG174" s="29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34">
        <f>SUM(O174,U174,AA174,AG174,AM174,AS174,AY174,BE174,BK174,BQ174,BW174,CC174,CI174,CO174,CU174,DA174,DG174)</f>
        <v/>
      </c>
      <c r="DI174" s="39">
        <f>RANK(DH174,DH$4:DH$503)</f>
        <v/>
      </c>
      <c r="DJ174" s="40" t="inlineStr">
        <is>
          <t>CHOOSE RATING</t>
        </is>
      </c>
      <c r="DK174" s="40" t="inlineStr">
        <is>
          <t>CHOOSE RATING</t>
        </is>
      </c>
      <c r="DL174" s="40" t="inlineStr">
        <is>
          <t>CHOOSE RATING</t>
        </is>
      </c>
      <c r="DM174" s="40" t="inlineStr">
        <is>
          <t>CHOOSE RATING</t>
        </is>
      </c>
      <c r="DN174" s="40" t="inlineStr">
        <is>
          <t>CHOOSE RATING</t>
        </is>
      </c>
      <c r="DO174" s="40" t="inlineStr">
        <is>
          <t>CHOOSE RATING</t>
        </is>
      </c>
      <c r="DP174" s="40" t="inlineStr">
        <is>
          <t>CHOOSE RATING</t>
        </is>
      </c>
      <c r="DQ174" s="40" t="inlineStr">
        <is>
          <t>CHOOSE RATING</t>
        </is>
      </c>
      <c r="DR174" s="43" t="inlineStr">
        <is>
          <t>2024/2025</t>
        </is>
      </c>
      <c r="DS174" s="45" t="inlineStr">
        <is>
          <t>THIRD</t>
        </is>
      </c>
      <c r="DT174" s="40" t="inlineStr">
        <is>
          <t>CHOOSE RATING</t>
        </is>
      </c>
      <c r="DU174" s="40" t="inlineStr">
        <is>
          <t>CHOOSE RATING</t>
        </is>
      </c>
      <c r="DV174" s="40" t="inlineStr">
        <is>
          <t>CHOOSE RATING</t>
        </is>
      </c>
      <c r="DW174" s="40" t="inlineStr">
        <is>
          <t>CHOOSE RATING</t>
        </is>
      </c>
      <c r="DX174" s="40" t="inlineStr">
        <is>
          <t>CHOOSE RATING</t>
        </is>
      </c>
      <c r="DY174" s="40" t="inlineStr">
        <is>
          <t>CHOOSE RATING</t>
        </is>
      </c>
      <c r="DZ174" s="53" t="inlineStr">
        <is>
          <t>CHOOSE RATING</t>
        </is>
      </c>
      <c r="EA174" s="54" t="inlineStr">
        <is>
          <t>Add the Tutor's Comment . . .</t>
        </is>
      </c>
      <c r="EB174" s="55" t="inlineStr">
        <is>
          <t>Choose Principals comment</t>
        </is>
      </c>
      <c r="EC174" s="56" t="n"/>
      <c r="ED174" s="57" t="inlineStr">
        <is>
          <t>Next Term Begins on Monday, 22nd September, 2025</t>
        </is>
      </c>
    </row>
    <row r="175" ht="30.6" customHeight="1" s="6">
      <c r="A175" s="18" t="n">
        <v>172</v>
      </c>
      <c r="B175" s="19" t="n"/>
      <c r="C175" s="20" t="n"/>
      <c r="D175" s="128" t="n"/>
      <c r="E175" s="21" t="n"/>
      <c r="F175" s="22" t="n"/>
      <c r="G175" s="22" t="n"/>
      <c r="H175" s="22" t="n"/>
      <c r="I175" s="26">
        <f>G175-H175</f>
        <v/>
      </c>
      <c r="J175" s="21" t="n"/>
      <c r="K175" s="21" t="n"/>
      <c r="L175" s="27">
        <f>SUM(J175:K175)</f>
        <v/>
      </c>
      <c r="M175" s="28" t="n"/>
      <c r="N175" s="28" t="n"/>
      <c r="O175" s="29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1" t="n"/>
      <c r="Q175" s="21" t="n"/>
      <c r="R175" s="27">
        <f>SUM(P175:Q175)</f>
        <v/>
      </c>
      <c r="S175" s="28" t="n"/>
      <c r="T175" s="28" t="n"/>
      <c r="U175" s="29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1" t="n"/>
      <c r="W175" s="21" t="n"/>
      <c r="X175" s="27">
        <f>SUM(V175:W175)</f>
        <v/>
      </c>
      <c r="Y175" s="28" t="n"/>
      <c r="Z175" s="28" t="n"/>
      <c r="AA175" s="29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1" t="n"/>
      <c r="AC175" s="21" t="n"/>
      <c r="AD175" s="27">
        <f>SUM(AB175:AC175)</f>
        <v/>
      </c>
      <c r="AE175" s="28" t="n"/>
      <c r="AF175" s="28" t="n"/>
      <c r="AG175" s="29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1" t="n"/>
      <c r="AI175" s="21" t="n"/>
      <c r="AJ175" s="27">
        <f>SUM(AH175:AI175)</f>
        <v/>
      </c>
      <c r="AK175" s="28" t="n"/>
      <c r="AL175" s="28" t="n"/>
      <c r="AM175" s="29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1" t="n"/>
      <c r="AO175" s="21" t="n"/>
      <c r="AP175" s="27">
        <f>SUM(AN175:AO175)</f>
        <v/>
      </c>
      <c r="AQ175" s="28" t="n"/>
      <c r="AR175" s="30" t="n"/>
      <c r="AS175" s="29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1" t="n"/>
      <c r="AU175" s="21" t="n"/>
      <c r="AV175" s="27">
        <f>SUM(AT175:AU175)</f>
        <v/>
      </c>
      <c r="AW175" s="28" t="n"/>
      <c r="AX175" s="30" t="n"/>
      <c r="AY175" s="29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1" t="n"/>
      <c r="BA175" s="21" t="n"/>
      <c r="BB175" s="27">
        <f>SUM(AZ175:BA175)</f>
        <v/>
      </c>
      <c r="BC175" s="28" t="n"/>
      <c r="BD175" s="28" t="n"/>
      <c r="BE175" s="29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1" t="n"/>
      <c r="BG175" s="21" t="n"/>
      <c r="BH175" s="27">
        <f>SUM(BF175:BG175)</f>
        <v/>
      </c>
      <c r="BI175" s="28" t="n"/>
      <c r="BJ175" s="28" t="n"/>
      <c r="BK175" s="29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1" t="n"/>
      <c r="BM175" s="21" t="n"/>
      <c r="BN175" s="27">
        <f>SUM(BL175:BM175)</f>
        <v/>
      </c>
      <c r="BO175" s="28" t="n"/>
      <c r="BP175" s="31" t="n"/>
      <c r="BQ175" s="29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1" t="n"/>
      <c r="BS175" s="21" t="n"/>
      <c r="BT175" s="27">
        <f>SUM(BR175:BS175)</f>
        <v/>
      </c>
      <c r="BU175" s="28" t="n"/>
      <c r="BV175" s="31" t="n"/>
      <c r="BW175" s="29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1" t="n"/>
      <c r="BY175" s="21" t="n"/>
      <c r="BZ175" s="27">
        <f>SUM(BX175:BY175)</f>
        <v/>
      </c>
      <c r="CA175" s="28" t="n"/>
      <c r="CB175" s="31" t="n"/>
      <c r="CC175" s="29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1" t="n"/>
      <c r="CE175" s="21" t="n"/>
      <c r="CF175" s="27">
        <f>SUM(CD175:CE175)</f>
        <v/>
      </c>
      <c r="CG175" s="28" t="n"/>
      <c r="CH175" s="31" t="n"/>
      <c r="CI175" s="29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1" t="n"/>
      <c r="CK175" s="21" t="n"/>
      <c r="CL175" s="27">
        <f>SUM(CJ175:CK175)</f>
        <v/>
      </c>
      <c r="CM175" s="28" t="n"/>
      <c r="CN175" s="31" t="n"/>
      <c r="CO175" s="29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1" t="n"/>
      <c r="CQ175" s="21" t="n"/>
      <c r="CR175" s="27">
        <f>SUM(CP175:CQ175)</f>
        <v/>
      </c>
      <c r="CS175" s="28" t="n"/>
      <c r="CT175" s="31" t="n"/>
      <c r="CU175" s="29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1" t="n"/>
      <c r="CW175" s="21" t="n"/>
      <c r="CX175" s="27">
        <f>SUM(CV175:CW175)</f>
        <v/>
      </c>
      <c r="CY175" s="28" t="n"/>
      <c r="CZ175" s="31" t="n"/>
      <c r="DA175" s="29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1" t="n"/>
      <c r="DC175" s="21" t="n"/>
      <c r="DD175" s="27">
        <f>SUM(DB175:DC175)</f>
        <v/>
      </c>
      <c r="DE175" s="28" t="n"/>
      <c r="DF175" s="31" t="n"/>
      <c r="DG175" s="29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34">
        <f>SUM(O175,U175,AA175,AG175,AM175,AS175,AY175,BE175,BK175,BQ175,BW175,CC175,CI175,CO175,CU175,DA175,DG175)</f>
        <v/>
      </c>
      <c r="DI175" s="39">
        <f>RANK(DH175,DH$4:DH$503)</f>
        <v/>
      </c>
      <c r="DJ175" s="40" t="inlineStr">
        <is>
          <t>CHOOSE RATING</t>
        </is>
      </c>
      <c r="DK175" s="40" t="inlineStr">
        <is>
          <t>CHOOSE RATING</t>
        </is>
      </c>
      <c r="DL175" s="40" t="inlineStr">
        <is>
          <t>CHOOSE RATING</t>
        </is>
      </c>
      <c r="DM175" s="40" t="inlineStr">
        <is>
          <t>CHOOSE RATING</t>
        </is>
      </c>
      <c r="DN175" s="40" t="inlineStr">
        <is>
          <t>CHOOSE RATING</t>
        </is>
      </c>
      <c r="DO175" s="40" t="inlineStr">
        <is>
          <t>CHOOSE RATING</t>
        </is>
      </c>
      <c r="DP175" s="40" t="inlineStr">
        <is>
          <t>CHOOSE RATING</t>
        </is>
      </c>
      <c r="DQ175" s="40" t="inlineStr">
        <is>
          <t>CHOOSE RATING</t>
        </is>
      </c>
      <c r="DR175" s="43" t="inlineStr">
        <is>
          <t>2024/2025</t>
        </is>
      </c>
      <c r="DS175" s="45" t="inlineStr">
        <is>
          <t>THIRD</t>
        </is>
      </c>
      <c r="DT175" s="40" t="inlineStr">
        <is>
          <t>CHOOSE RATING</t>
        </is>
      </c>
      <c r="DU175" s="40" t="inlineStr">
        <is>
          <t>CHOOSE RATING</t>
        </is>
      </c>
      <c r="DV175" s="40" t="inlineStr">
        <is>
          <t>CHOOSE RATING</t>
        </is>
      </c>
      <c r="DW175" s="40" t="inlineStr">
        <is>
          <t>CHOOSE RATING</t>
        </is>
      </c>
      <c r="DX175" s="40" t="inlineStr">
        <is>
          <t>CHOOSE RATING</t>
        </is>
      </c>
      <c r="DY175" s="40" t="inlineStr">
        <is>
          <t>CHOOSE RATING</t>
        </is>
      </c>
      <c r="DZ175" s="53" t="inlineStr">
        <is>
          <t>CHOOSE RATING</t>
        </is>
      </c>
      <c r="EA175" s="54" t="inlineStr">
        <is>
          <t>Add the Tutor's Comment . . .</t>
        </is>
      </c>
      <c r="EB175" s="55" t="inlineStr">
        <is>
          <t>Choose Principals comment</t>
        </is>
      </c>
      <c r="EC175" s="56" t="n"/>
      <c r="ED175" s="57" t="inlineStr">
        <is>
          <t>Next Term Begins on Monday, 22nd September, 2025</t>
        </is>
      </c>
    </row>
    <row r="176" ht="30.6" customHeight="1" s="6">
      <c r="A176" s="18" t="n">
        <v>173</v>
      </c>
      <c r="B176" s="19" t="n"/>
      <c r="C176" s="20" t="n"/>
      <c r="D176" s="128" t="n"/>
      <c r="E176" s="21" t="n"/>
      <c r="F176" s="22" t="n"/>
      <c r="G176" s="22" t="n"/>
      <c r="H176" s="22" t="n"/>
      <c r="I176" s="26">
        <f>G176-H176</f>
        <v/>
      </c>
      <c r="J176" s="21" t="n"/>
      <c r="K176" s="21" t="n"/>
      <c r="L176" s="27">
        <f>SUM(J176:K176)</f>
        <v/>
      </c>
      <c r="M176" s="28" t="n"/>
      <c r="N176" s="28" t="n"/>
      <c r="O176" s="29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1" t="n"/>
      <c r="Q176" s="21" t="n"/>
      <c r="R176" s="27">
        <f>SUM(P176:Q176)</f>
        <v/>
      </c>
      <c r="S176" s="28" t="n"/>
      <c r="T176" s="28" t="n"/>
      <c r="U176" s="29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1" t="n"/>
      <c r="W176" s="21" t="n"/>
      <c r="X176" s="27">
        <f>SUM(V176:W176)</f>
        <v/>
      </c>
      <c r="Y176" s="28" t="n"/>
      <c r="Z176" s="28" t="n"/>
      <c r="AA176" s="29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1" t="n"/>
      <c r="AC176" s="21" t="n"/>
      <c r="AD176" s="27">
        <f>SUM(AB176:AC176)</f>
        <v/>
      </c>
      <c r="AE176" s="28" t="n"/>
      <c r="AF176" s="28" t="n"/>
      <c r="AG176" s="29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1" t="n"/>
      <c r="AI176" s="21" t="n"/>
      <c r="AJ176" s="27">
        <f>SUM(AH176:AI176)</f>
        <v/>
      </c>
      <c r="AK176" s="28" t="n"/>
      <c r="AL176" s="28" t="n"/>
      <c r="AM176" s="29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1" t="n"/>
      <c r="AO176" s="21" t="n"/>
      <c r="AP176" s="27">
        <f>SUM(AN176:AO176)</f>
        <v/>
      </c>
      <c r="AQ176" s="28" t="n"/>
      <c r="AR176" s="30" t="n"/>
      <c r="AS176" s="29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1" t="n"/>
      <c r="AU176" s="21" t="n"/>
      <c r="AV176" s="27">
        <f>SUM(AT176:AU176)</f>
        <v/>
      </c>
      <c r="AW176" s="28" t="n"/>
      <c r="AX176" s="30" t="n"/>
      <c r="AY176" s="29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1" t="n"/>
      <c r="BA176" s="21" t="n"/>
      <c r="BB176" s="27">
        <f>SUM(AZ176:BA176)</f>
        <v/>
      </c>
      <c r="BC176" s="28" t="n"/>
      <c r="BD176" s="28" t="n"/>
      <c r="BE176" s="29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1" t="n"/>
      <c r="BG176" s="21" t="n"/>
      <c r="BH176" s="27">
        <f>SUM(BF176:BG176)</f>
        <v/>
      </c>
      <c r="BI176" s="28" t="n"/>
      <c r="BJ176" s="28" t="n"/>
      <c r="BK176" s="29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1" t="n"/>
      <c r="BM176" s="21" t="n"/>
      <c r="BN176" s="27">
        <f>SUM(BL176:BM176)</f>
        <v/>
      </c>
      <c r="BO176" s="28" t="n"/>
      <c r="BP176" s="31" t="n"/>
      <c r="BQ176" s="29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1" t="n"/>
      <c r="BS176" s="21" t="n"/>
      <c r="BT176" s="27">
        <f>SUM(BR176:BS176)</f>
        <v/>
      </c>
      <c r="BU176" s="28" t="n"/>
      <c r="BV176" s="31" t="n"/>
      <c r="BW176" s="29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1" t="n"/>
      <c r="BY176" s="21" t="n"/>
      <c r="BZ176" s="27">
        <f>SUM(BX176:BY176)</f>
        <v/>
      </c>
      <c r="CA176" s="28" t="n"/>
      <c r="CB176" s="31" t="n"/>
      <c r="CC176" s="29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1" t="n"/>
      <c r="CE176" s="21" t="n"/>
      <c r="CF176" s="27">
        <f>SUM(CD176:CE176)</f>
        <v/>
      </c>
      <c r="CG176" s="28" t="n"/>
      <c r="CH176" s="31" t="n"/>
      <c r="CI176" s="29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1" t="n"/>
      <c r="CK176" s="21" t="n"/>
      <c r="CL176" s="27">
        <f>SUM(CJ176:CK176)</f>
        <v/>
      </c>
      <c r="CM176" s="28" t="n"/>
      <c r="CN176" s="31" t="n"/>
      <c r="CO176" s="29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1" t="n"/>
      <c r="CQ176" s="21" t="n"/>
      <c r="CR176" s="27">
        <f>SUM(CP176:CQ176)</f>
        <v/>
      </c>
      <c r="CS176" s="28" t="n"/>
      <c r="CT176" s="31" t="n"/>
      <c r="CU176" s="29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1" t="n"/>
      <c r="CW176" s="21" t="n"/>
      <c r="CX176" s="27">
        <f>SUM(CV176:CW176)</f>
        <v/>
      </c>
      <c r="CY176" s="28" t="n"/>
      <c r="CZ176" s="31" t="n"/>
      <c r="DA176" s="29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1" t="n"/>
      <c r="DC176" s="21" t="n"/>
      <c r="DD176" s="27">
        <f>SUM(DB176:DC176)</f>
        <v/>
      </c>
      <c r="DE176" s="28" t="n"/>
      <c r="DF176" s="31" t="n"/>
      <c r="DG176" s="29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34">
        <f>SUM(O176,U176,AA176,AG176,AM176,AS176,AY176,BE176,BK176,BQ176,BW176,CC176,CI176,CO176,CU176,DA176,DG176)</f>
        <v/>
      </c>
      <c r="DI176" s="39">
        <f>RANK(DH176,DH$4:DH$503)</f>
        <v/>
      </c>
      <c r="DJ176" s="40" t="inlineStr">
        <is>
          <t>CHOOSE RATING</t>
        </is>
      </c>
      <c r="DK176" s="40" t="inlineStr">
        <is>
          <t>CHOOSE RATING</t>
        </is>
      </c>
      <c r="DL176" s="40" t="inlineStr">
        <is>
          <t>CHOOSE RATING</t>
        </is>
      </c>
      <c r="DM176" s="40" t="inlineStr">
        <is>
          <t>CHOOSE RATING</t>
        </is>
      </c>
      <c r="DN176" s="40" t="inlineStr">
        <is>
          <t>CHOOSE RATING</t>
        </is>
      </c>
      <c r="DO176" s="40" t="inlineStr">
        <is>
          <t>CHOOSE RATING</t>
        </is>
      </c>
      <c r="DP176" s="40" t="inlineStr">
        <is>
          <t>CHOOSE RATING</t>
        </is>
      </c>
      <c r="DQ176" s="40" t="inlineStr">
        <is>
          <t>CHOOSE RATING</t>
        </is>
      </c>
      <c r="DR176" s="43" t="inlineStr">
        <is>
          <t>2024/2025</t>
        </is>
      </c>
      <c r="DS176" s="45" t="inlineStr">
        <is>
          <t>THIRD</t>
        </is>
      </c>
      <c r="DT176" s="40" t="inlineStr">
        <is>
          <t>CHOOSE RATING</t>
        </is>
      </c>
      <c r="DU176" s="40" t="inlineStr">
        <is>
          <t>CHOOSE RATING</t>
        </is>
      </c>
      <c r="DV176" s="40" t="inlineStr">
        <is>
          <t>CHOOSE RATING</t>
        </is>
      </c>
      <c r="DW176" s="40" t="inlineStr">
        <is>
          <t>CHOOSE RATING</t>
        </is>
      </c>
      <c r="DX176" s="40" t="inlineStr">
        <is>
          <t>CHOOSE RATING</t>
        </is>
      </c>
      <c r="DY176" s="40" t="inlineStr">
        <is>
          <t>CHOOSE RATING</t>
        </is>
      </c>
      <c r="DZ176" s="53" t="inlineStr">
        <is>
          <t>CHOOSE RATING</t>
        </is>
      </c>
      <c r="EA176" s="54" t="inlineStr">
        <is>
          <t>Add the Tutor's Comment . . .</t>
        </is>
      </c>
      <c r="EB176" s="55" t="inlineStr">
        <is>
          <t>Choose Principals comment</t>
        </is>
      </c>
      <c r="EC176" s="56" t="n"/>
      <c r="ED176" s="57" t="inlineStr">
        <is>
          <t>Next Term Begins on Monday, 22nd September, 2025</t>
        </is>
      </c>
    </row>
    <row r="177" ht="30.6" customHeight="1" s="6">
      <c r="A177" s="18" t="n">
        <v>174</v>
      </c>
      <c r="B177" s="19" t="n"/>
      <c r="C177" s="20" t="n"/>
      <c r="D177" s="128" t="n"/>
      <c r="E177" s="21" t="n"/>
      <c r="F177" s="22" t="n"/>
      <c r="G177" s="22" t="n"/>
      <c r="H177" s="22" t="n"/>
      <c r="I177" s="26">
        <f>G177-H177</f>
        <v/>
      </c>
      <c r="J177" s="21" t="n"/>
      <c r="K177" s="21" t="n"/>
      <c r="L177" s="27">
        <f>SUM(J177:K177)</f>
        <v/>
      </c>
      <c r="M177" s="28" t="n"/>
      <c r="N177" s="28" t="n"/>
      <c r="O177" s="29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1" t="n"/>
      <c r="Q177" s="21" t="n"/>
      <c r="R177" s="27">
        <f>SUM(P177:Q177)</f>
        <v/>
      </c>
      <c r="S177" s="28" t="n"/>
      <c r="T177" s="28" t="n"/>
      <c r="U177" s="29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1" t="n"/>
      <c r="W177" s="21" t="n"/>
      <c r="X177" s="27">
        <f>SUM(V177:W177)</f>
        <v/>
      </c>
      <c r="Y177" s="28" t="n"/>
      <c r="Z177" s="28" t="n"/>
      <c r="AA177" s="29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1" t="n"/>
      <c r="AC177" s="21" t="n"/>
      <c r="AD177" s="27">
        <f>SUM(AB177:AC177)</f>
        <v/>
      </c>
      <c r="AE177" s="28" t="n"/>
      <c r="AF177" s="28" t="n"/>
      <c r="AG177" s="29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1" t="n"/>
      <c r="AI177" s="21" t="n"/>
      <c r="AJ177" s="27">
        <f>SUM(AH177:AI177)</f>
        <v/>
      </c>
      <c r="AK177" s="28" t="n"/>
      <c r="AL177" s="28" t="n"/>
      <c r="AM177" s="29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1" t="n"/>
      <c r="AO177" s="21" t="n"/>
      <c r="AP177" s="27">
        <f>SUM(AN177:AO177)</f>
        <v/>
      </c>
      <c r="AQ177" s="28" t="n"/>
      <c r="AR177" s="30" t="n"/>
      <c r="AS177" s="29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1" t="n"/>
      <c r="AU177" s="21" t="n"/>
      <c r="AV177" s="27">
        <f>SUM(AT177:AU177)</f>
        <v/>
      </c>
      <c r="AW177" s="28" t="n"/>
      <c r="AX177" s="30" t="n"/>
      <c r="AY177" s="29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1" t="n"/>
      <c r="BA177" s="21" t="n"/>
      <c r="BB177" s="27">
        <f>SUM(AZ177:BA177)</f>
        <v/>
      </c>
      <c r="BC177" s="28" t="n"/>
      <c r="BD177" s="28" t="n"/>
      <c r="BE177" s="29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1" t="n"/>
      <c r="BG177" s="21" t="n"/>
      <c r="BH177" s="27">
        <f>SUM(BF177:BG177)</f>
        <v/>
      </c>
      <c r="BI177" s="28" t="n"/>
      <c r="BJ177" s="28" t="n"/>
      <c r="BK177" s="29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1" t="n"/>
      <c r="BM177" s="21" t="n"/>
      <c r="BN177" s="27">
        <f>SUM(BL177:BM177)</f>
        <v/>
      </c>
      <c r="BO177" s="28" t="n"/>
      <c r="BP177" s="31" t="n"/>
      <c r="BQ177" s="29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1" t="n"/>
      <c r="BS177" s="21" t="n"/>
      <c r="BT177" s="27">
        <f>SUM(BR177:BS177)</f>
        <v/>
      </c>
      <c r="BU177" s="28" t="n"/>
      <c r="BV177" s="31" t="n"/>
      <c r="BW177" s="29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1" t="n"/>
      <c r="BY177" s="21" t="n"/>
      <c r="BZ177" s="27">
        <f>SUM(BX177:BY177)</f>
        <v/>
      </c>
      <c r="CA177" s="28" t="n"/>
      <c r="CB177" s="31" t="n"/>
      <c r="CC177" s="29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1" t="n"/>
      <c r="CE177" s="21" t="n"/>
      <c r="CF177" s="27">
        <f>SUM(CD177:CE177)</f>
        <v/>
      </c>
      <c r="CG177" s="28" t="n"/>
      <c r="CH177" s="31" t="n"/>
      <c r="CI177" s="29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1" t="n"/>
      <c r="CK177" s="21" t="n"/>
      <c r="CL177" s="27">
        <f>SUM(CJ177:CK177)</f>
        <v/>
      </c>
      <c r="CM177" s="28" t="n"/>
      <c r="CN177" s="31" t="n"/>
      <c r="CO177" s="29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1" t="n"/>
      <c r="CQ177" s="21" t="n"/>
      <c r="CR177" s="27">
        <f>SUM(CP177:CQ177)</f>
        <v/>
      </c>
      <c r="CS177" s="28" t="n"/>
      <c r="CT177" s="31" t="n"/>
      <c r="CU177" s="29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1" t="n"/>
      <c r="CW177" s="21" t="n"/>
      <c r="CX177" s="27">
        <f>SUM(CV177:CW177)</f>
        <v/>
      </c>
      <c r="CY177" s="28" t="n"/>
      <c r="CZ177" s="31" t="n"/>
      <c r="DA177" s="29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1" t="n"/>
      <c r="DC177" s="21" t="n"/>
      <c r="DD177" s="27">
        <f>SUM(DB177:DC177)</f>
        <v/>
      </c>
      <c r="DE177" s="28" t="n"/>
      <c r="DF177" s="31" t="n"/>
      <c r="DG177" s="29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34">
        <f>SUM(O177,U177,AA177,AG177,AM177,AS177,AY177,BE177,BK177,BQ177,BW177,CC177,CI177,CO177,CU177,DA177,DG177)</f>
        <v/>
      </c>
      <c r="DI177" s="39">
        <f>RANK(DH177,DH$4:DH$503)</f>
        <v/>
      </c>
      <c r="DJ177" s="40" t="inlineStr">
        <is>
          <t>CHOOSE RATING</t>
        </is>
      </c>
      <c r="DK177" s="40" t="inlineStr">
        <is>
          <t>CHOOSE RATING</t>
        </is>
      </c>
      <c r="DL177" s="40" t="inlineStr">
        <is>
          <t>CHOOSE RATING</t>
        </is>
      </c>
      <c r="DM177" s="40" t="inlineStr">
        <is>
          <t>CHOOSE RATING</t>
        </is>
      </c>
      <c r="DN177" s="40" t="inlineStr">
        <is>
          <t>CHOOSE RATING</t>
        </is>
      </c>
      <c r="DO177" s="40" t="inlineStr">
        <is>
          <t>CHOOSE RATING</t>
        </is>
      </c>
      <c r="DP177" s="40" t="inlineStr">
        <is>
          <t>CHOOSE RATING</t>
        </is>
      </c>
      <c r="DQ177" s="40" t="inlineStr">
        <is>
          <t>CHOOSE RATING</t>
        </is>
      </c>
      <c r="DR177" s="43" t="inlineStr">
        <is>
          <t>2024/2025</t>
        </is>
      </c>
      <c r="DS177" s="45" t="inlineStr">
        <is>
          <t>THIRD</t>
        </is>
      </c>
      <c r="DT177" s="40" t="inlineStr">
        <is>
          <t>CHOOSE RATING</t>
        </is>
      </c>
      <c r="DU177" s="40" t="inlineStr">
        <is>
          <t>CHOOSE RATING</t>
        </is>
      </c>
      <c r="DV177" s="40" t="inlineStr">
        <is>
          <t>CHOOSE RATING</t>
        </is>
      </c>
      <c r="DW177" s="40" t="inlineStr">
        <is>
          <t>CHOOSE RATING</t>
        </is>
      </c>
      <c r="DX177" s="40" t="inlineStr">
        <is>
          <t>CHOOSE RATING</t>
        </is>
      </c>
      <c r="DY177" s="40" t="inlineStr">
        <is>
          <t>CHOOSE RATING</t>
        </is>
      </c>
      <c r="DZ177" s="53" t="inlineStr">
        <is>
          <t>CHOOSE RATING</t>
        </is>
      </c>
      <c r="EA177" s="54" t="inlineStr">
        <is>
          <t>Add the Tutor's Comment . . .</t>
        </is>
      </c>
      <c r="EB177" s="55" t="inlineStr">
        <is>
          <t>Choose Principals comment</t>
        </is>
      </c>
      <c r="EC177" s="56" t="n"/>
      <c r="ED177" s="57" t="inlineStr">
        <is>
          <t>Next Term Begins on Monday, 22nd September, 2025</t>
        </is>
      </c>
    </row>
    <row r="178" ht="30.6" customHeight="1" s="6">
      <c r="A178" s="18" t="n">
        <v>175</v>
      </c>
      <c r="B178" s="19" t="n"/>
      <c r="C178" s="20" t="n"/>
      <c r="D178" s="128" t="n"/>
      <c r="E178" s="21" t="n"/>
      <c r="F178" s="22" t="n"/>
      <c r="G178" s="22" t="n"/>
      <c r="H178" s="22" t="n"/>
      <c r="I178" s="26">
        <f>G178-H178</f>
        <v/>
      </c>
      <c r="J178" s="21" t="n"/>
      <c r="K178" s="21" t="n"/>
      <c r="L178" s="27">
        <f>SUM(J178:K178)</f>
        <v/>
      </c>
      <c r="M178" s="28" t="n"/>
      <c r="N178" s="28" t="n"/>
      <c r="O178" s="29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1" t="n"/>
      <c r="Q178" s="21" t="n"/>
      <c r="R178" s="27">
        <f>SUM(P178:Q178)</f>
        <v/>
      </c>
      <c r="S178" s="28" t="n"/>
      <c r="T178" s="28" t="n"/>
      <c r="U178" s="29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1" t="n"/>
      <c r="W178" s="21" t="n"/>
      <c r="X178" s="27">
        <f>SUM(V178:W178)</f>
        <v/>
      </c>
      <c r="Y178" s="28" t="n"/>
      <c r="Z178" s="28" t="n"/>
      <c r="AA178" s="29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1" t="n"/>
      <c r="AC178" s="21" t="n"/>
      <c r="AD178" s="27">
        <f>SUM(AB178:AC178)</f>
        <v/>
      </c>
      <c r="AE178" s="28" t="n"/>
      <c r="AF178" s="28" t="n"/>
      <c r="AG178" s="29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1" t="n"/>
      <c r="AI178" s="21" t="n"/>
      <c r="AJ178" s="27">
        <f>SUM(AH178:AI178)</f>
        <v/>
      </c>
      <c r="AK178" s="28" t="n"/>
      <c r="AL178" s="28" t="n"/>
      <c r="AM178" s="29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1" t="n"/>
      <c r="AO178" s="21" t="n"/>
      <c r="AP178" s="27">
        <f>SUM(AN178:AO178)</f>
        <v/>
      </c>
      <c r="AQ178" s="28" t="n"/>
      <c r="AR178" s="30" t="n"/>
      <c r="AS178" s="29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1" t="n"/>
      <c r="AU178" s="21" t="n"/>
      <c r="AV178" s="27">
        <f>SUM(AT178:AU178)</f>
        <v/>
      </c>
      <c r="AW178" s="28" t="n"/>
      <c r="AX178" s="30" t="n"/>
      <c r="AY178" s="29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1" t="n"/>
      <c r="BA178" s="21" t="n"/>
      <c r="BB178" s="27">
        <f>SUM(AZ178:BA178)</f>
        <v/>
      </c>
      <c r="BC178" s="28" t="n"/>
      <c r="BD178" s="28" t="n"/>
      <c r="BE178" s="29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1" t="n"/>
      <c r="BG178" s="21" t="n"/>
      <c r="BH178" s="27">
        <f>SUM(BF178:BG178)</f>
        <v/>
      </c>
      <c r="BI178" s="28" t="n"/>
      <c r="BJ178" s="28" t="n"/>
      <c r="BK178" s="29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1" t="n"/>
      <c r="BM178" s="21" t="n"/>
      <c r="BN178" s="27">
        <f>SUM(BL178:BM178)</f>
        <v/>
      </c>
      <c r="BO178" s="28" t="n"/>
      <c r="BP178" s="31" t="n"/>
      <c r="BQ178" s="29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1" t="n"/>
      <c r="BS178" s="21" t="n"/>
      <c r="BT178" s="27">
        <f>SUM(BR178:BS178)</f>
        <v/>
      </c>
      <c r="BU178" s="28" t="n"/>
      <c r="BV178" s="31" t="n"/>
      <c r="BW178" s="29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1" t="n"/>
      <c r="BY178" s="21" t="n"/>
      <c r="BZ178" s="27">
        <f>SUM(BX178:BY178)</f>
        <v/>
      </c>
      <c r="CA178" s="28" t="n"/>
      <c r="CB178" s="31" t="n"/>
      <c r="CC178" s="29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1" t="n"/>
      <c r="CE178" s="21" t="n"/>
      <c r="CF178" s="27">
        <f>SUM(CD178:CE178)</f>
        <v/>
      </c>
      <c r="CG178" s="28" t="n"/>
      <c r="CH178" s="31" t="n"/>
      <c r="CI178" s="29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1" t="n"/>
      <c r="CK178" s="21" t="n"/>
      <c r="CL178" s="27">
        <f>SUM(CJ178:CK178)</f>
        <v/>
      </c>
      <c r="CM178" s="28" t="n"/>
      <c r="CN178" s="31" t="n"/>
      <c r="CO178" s="29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1" t="n"/>
      <c r="CQ178" s="21" t="n"/>
      <c r="CR178" s="27">
        <f>SUM(CP178:CQ178)</f>
        <v/>
      </c>
      <c r="CS178" s="28" t="n"/>
      <c r="CT178" s="31" t="n"/>
      <c r="CU178" s="29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1" t="n"/>
      <c r="CW178" s="21" t="n"/>
      <c r="CX178" s="27">
        <f>SUM(CV178:CW178)</f>
        <v/>
      </c>
      <c r="CY178" s="28" t="n"/>
      <c r="CZ178" s="31" t="n"/>
      <c r="DA178" s="29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1" t="n"/>
      <c r="DC178" s="21" t="n"/>
      <c r="DD178" s="27">
        <f>SUM(DB178:DC178)</f>
        <v/>
      </c>
      <c r="DE178" s="28" t="n"/>
      <c r="DF178" s="31" t="n"/>
      <c r="DG178" s="29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34">
        <f>SUM(O178,U178,AA178,AG178,AM178,AS178,AY178,BE178,BK178,BQ178,BW178,CC178,CI178,CO178,CU178,DA178,DG178)</f>
        <v/>
      </c>
      <c r="DI178" s="39">
        <f>RANK(DH178,DH$4:DH$503)</f>
        <v/>
      </c>
      <c r="DJ178" s="40" t="inlineStr">
        <is>
          <t>CHOOSE RATING</t>
        </is>
      </c>
      <c r="DK178" s="40" t="inlineStr">
        <is>
          <t>CHOOSE RATING</t>
        </is>
      </c>
      <c r="DL178" s="40" t="inlineStr">
        <is>
          <t>CHOOSE RATING</t>
        </is>
      </c>
      <c r="DM178" s="40" t="inlineStr">
        <is>
          <t>CHOOSE RATING</t>
        </is>
      </c>
      <c r="DN178" s="40" t="inlineStr">
        <is>
          <t>CHOOSE RATING</t>
        </is>
      </c>
      <c r="DO178" s="40" t="inlineStr">
        <is>
          <t>CHOOSE RATING</t>
        </is>
      </c>
      <c r="DP178" s="40" t="inlineStr">
        <is>
          <t>CHOOSE RATING</t>
        </is>
      </c>
      <c r="DQ178" s="40" t="inlineStr">
        <is>
          <t>CHOOSE RATING</t>
        </is>
      </c>
      <c r="DR178" s="43" t="inlineStr">
        <is>
          <t>2024/2025</t>
        </is>
      </c>
      <c r="DS178" s="45" t="inlineStr">
        <is>
          <t>THIRD</t>
        </is>
      </c>
      <c r="DT178" s="40" t="inlineStr">
        <is>
          <t>CHOOSE RATING</t>
        </is>
      </c>
      <c r="DU178" s="40" t="inlineStr">
        <is>
          <t>CHOOSE RATING</t>
        </is>
      </c>
      <c r="DV178" s="40" t="inlineStr">
        <is>
          <t>CHOOSE RATING</t>
        </is>
      </c>
      <c r="DW178" s="40" t="inlineStr">
        <is>
          <t>CHOOSE RATING</t>
        </is>
      </c>
      <c r="DX178" s="40" t="inlineStr">
        <is>
          <t>CHOOSE RATING</t>
        </is>
      </c>
      <c r="DY178" s="40" t="inlineStr">
        <is>
          <t>CHOOSE RATING</t>
        </is>
      </c>
      <c r="DZ178" s="53" t="inlineStr">
        <is>
          <t>CHOOSE RATING</t>
        </is>
      </c>
      <c r="EA178" s="54" t="inlineStr">
        <is>
          <t>Add the Tutor's Comment . . .</t>
        </is>
      </c>
      <c r="EB178" s="55" t="inlineStr">
        <is>
          <t>Choose Principals comment</t>
        </is>
      </c>
      <c r="EC178" s="56" t="n"/>
      <c r="ED178" s="57" t="inlineStr">
        <is>
          <t>Next Term Begins on Monday, 22nd September, 2025</t>
        </is>
      </c>
    </row>
    <row r="179" ht="30.6" customHeight="1" s="6">
      <c r="A179" s="18" t="n">
        <v>176</v>
      </c>
      <c r="B179" s="19" t="n"/>
      <c r="C179" s="20" t="n"/>
      <c r="D179" s="128" t="n"/>
      <c r="E179" s="21" t="n"/>
      <c r="F179" s="22" t="n"/>
      <c r="G179" s="22" t="n"/>
      <c r="H179" s="22" t="n"/>
      <c r="I179" s="26">
        <f>G179-H179</f>
        <v/>
      </c>
      <c r="J179" s="21" t="n"/>
      <c r="K179" s="21" t="n"/>
      <c r="L179" s="27">
        <f>SUM(J179:K179)</f>
        <v/>
      </c>
      <c r="M179" s="28" t="n"/>
      <c r="N179" s="28" t="n"/>
      <c r="O179" s="29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1" t="n"/>
      <c r="Q179" s="21" t="n"/>
      <c r="R179" s="27">
        <f>SUM(P179:Q179)</f>
        <v/>
      </c>
      <c r="S179" s="28" t="n"/>
      <c r="T179" s="28" t="n"/>
      <c r="U179" s="29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1" t="n"/>
      <c r="W179" s="21" t="n"/>
      <c r="X179" s="27">
        <f>SUM(V179:W179)</f>
        <v/>
      </c>
      <c r="Y179" s="28" t="n"/>
      <c r="Z179" s="28" t="n"/>
      <c r="AA179" s="29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1" t="n"/>
      <c r="AC179" s="21" t="n"/>
      <c r="AD179" s="27">
        <f>SUM(AB179:AC179)</f>
        <v/>
      </c>
      <c r="AE179" s="28" t="n"/>
      <c r="AF179" s="28" t="n"/>
      <c r="AG179" s="29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1" t="n"/>
      <c r="AI179" s="21" t="n"/>
      <c r="AJ179" s="27">
        <f>SUM(AH179:AI179)</f>
        <v/>
      </c>
      <c r="AK179" s="28" t="n"/>
      <c r="AL179" s="28" t="n"/>
      <c r="AM179" s="29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1" t="n"/>
      <c r="AO179" s="21" t="n"/>
      <c r="AP179" s="27">
        <f>SUM(AN179:AO179)</f>
        <v/>
      </c>
      <c r="AQ179" s="28" t="n"/>
      <c r="AR179" s="30" t="n"/>
      <c r="AS179" s="29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1" t="n"/>
      <c r="AU179" s="21" t="n"/>
      <c r="AV179" s="27">
        <f>SUM(AT179:AU179)</f>
        <v/>
      </c>
      <c r="AW179" s="28" t="n"/>
      <c r="AX179" s="30" t="n"/>
      <c r="AY179" s="29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1" t="n"/>
      <c r="BA179" s="21" t="n"/>
      <c r="BB179" s="27">
        <f>SUM(AZ179:BA179)</f>
        <v/>
      </c>
      <c r="BC179" s="28" t="n"/>
      <c r="BD179" s="28" t="n"/>
      <c r="BE179" s="29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1" t="n"/>
      <c r="BG179" s="21" t="n"/>
      <c r="BH179" s="27">
        <f>SUM(BF179:BG179)</f>
        <v/>
      </c>
      <c r="BI179" s="28" t="n"/>
      <c r="BJ179" s="28" t="n"/>
      <c r="BK179" s="29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1" t="n"/>
      <c r="BM179" s="21" t="n"/>
      <c r="BN179" s="27">
        <f>SUM(BL179:BM179)</f>
        <v/>
      </c>
      <c r="BO179" s="28" t="n"/>
      <c r="BP179" s="31" t="n"/>
      <c r="BQ179" s="29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1" t="n"/>
      <c r="BS179" s="21" t="n"/>
      <c r="BT179" s="27">
        <f>SUM(BR179:BS179)</f>
        <v/>
      </c>
      <c r="BU179" s="28" t="n"/>
      <c r="BV179" s="31" t="n"/>
      <c r="BW179" s="29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1" t="n"/>
      <c r="BY179" s="21" t="n"/>
      <c r="BZ179" s="27">
        <f>SUM(BX179:BY179)</f>
        <v/>
      </c>
      <c r="CA179" s="28" t="n"/>
      <c r="CB179" s="31" t="n"/>
      <c r="CC179" s="29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1" t="n"/>
      <c r="CE179" s="21" t="n"/>
      <c r="CF179" s="27">
        <f>SUM(CD179:CE179)</f>
        <v/>
      </c>
      <c r="CG179" s="28" t="n"/>
      <c r="CH179" s="31" t="n"/>
      <c r="CI179" s="29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1" t="n"/>
      <c r="CK179" s="21" t="n"/>
      <c r="CL179" s="27">
        <f>SUM(CJ179:CK179)</f>
        <v/>
      </c>
      <c r="CM179" s="28" t="n"/>
      <c r="CN179" s="31" t="n"/>
      <c r="CO179" s="29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1" t="n"/>
      <c r="CQ179" s="21" t="n"/>
      <c r="CR179" s="27">
        <f>SUM(CP179:CQ179)</f>
        <v/>
      </c>
      <c r="CS179" s="28" t="n"/>
      <c r="CT179" s="31" t="n"/>
      <c r="CU179" s="29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1" t="n"/>
      <c r="CW179" s="21" t="n"/>
      <c r="CX179" s="27">
        <f>SUM(CV179:CW179)</f>
        <v/>
      </c>
      <c r="CY179" s="28" t="n"/>
      <c r="CZ179" s="31" t="n"/>
      <c r="DA179" s="29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1" t="n"/>
      <c r="DC179" s="21" t="n"/>
      <c r="DD179" s="27">
        <f>SUM(DB179:DC179)</f>
        <v/>
      </c>
      <c r="DE179" s="28" t="n"/>
      <c r="DF179" s="31" t="n"/>
      <c r="DG179" s="29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34">
        <f>SUM(O179,U179,AA179,AG179,AM179,AS179,AY179,BE179,BK179,BQ179,BW179,CC179,CI179,CO179,CU179,DA179,DG179)</f>
        <v/>
      </c>
      <c r="DI179" s="39">
        <f>RANK(DH179,DH$4:DH$503)</f>
        <v/>
      </c>
      <c r="DJ179" s="40" t="inlineStr">
        <is>
          <t>CHOOSE RATING</t>
        </is>
      </c>
      <c r="DK179" s="40" t="inlineStr">
        <is>
          <t>CHOOSE RATING</t>
        </is>
      </c>
      <c r="DL179" s="40" t="inlineStr">
        <is>
          <t>CHOOSE RATING</t>
        </is>
      </c>
      <c r="DM179" s="40" t="inlineStr">
        <is>
          <t>CHOOSE RATING</t>
        </is>
      </c>
      <c r="DN179" s="40" t="inlineStr">
        <is>
          <t>CHOOSE RATING</t>
        </is>
      </c>
      <c r="DO179" s="40" t="inlineStr">
        <is>
          <t>CHOOSE RATING</t>
        </is>
      </c>
      <c r="DP179" s="40" t="inlineStr">
        <is>
          <t>CHOOSE RATING</t>
        </is>
      </c>
      <c r="DQ179" s="40" t="inlineStr">
        <is>
          <t>CHOOSE RATING</t>
        </is>
      </c>
      <c r="DR179" s="43" t="inlineStr">
        <is>
          <t>2024/2025</t>
        </is>
      </c>
      <c r="DS179" s="45" t="inlineStr">
        <is>
          <t>THIRD</t>
        </is>
      </c>
      <c r="DT179" s="40" t="inlineStr">
        <is>
          <t>CHOOSE RATING</t>
        </is>
      </c>
      <c r="DU179" s="40" t="inlineStr">
        <is>
          <t>CHOOSE RATING</t>
        </is>
      </c>
      <c r="DV179" s="40" t="inlineStr">
        <is>
          <t>CHOOSE RATING</t>
        </is>
      </c>
      <c r="DW179" s="40" t="inlineStr">
        <is>
          <t>CHOOSE RATING</t>
        </is>
      </c>
      <c r="DX179" s="40" t="inlineStr">
        <is>
          <t>CHOOSE RATING</t>
        </is>
      </c>
      <c r="DY179" s="40" t="inlineStr">
        <is>
          <t>CHOOSE RATING</t>
        </is>
      </c>
      <c r="DZ179" s="53" t="inlineStr">
        <is>
          <t>CHOOSE RATING</t>
        </is>
      </c>
      <c r="EA179" s="54" t="inlineStr">
        <is>
          <t>Add the Tutor's Comment . . .</t>
        </is>
      </c>
      <c r="EB179" s="55" t="inlineStr">
        <is>
          <t>Choose Principals comment</t>
        </is>
      </c>
      <c r="EC179" s="56" t="n"/>
      <c r="ED179" s="57" t="inlineStr">
        <is>
          <t>Next Term Begins on Monday, 22nd September, 2025</t>
        </is>
      </c>
    </row>
    <row r="180" ht="30.6" customHeight="1" s="6">
      <c r="A180" s="18" t="n">
        <v>177</v>
      </c>
      <c r="B180" s="19" t="n"/>
      <c r="C180" s="20" t="n"/>
      <c r="D180" s="128" t="n"/>
      <c r="E180" s="21" t="n"/>
      <c r="F180" s="22" t="n"/>
      <c r="G180" s="22" t="n"/>
      <c r="H180" s="22" t="n"/>
      <c r="I180" s="26">
        <f>G180-H180</f>
        <v/>
      </c>
      <c r="J180" s="21" t="n"/>
      <c r="K180" s="21" t="n"/>
      <c r="L180" s="27">
        <f>SUM(J180:K180)</f>
        <v/>
      </c>
      <c r="M180" s="28" t="n"/>
      <c r="N180" s="28" t="n"/>
      <c r="O180" s="29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1" t="n"/>
      <c r="Q180" s="21" t="n"/>
      <c r="R180" s="27">
        <f>SUM(P180:Q180)</f>
        <v/>
      </c>
      <c r="S180" s="28" t="n"/>
      <c r="T180" s="28" t="n"/>
      <c r="U180" s="29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1" t="n"/>
      <c r="W180" s="21" t="n"/>
      <c r="X180" s="27">
        <f>SUM(V180:W180)</f>
        <v/>
      </c>
      <c r="Y180" s="28" t="n"/>
      <c r="Z180" s="28" t="n"/>
      <c r="AA180" s="29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1" t="n"/>
      <c r="AC180" s="21" t="n"/>
      <c r="AD180" s="27">
        <f>SUM(AB180:AC180)</f>
        <v/>
      </c>
      <c r="AE180" s="28" t="n"/>
      <c r="AF180" s="28" t="n"/>
      <c r="AG180" s="29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1" t="n"/>
      <c r="AI180" s="21" t="n"/>
      <c r="AJ180" s="27">
        <f>SUM(AH180:AI180)</f>
        <v/>
      </c>
      <c r="AK180" s="28" t="n"/>
      <c r="AL180" s="28" t="n"/>
      <c r="AM180" s="29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1" t="n"/>
      <c r="AO180" s="21" t="n"/>
      <c r="AP180" s="27">
        <f>SUM(AN180:AO180)</f>
        <v/>
      </c>
      <c r="AQ180" s="28" t="n"/>
      <c r="AR180" s="30" t="n"/>
      <c r="AS180" s="29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1" t="n"/>
      <c r="AU180" s="21" t="n"/>
      <c r="AV180" s="27">
        <f>SUM(AT180:AU180)</f>
        <v/>
      </c>
      <c r="AW180" s="28" t="n"/>
      <c r="AX180" s="30" t="n"/>
      <c r="AY180" s="29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1" t="n"/>
      <c r="BA180" s="21" t="n"/>
      <c r="BB180" s="27">
        <f>SUM(AZ180:BA180)</f>
        <v/>
      </c>
      <c r="BC180" s="28" t="n"/>
      <c r="BD180" s="28" t="n"/>
      <c r="BE180" s="29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1" t="n"/>
      <c r="BG180" s="21" t="n"/>
      <c r="BH180" s="27">
        <f>SUM(BF180:BG180)</f>
        <v/>
      </c>
      <c r="BI180" s="28" t="n"/>
      <c r="BJ180" s="28" t="n"/>
      <c r="BK180" s="29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1" t="n"/>
      <c r="BM180" s="21" t="n"/>
      <c r="BN180" s="27">
        <f>SUM(BL180:BM180)</f>
        <v/>
      </c>
      <c r="BO180" s="28" t="n"/>
      <c r="BP180" s="31" t="n"/>
      <c r="BQ180" s="29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1" t="n"/>
      <c r="BS180" s="21" t="n"/>
      <c r="BT180" s="27">
        <f>SUM(BR180:BS180)</f>
        <v/>
      </c>
      <c r="BU180" s="28" t="n"/>
      <c r="BV180" s="31" t="n"/>
      <c r="BW180" s="29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1" t="n"/>
      <c r="BY180" s="21" t="n"/>
      <c r="BZ180" s="27">
        <f>SUM(BX180:BY180)</f>
        <v/>
      </c>
      <c r="CA180" s="28" t="n"/>
      <c r="CB180" s="31" t="n"/>
      <c r="CC180" s="29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1" t="n"/>
      <c r="CE180" s="21" t="n"/>
      <c r="CF180" s="27">
        <f>SUM(CD180:CE180)</f>
        <v/>
      </c>
      <c r="CG180" s="28" t="n"/>
      <c r="CH180" s="31" t="n"/>
      <c r="CI180" s="29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1" t="n"/>
      <c r="CK180" s="21" t="n"/>
      <c r="CL180" s="27">
        <f>SUM(CJ180:CK180)</f>
        <v/>
      </c>
      <c r="CM180" s="28" t="n"/>
      <c r="CN180" s="31" t="n"/>
      <c r="CO180" s="29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1" t="n"/>
      <c r="CQ180" s="21" t="n"/>
      <c r="CR180" s="27">
        <f>SUM(CP180:CQ180)</f>
        <v/>
      </c>
      <c r="CS180" s="28" t="n"/>
      <c r="CT180" s="31" t="n"/>
      <c r="CU180" s="29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1" t="n"/>
      <c r="CW180" s="21" t="n"/>
      <c r="CX180" s="27">
        <f>SUM(CV180:CW180)</f>
        <v/>
      </c>
      <c r="CY180" s="28" t="n"/>
      <c r="CZ180" s="31" t="n"/>
      <c r="DA180" s="29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1" t="n"/>
      <c r="DC180" s="21" t="n"/>
      <c r="DD180" s="27">
        <f>SUM(DB180:DC180)</f>
        <v/>
      </c>
      <c r="DE180" s="28" t="n"/>
      <c r="DF180" s="31" t="n"/>
      <c r="DG180" s="29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34">
        <f>SUM(O180,U180,AA180,AG180,AM180,AS180,AY180,BE180,BK180,BQ180,BW180,CC180,CI180,CO180,CU180,DA180,DG180)</f>
        <v/>
      </c>
      <c r="DI180" s="39">
        <f>RANK(DH180,DH$4:DH$503)</f>
        <v/>
      </c>
      <c r="DJ180" s="40" t="inlineStr">
        <is>
          <t>CHOOSE RATING</t>
        </is>
      </c>
      <c r="DK180" s="40" t="inlineStr">
        <is>
          <t>CHOOSE RATING</t>
        </is>
      </c>
      <c r="DL180" s="40" t="inlineStr">
        <is>
          <t>CHOOSE RATING</t>
        </is>
      </c>
      <c r="DM180" s="40" t="inlineStr">
        <is>
          <t>CHOOSE RATING</t>
        </is>
      </c>
      <c r="DN180" s="40" t="inlineStr">
        <is>
          <t>CHOOSE RATING</t>
        </is>
      </c>
      <c r="DO180" s="40" t="inlineStr">
        <is>
          <t>CHOOSE RATING</t>
        </is>
      </c>
      <c r="DP180" s="40" t="inlineStr">
        <is>
          <t>CHOOSE RATING</t>
        </is>
      </c>
      <c r="DQ180" s="40" t="inlineStr">
        <is>
          <t>CHOOSE RATING</t>
        </is>
      </c>
      <c r="DR180" s="43" t="inlineStr">
        <is>
          <t>2024/2025</t>
        </is>
      </c>
      <c r="DS180" s="45" t="inlineStr">
        <is>
          <t>THIRD</t>
        </is>
      </c>
      <c r="DT180" s="40" t="inlineStr">
        <is>
          <t>CHOOSE RATING</t>
        </is>
      </c>
      <c r="DU180" s="40" t="inlineStr">
        <is>
          <t>CHOOSE RATING</t>
        </is>
      </c>
      <c r="DV180" s="40" t="inlineStr">
        <is>
          <t>CHOOSE RATING</t>
        </is>
      </c>
      <c r="DW180" s="40" t="inlineStr">
        <is>
          <t>CHOOSE RATING</t>
        </is>
      </c>
      <c r="DX180" s="40" t="inlineStr">
        <is>
          <t>CHOOSE RATING</t>
        </is>
      </c>
      <c r="DY180" s="40" t="inlineStr">
        <is>
          <t>CHOOSE RATING</t>
        </is>
      </c>
      <c r="DZ180" s="53" t="inlineStr">
        <is>
          <t>CHOOSE RATING</t>
        </is>
      </c>
      <c r="EA180" s="54" t="inlineStr">
        <is>
          <t>Add the Tutor's Comment . . .</t>
        </is>
      </c>
      <c r="EB180" s="55" t="inlineStr">
        <is>
          <t>Choose Principals comment</t>
        </is>
      </c>
      <c r="EC180" s="56" t="n"/>
      <c r="ED180" s="57" t="inlineStr">
        <is>
          <t>Next Term Begins on Monday, 22nd September, 2025</t>
        </is>
      </c>
    </row>
    <row r="181" ht="30.6" customHeight="1" s="6">
      <c r="A181" s="18" t="n">
        <v>178</v>
      </c>
      <c r="B181" s="19" t="n"/>
      <c r="C181" s="20" t="n"/>
      <c r="D181" s="128" t="n"/>
      <c r="E181" s="21" t="n"/>
      <c r="F181" s="22" t="n"/>
      <c r="G181" s="22" t="n"/>
      <c r="H181" s="22" t="n"/>
      <c r="I181" s="26">
        <f>G181-H181</f>
        <v/>
      </c>
      <c r="J181" s="21" t="n"/>
      <c r="K181" s="21" t="n"/>
      <c r="L181" s="27">
        <f>SUM(J181:K181)</f>
        <v/>
      </c>
      <c r="M181" s="28" t="n"/>
      <c r="N181" s="28" t="n"/>
      <c r="O181" s="29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1" t="n"/>
      <c r="Q181" s="21" t="n"/>
      <c r="R181" s="27">
        <f>SUM(P181:Q181)</f>
        <v/>
      </c>
      <c r="S181" s="28" t="n"/>
      <c r="T181" s="28" t="n"/>
      <c r="U181" s="29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1" t="n"/>
      <c r="W181" s="21" t="n"/>
      <c r="X181" s="27">
        <f>SUM(V181:W181)</f>
        <v/>
      </c>
      <c r="Y181" s="28" t="n"/>
      <c r="Z181" s="28" t="n"/>
      <c r="AA181" s="29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1" t="n"/>
      <c r="AC181" s="21" t="n"/>
      <c r="AD181" s="27">
        <f>SUM(AB181:AC181)</f>
        <v/>
      </c>
      <c r="AE181" s="28" t="n"/>
      <c r="AF181" s="28" t="n"/>
      <c r="AG181" s="29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1" t="n"/>
      <c r="AI181" s="21" t="n"/>
      <c r="AJ181" s="27">
        <f>SUM(AH181:AI181)</f>
        <v/>
      </c>
      <c r="AK181" s="28" t="n"/>
      <c r="AL181" s="28" t="n"/>
      <c r="AM181" s="29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1" t="n"/>
      <c r="AO181" s="21" t="n"/>
      <c r="AP181" s="27">
        <f>SUM(AN181:AO181)</f>
        <v/>
      </c>
      <c r="AQ181" s="28" t="n"/>
      <c r="AR181" s="30" t="n"/>
      <c r="AS181" s="29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1" t="n"/>
      <c r="AU181" s="21" t="n"/>
      <c r="AV181" s="27">
        <f>SUM(AT181:AU181)</f>
        <v/>
      </c>
      <c r="AW181" s="28" t="n"/>
      <c r="AX181" s="30" t="n"/>
      <c r="AY181" s="29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1" t="n"/>
      <c r="BA181" s="21" t="n"/>
      <c r="BB181" s="27">
        <f>SUM(AZ181:BA181)</f>
        <v/>
      </c>
      <c r="BC181" s="28" t="n"/>
      <c r="BD181" s="28" t="n"/>
      <c r="BE181" s="29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1" t="n"/>
      <c r="BG181" s="21" t="n"/>
      <c r="BH181" s="27">
        <f>SUM(BF181:BG181)</f>
        <v/>
      </c>
      <c r="BI181" s="28" t="n"/>
      <c r="BJ181" s="28" t="n"/>
      <c r="BK181" s="29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1" t="n"/>
      <c r="BM181" s="21" t="n"/>
      <c r="BN181" s="27">
        <f>SUM(BL181:BM181)</f>
        <v/>
      </c>
      <c r="BO181" s="28" t="n"/>
      <c r="BP181" s="31" t="n"/>
      <c r="BQ181" s="29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1" t="n"/>
      <c r="BS181" s="21" t="n"/>
      <c r="BT181" s="27">
        <f>SUM(BR181:BS181)</f>
        <v/>
      </c>
      <c r="BU181" s="28" t="n"/>
      <c r="BV181" s="31" t="n"/>
      <c r="BW181" s="29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1" t="n"/>
      <c r="BY181" s="21" t="n"/>
      <c r="BZ181" s="27">
        <f>SUM(BX181:BY181)</f>
        <v/>
      </c>
      <c r="CA181" s="28" t="n"/>
      <c r="CB181" s="31" t="n"/>
      <c r="CC181" s="29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1" t="n"/>
      <c r="CE181" s="21" t="n"/>
      <c r="CF181" s="27">
        <f>SUM(CD181:CE181)</f>
        <v/>
      </c>
      <c r="CG181" s="28" t="n"/>
      <c r="CH181" s="31" t="n"/>
      <c r="CI181" s="29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1" t="n"/>
      <c r="CK181" s="21" t="n"/>
      <c r="CL181" s="27">
        <f>SUM(CJ181:CK181)</f>
        <v/>
      </c>
      <c r="CM181" s="28" t="n"/>
      <c r="CN181" s="31" t="n"/>
      <c r="CO181" s="29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1" t="n"/>
      <c r="CQ181" s="21" t="n"/>
      <c r="CR181" s="27">
        <f>SUM(CP181:CQ181)</f>
        <v/>
      </c>
      <c r="CS181" s="28" t="n"/>
      <c r="CT181" s="31" t="n"/>
      <c r="CU181" s="29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1" t="n"/>
      <c r="CW181" s="21" t="n"/>
      <c r="CX181" s="27">
        <f>SUM(CV181:CW181)</f>
        <v/>
      </c>
      <c r="CY181" s="28" t="n"/>
      <c r="CZ181" s="31" t="n"/>
      <c r="DA181" s="29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1" t="n"/>
      <c r="DC181" s="21" t="n"/>
      <c r="DD181" s="27">
        <f>SUM(DB181:DC181)</f>
        <v/>
      </c>
      <c r="DE181" s="28" t="n"/>
      <c r="DF181" s="31" t="n"/>
      <c r="DG181" s="29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34">
        <f>SUM(O181,U181,AA181,AG181,AM181,AS181,AY181,BE181,BK181,BQ181,BW181,CC181,CI181,CO181,CU181,DA181,DG181)</f>
        <v/>
      </c>
      <c r="DI181" s="39">
        <f>RANK(DH181,DH$4:DH$503)</f>
        <v/>
      </c>
      <c r="DJ181" s="40" t="inlineStr">
        <is>
          <t>CHOOSE RATING</t>
        </is>
      </c>
      <c r="DK181" s="40" t="inlineStr">
        <is>
          <t>CHOOSE RATING</t>
        </is>
      </c>
      <c r="DL181" s="40" t="inlineStr">
        <is>
          <t>CHOOSE RATING</t>
        </is>
      </c>
      <c r="DM181" s="40" t="inlineStr">
        <is>
          <t>CHOOSE RATING</t>
        </is>
      </c>
      <c r="DN181" s="40" t="inlineStr">
        <is>
          <t>CHOOSE RATING</t>
        </is>
      </c>
      <c r="DO181" s="40" t="inlineStr">
        <is>
          <t>CHOOSE RATING</t>
        </is>
      </c>
      <c r="DP181" s="40" t="inlineStr">
        <is>
          <t>CHOOSE RATING</t>
        </is>
      </c>
      <c r="DQ181" s="40" t="inlineStr">
        <is>
          <t>CHOOSE RATING</t>
        </is>
      </c>
      <c r="DR181" s="43" t="inlineStr">
        <is>
          <t>2024/2025</t>
        </is>
      </c>
      <c r="DS181" s="45" t="inlineStr">
        <is>
          <t>THIRD</t>
        </is>
      </c>
      <c r="DT181" s="40" t="inlineStr">
        <is>
          <t>CHOOSE RATING</t>
        </is>
      </c>
      <c r="DU181" s="40" t="inlineStr">
        <is>
          <t>CHOOSE RATING</t>
        </is>
      </c>
      <c r="DV181" s="40" t="inlineStr">
        <is>
          <t>CHOOSE RATING</t>
        </is>
      </c>
      <c r="DW181" s="40" t="inlineStr">
        <is>
          <t>CHOOSE RATING</t>
        </is>
      </c>
      <c r="DX181" s="40" t="inlineStr">
        <is>
          <t>CHOOSE RATING</t>
        </is>
      </c>
      <c r="DY181" s="40" t="inlineStr">
        <is>
          <t>CHOOSE RATING</t>
        </is>
      </c>
      <c r="DZ181" s="53" t="inlineStr">
        <is>
          <t>CHOOSE RATING</t>
        </is>
      </c>
      <c r="EA181" s="54" t="inlineStr">
        <is>
          <t>Add the Tutor's Comment . . .</t>
        </is>
      </c>
      <c r="EB181" s="55" t="inlineStr">
        <is>
          <t>Choose Principals comment</t>
        </is>
      </c>
      <c r="EC181" s="56" t="n"/>
      <c r="ED181" s="57" t="inlineStr">
        <is>
          <t>Next Term Begins on Monday, 22nd September, 2025</t>
        </is>
      </c>
    </row>
    <row r="182" ht="30.6" customHeight="1" s="6">
      <c r="A182" s="18" t="n">
        <v>179</v>
      </c>
      <c r="B182" s="19" t="n"/>
      <c r="C182" s="20" t="n"/>
      <c r="D182" s="128" t="n"/>
      <c r="E182" s="21" t="n"/>
      <c r="F182" s="22" t="n"/>
      <c r="G182" s="22" t="n"/>
      <c r="H182" s="22" t="n"/>
      <c r="I182" s="26">
        <f>G182-H182</f>
        <v/>
      </c>
      <c r="J182" s="21" t="n"/>
      <c r="K182" s="21" t="n"/>
      <c r="L182" s="27">
        <f>SUM(J182:K182)</f>
        <v/>
      </c>
      <c r="M182" s="28" t="n"/>
      <c r="N182" s="28" t="n"/>
      <c r="O182" s="29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1" t="n"/>
      <c r="Q182" s="21" t="n"/>
      <c r="R182" s="27">
        <f>SUM(P182:Q182)</f>
        <v/>
      </c>
      <c r="S182" s="28" t="n"/>
      <c r="T182" s="28" t="n"/>
      <c r="U182" s="29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1" t="n"/>
      <c r="W182" s="21" t="n"/>
      <c r="X182" s="27">
        <f>SUM(V182:W182)</f>
        <v/>
      </c>
      <c r="Y182" s="28" t="n"/>
      <c r="Z182" s="28" t="n"/>
      <c r="AA182" s="29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1" t="n"/>
      <c r="AC182" s="21" t="n"/>
      <c r="AD182" s="27">
        <f>SUM(AB182:AC182)</f>
        <v/>
      </c>
      <c r="AE182" s="28" t="n"/>
      <c r="AF182" s="28" t="n"/>
      <c r="AG182" s="29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1" t="n"/>
      <c r="AI182" s="21" t="n"/>
      <c r="AJ182" s="27">
        <f>SUM(AH182:AI182)</f>
        <v/>
      </c>
      <c r="AK182" s="28" t="n"/>
      <c r="AL182" s="28" t="n"/>
      <c r="AM182" s="29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1" t="n"/>
      <c r="AO182" s="21" t="n"/>
      <c r="AP182" s="27">
        <f>SUM(AN182:AO182)</f>
        <v/>
      </c>
      <c r="AQ182" s="28" t="n"/>
      <c r="AR182" s="30" t="n"/>
      <c r="AS182" s="29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1" t="n"/>
      <c r="AU182" s="21" t="n"/>
      <c r="AV182" s="27">
        <f>SUM(AT182:AU182)</f>
        <v/>
      </c>
      <c r="AW182" s="28" t="n"/>
      <c r="AX182" s="30" t="n"/>
      <c r="AY182" s="29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1" t="n"/>
      <c r="BA182" s="21" t="n"/>
      <c r="BB182" s="27">
        <f>SUM(AZ182:BA182)</f>
        <v/>
      </c>
      <c r="BC182" s="28" t="n"/>
      <c r="BD182" s="28" t="n"/>
      <c r="BE182" s="29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1" t="n"/>
      <c r="BG182" s="21" t="n"/>
      <c r="BH182" s="27">
        <f>SUM(BF182:BG182)</f>
        <v/>
      </c>
      <c r="BI182" s="28" t="n"/>
      <c r="BJ182" s="28" t="n"/>
      <c r="BK182" s="29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1" t="n"/>
      <c r="BM182" s="21" t="n"/>
      <c r="BN182" s="27">
        <f>SUM(BL182:BM182)</f>
        <v/>
      </c>
      <c r="BO182" s="28" t="n"/>
      <c r="BP182" s="31" t="n"/>
      <c r="BQ182" s="29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1" t="n"/>
      <c r="BS182" s="21" t="n"/>
      <c r="BT182" s="27">
        <f>SUM(BR182:BS182)</f>
        <v/>
      </c>
      <c r="BU182" s="28" t="n"/>
      <c r="BV182" s="31" t="n"/>
      <c r="BW182" s="29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1" t="n"/>
      <c r="BY182" s="21" t="n"/>
      <c r="BZ182" s="27">
        <f>SUM(BX182:BY182)</f>
        <v/>
      </c>
      <c r="CA182" s="28" t="n"/>
      <c r="CB182" s="31" t="n"/>
      <c r="CC182" s="29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1" t="n"/>
      <c r="CE182" s="21" t="n"/>
      <c r="CF182" s="27">
        <f>SUM(CD182:CE182)</f>
        <v/>
      </c>
      <c r="CG182" s="28" t="n"/>
      <c r="CH182" s="31" t="n"/>
      <c r="CI182" s="29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1" t="n"/>
      <c r="CK182" s="21" t="n"/>
      <c r="CL182" s="27">
        <f>SUM(CJ182:CK182)</f>
        <v/>
      </c>
      <c r="CM182" s="28" t="n"/>
      <c r="CN182" s="31" t="n"/>
      <c r="CO182" s="29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1" t="n"/>
      <c r="CQ182" s="21" t="n"/>
      <c r="CR182" s="27">
        <f>SUM(CP182:CQ182)</f>
        <v/>
      </c>
      <c r="CS182" s="28" t="n"/>
      <c r="CT182" s="31" t="n"/>
      <c r="CU182" s="29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1" t="n"/>
      <c r="CW182" s="21" t="n"/>
      <c r="CX182" s="27">
        <f>SUM(CV182:CW182)</f>
        <v/>
      </c>
      <c r="CY182" s="28" t="n"/>
      <c r="CZ182" s="31" t="n"/>
      <c r="DA182" s="29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1" t="n"/>
      <c r="DC182" s="21" t="n"/>
      <c r="DD182" s="27">
        <f>SUM(DB182:DC182)</f>
        <v/>
      </c>
      <c r="DE182" s="28" t="n"/>
      <c r="DF182" s="31" t="n"/>
      <c r="DG182" s="29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34">
        <f>SUM(O182,U182,AA182,AG182,AM182,AS182,AY182,BE182,BK182,BQ182,BW182,CC182,CI182,CO182,CU182,DA182,DG182)</f>
        <v/>
      </c>
      <c r="DI182" s="39">
        <f>RANK(DH182,DH$4:DH$503)</f>
        <v/>
      </c>
      <c r="DJ182" s="40" t="inlineStr">
        <is>
          <t>CHOOSE RATING</t>
        </is>
      </c>
      <c r="DK182" s="40" t="inlineStr">
        <is>
          <t>CHOOSE RATING</t>
        </is>
      </c>
      <c r="DL182" s="40" t="inlineStr">
        <is>
          <t>CHOOSE RATING</t>
        </is>
      </c>
      <c r="DM182" s="40" t="inlineStr">
        <is>
          <t>CHOOSE RATING</t>
        </is>
      </c>
      <c r="DN182" s="40" t="inlineStr">
        <is>
          <t>CHOOSE RATING</t>
        </is>
      </c>
      <c r="DO182" s="40" t="inlineStr">
        <is>
          <t>CHOOSE RATING</t>
        </is>
      </c>
      <c r="DP182" s="40" t="inlineStr">
        <is>
          <t>CHOOSE RATING</t>
        </is>
      </c>
      <c r="DQ182" s="40" t="inlineStr">
        <is>
          <t>CHOOSE RATING</t>
        </is>
      </c>
      <c r="DR182" s="43" t="inlineStr">
        <is>
          <t>2024/2025</t>
        </is>
      </c>
      <c r="DS182" s="45" t="inlineStr">
        <is>
          <t>THIRD</t>
        </is>
      </c>
      <c r="DT182" s="40" t="inlineStr">
        <is>
          <t>CHOOSE RATING</t>
        </is>
      </c>
      <c r="DU182" s="40" t="inlineStr">
        <is>
          <t>CHOOSE RATING</t>
        </is>
      </c>
      <c r="DV182" s="40" t="inlineStr">
        <is>
          <t>CHOOSE RATING</t>
        </is>
      </c>
      <c r="DW182" s="40" t="inlineStr">
        <is>
          <t>CHOOSE RATING</t>
        </is>
      </c>
      <c r="DX182" s="40" t="inlineStr">
        <is>
          <t>CHOOSE RATING</t>
        </is>
      </c>
      <c r="DY182" s="40" t="inlineStr">
        <is>
          <t>CHOOSE RATING</t>
        </is>
      </c>
      <c r="DZ182" s="53" t="inlineStr">
        <is>
          <t>CHOOSE RATING</t>
        </is>
      </c>
      <c r="EA182" s="54" t="inlineStr">
        <is>
          <t>Add the Tutor's Comment . . .</t>
        </is>
      </c>
      <c r="EB182" s="55" t="inlineStr">
        <is>
          <t>Choose Principals comment</t>
        </is>
      </c>
      <c r="EC182" s="56" t="n"/>
      <c r="ED182" s="57" t="inlineStr">
        <is>
          <t>Next Term Begins on Monday, 22nd September, 2025</t>
        </is>
      </c>
    </row>
    <row r="183" ht="30.6" customHeight="1" s="6">
      <c r="A183" s="18" t="n">
        <v>180</v>
      </c>
      <c r="B183" s="19" t="n"/>
      <c r="C183" s="20" t="n"/>
      <c r="D183" s="128" t="n"/>
      <c r="E183" s="21" t="n"/>
      <c r="F183" s="22" t="n"/>
      <c r="G183" s="22" t="n"/>
      <c r="H183" s="22" t="n"/>
      <c r="I183" s="26">
        <f>G183-H183</f>
        <v/>
      </c>
      <c r="J183" s="21" t="n"/>
      <c r="K183" s="21" t="n"/>
      <c r="L183" s="27">
        <f>SUM(J183:K183)</f>
        <v/>
      </c>
      <c r="M183" s="28" t="n"/>
      <c r="N183" s="28" t="n"/>
      <c r="O183" s="29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1" t="n"/>
      <c r="Q183" s="21" t="n"/>
      <c r="R183" s="27">
        <f>SUM(P183:Q183)</f>
        <v/>
      </c>
      <c r="S183" s="28" t="n"/>
      <c r="T183" s="28" t="n"/>
      <c r="U183" s="29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1" t="n"/>
      <c r="W183" s="21" t="n"/>
      <c r="X183" s="27">
        <f>SUM(V183:W183)</f>
        <v/>
      </c>
      <c r="Y183" s="28" t="n"/>
      <c r="Z183" s="28" t="n"/>
      <c r="AA183" s="29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1" t="n"/>
      <c r="AC183" s="21" t="n"/>
      <c r="AD183" s="27">
        <f>SUM(AB183:AC183)</f>
        <v/>
      </c>
      <c r="AE183" s="28" t="n"/>
      <c r="AF183" s="28" t="n"/>
      <c r="AG183" s="29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1" t="n"/>
      <c r="AI183" s="21" t="n"/>
      <c r="AJ183" s="27">
        <f>SUM(AH183:AI183)</f>
        <v/>
      </c>
      <c r="AK183" s="28" t="n"/>
      <c r="AL183" s="28" t="n"/>
      <c r="AM183" s="29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1" t="n"/>
      <c r="AO183" s="21" t="n"/>
      <c r="AP183" s="27">
        <f>SUM(AN183:AO183)</f>
        <v/>
      </c>
      <c r="AQ183" s="28" t="n"/>
      <c r="AR183" s="30" t="n"/>
      <c r="AS183" s="29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1" t="n"/>
      <c r="AU183" s="21" t="n"/>
      <c r="AV183" s="27">
        <f>SUM(AT183:AU183)</f>
        <v/>
      </c>
      <c r="AW183" s="28" t="n"/>
      <c r="AX183" s="30" t="n"/>
      <c r="AY183" s="29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1" t="n"/>
      <c r="BA183" s="21" t="n"/>
      <c r="BB183" s="27">
        <f>SUM(AZ183:BA183)</f>
        <v/>
      </c>
      <c r="BC183" s="28" t="n"/>
      <c r="BD183" s="28" t="n"/>
      <c r="BE183" s="29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1" t="n"/>
      <c r="BG183" s="21" t="n"/>
      <c r="BH183" s="27">
        <f>SUM(BF183:BG183)</f>
        <v/>
      </c>
      <c r="BI183" s="28" t="n"/>
      <c r="BJ183" s="28" t="n"/>
      <c r="BK183" s="29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1" t="n"/>
      <c r="BM183" s="21" t="n"/>
      <c r="BN183" s="27">
        <f>SUM(BL183:BM183)</f>
        <v/>
      </c>
      <c r="BO183" s="28" t="n"/>
      <c r="BP183" s="31" t="n"/>
      <c r="BQ183" s="29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1" t="n"/>
      <c r="BS183" s="21" t="n"/>
      <c r="BT183" s="27">
        <f>SUM(BR183:BS183)</f>
        <v/>
      </c>
      <c r="BU183" s="28" t="n"/>
      <c r="BV183" s="31" t="n"/>
      <c r="BW183" s="29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1" t="n"/>
      <c r="BY183" s="21" t="n"/>
      <c r="BZ183" s="27">
        <f>SUM(BX183:BY183)</f>
        <v/>
      </c>
      <c r="CA183" s="28" t="n"/>
      <c r="CB183" s="31" t="n"/>
      <c r="CC183" s="29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1" t="n"/>
      <c r="CE183" s="21" t="n"/>
      <c r="CF183" s="27">
        <f>SUM(CD183:CE183)</f>
        <v/>
      </c>
      <c r="CG183" s="28" t="n"/>
      <c r="CH183" s="31" t="n"/>
      <c r="CI183" s="29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1" t="n"/>
      <c r="CK183" s="21" t="n"/>
      <c r="CL183" s="27">
        <f>SUM(CJ183:CK183)</f>
        <v/>
      </c>
      <c r="CM183" s="28" t="n"/>
      <c r="CN183" s="31" t="n"/>
      <c r="CO183" s="29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1" t="n"/>
      <c r="CQ183" s="21" t="n"/>
      <c r="CR183" s="27">
        <f>SUM(CP183:CQ183)</f>
        <v/>
      </c>
      <c r="CS183" s="28" t="n"/>
      <c r="CT183" s="31" t="n"/>
      <c r="CU183" s="29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1" t="n"/>
      <c r="CW183" s="21" t="n"/>
      <c r="CX183" s="27">
        <f>SUM(CV183:CW183)</f>
        <v/>
      </c>
      <c r="CY183" s="28" t="n"/>
      <c r="CZ183" s="31" t="n"/>
      <c r="DA183" s="29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1" t="n"/>
      <c r="DC183" s="21" t="n"/>
      <c r="DD183" s="27">
        <f>SUM(DB183:DC183)</f>
        <v/>
      </c>
      <c r="DE183" s="28" t="n"/>
      <c r="DF183" s="31" t="n"/>
      <c r="DG183" s="29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34">
        <f>SUM(O183,U183,AA183,AG183,AM183,AS183,AY183,BE183,BK183,BQ183,BW183,CC183,CI183,CO183,CU183,DA183,DG183)</f>
        <v/>
      </c>
      <c r="DI183" s="39">
        <f>RANK(DH183,DH$4:DH$503)</f>
        <v/>
      </c>
      <c r="DJ183" s="40" t="inlineStr">
        <is>
          <t>CHOOSE RATING</t>
        </is>
      </c>
      <c r="DK183" s="40" t="inlineStr">
        <is>
          <t>CHOOSE RATING</t>
        </is>
      </c>
      <c r="DL183" s="40" t="inlineStr">
        <is>
          <t>CHOOSE RATING</t>
        </is>
      </c>
      <c r="DM183" s="40" t="inlineStr">
        <is>
          <t>CHOOSE RATING</t>
        </is>
      </c>
      <c r="DN183" s="40" t="inlineStr">
        <is>
          <t>CHOOSE RATING</t>
        </is>
      </c>
      <c r="DO183" s="40" t="inlineStr">
        <is>
          <t>CHOOSE RATING</t>
        </is>
      </c>
      <c r="DP183" s="40" t="inlineStr">
        <is>
          <t>CHOOSE RATING</t>
        </is>
      </c>
      <c r="DQ183" s="40" t="inlineStr">
        <is>
          <t>CHOOSE RATING</t>
        </is>
      </c>
      <c r="DR183" s="43" t="inlineStr">
        <is>
          <t>2024/2025</t>
        </is>
      </c>
      <c r="DS183" s="45" t="inlineStr">
        <is>
          <t>THIRD</t>
        </is>
      </c>
      <c r="DT183" s="40" t="inlineStr">
        <is>
          <t>CHOOSE RATING</t>
        </is>
      </c>
      <c r="DU183" s="40" t="inlineStr">
        <is>
          <t>CHOOSE RATING</t>
        </is>
      </c>
      <c r="DV183" s="40" t="inlineStr">
        <is>
          <t>CHOOSE RATING</t>
        </is>
      </c>
      <c r="DW183" s="40" t="inlineStr">
        <is>
          <t>CHOOSE RATING</t>
        </is>
      </c>
      <c r="DX183" s="40" t="inlineStr">
        <is>
          <t>CHOOSE RATING</t>
        </is>
      </c>
      <c r="DY183" s="40" t="inlineStr">
        <is>
          <t>CHOOSE RATING</t>
        </is>
      </c>
      <c r="DZ183" s="53" t="inlineStr">
        <is>
          <t>CHOOSE RATING</t>
        </is>
      </c>
      <c r="EA183" s="54" t="inlineStr">
        <is>
          <t>Add the Tutor's Comment . . .</t>
        </is>
      </c>
      <c r="EB183" s="55" t="inlineStr">
        <is>
          <t>Choose Principals comment</t>
        </is>
      </c>
      <c r="EC183" s="56" t="n"/>
      <c r="ED183" s="57" t="inlineStr">
        <is>
          <t>Next Term Begins on Monday, 22nd September, 2025</t>
        </is>
      </c>
    </row>
    <row r="184" ht="30.6" customHeight="1" s="6">
      <c r="A184" s="18" t="n">
        <v>181</v>
      </c>
      <c r="B184" s="19" t="n"/>
      <c r="C184" s="20" t="n"/>
      <c r="D184" s="128" t="n"/>
      <c r="E184" s="21" t="n"/>
      <c r="F184" s="22" t="n"/>
      <c r="G184" s="22" t="n"/>
      <c r="H184" s="22" t="n"/>
      <c r="I184" s="26">
        <f>G184-H184</f>
        <v/>
      </c>
      <c r="J184" s="21" t="n"/>
      <c r="K184" s="21" t="n"/>
      <c r="L184" s="27">
        <f>SUM(J184:K184)</f>
        <v/>
      </c>
      <c r="M184" s="28" t="n"/>
      <c r="N184" s="28" t="n"/>
      <c r="O184" s="29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1" t="n"/>
      <c r="Q184" s="21" t="n"/>
      <c r="R184" s="27">
        <f>SUM(P184:Q184)</f>
        <v/>
      </c>
      <c r="S184" s="28" t="n"/>
      <c r="T184" s="28" t="n"/>
      <c r="U184" s="29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1" t="n"/>
      <c r="W184" s="21" t="n"/>
      <c r="X184" s="27">
        <f>SUM(V184:W184)</f>
        <v/>
      </c>
      <c r="Y184" s="28" t="n"/>
      <c r="Z184" s="28" t="n"/>
      <c r="AA184" s="29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1" t="n"/>
      <c r="AC184" s="21" t="n"/>
      <c r="AD184" s="27">
        <f>SUM(AB184:AC184)</f>
        <v/>
      </c>
      <c r="AE184" s="28" t="n"/>
      <c r="AF184" s="28" t="n"/>
      <c r="AG184" s="29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1" t="n"/>
      <c r="AI184" s="21" t="n"/>
      <c r="AJ184" s="27">
        <f>SUM(AH184:AI184)</f>
        <v/>
      </c>
      <c r="AK184" s="28" t="n"/>
      <c r="AL184" s="28" t="n"/>
      <c r="AM184" s="29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1" t="n"/>
      <c r="AO184" s="21" t="n"/>
      <c r="AP184" s="27">
        <f>SUM(AN184:AO184)</f>
        <v/>
      </c>
      <c r="AQ184" s="28" t="n"/>
      <c r="AR184" s="30" t="n"/>
      <c r="AS184" s="29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1" t="n"/>
      <c r="AU184" s="21" t="n"/>
      <c r="AV184" s="27">
        <f>SUM(AT184:AU184)</f>
        <v/>
      </c>
      <c r="AW184" s="28" t="n"/>
      <c r="AX184" s="30" t="n"/>
      <c r="AY184" s="29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1" t="n"/>
      <c r="BA184" s="21" t="n"/>
      <c r="BB184" s="27">
        <f>SUM(AZ184:BA184)</f>
        <v/>
      </c>
      <c r="BC184" s="28" t="n"/>
      <c r="BD184" s="28" t="n"/>
      <c r="BE184" s="29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1" t="n"/>
      <c r="BG184" s="21" t="n"/>
      <c r="BH184" s="27">
        <f>SUM(BF184:BG184)</f>
        <v/>
      </c>
      <c r="BI184" s="28" t="n"/>
      <c r="BJ184" s="28" t="n"/>
      <c r="BK184" s="29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1" t="n"/>
      <c r="BM184" s="21" t="n"/>
      <c r="BN184" s="27">
        <f>SUM(BL184:BM184)</f>
        <v/>
      </c>
      <c r="BO184" s="28" t="n"/>
      <c r="BP184" s="31" t="n"/>
      <c r="BQ184" s="29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1" t="n"/>
      <c r="BS184" s="21" t="n"/>
      <c r="BT184" s="27">
        <f>SUM(BR184:BS184)</f>
        <v/>
      </c>
      <c r="BU184" s="28" t="n"/>
      <c r="BV184" s="31" t="n"/>
      <c r="BW184" s="29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1" t="n"/>
      <c r="BY184" s="21" t="n"/>
      <c r="BZ184" s="27">
        <f>SUM(BX184:BY184)</f>
        <v/>
      </c>
      <c r="CA184" s="28" t="n"/>
      <c r="CB184" s="31" t="n"/>
      <c r="CC184" s="29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1" t="n"/>
      <c r="CE184" s="21" t="n"/>
      <c r="CF184" s="27">
        <f>SUM(CD184:CE184)</f>
        <v/>
      </c>
      <c r="CG184" s="28" t="n"/>
      <c r="CH184" s="31" t="n"/>
      <c r="CI184" s="29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1" t="n"/>
      <c r="CK184" s="21" t="n"/>
      <c r="CL184" s="27">
        <f>SUM(CJ184:CK184)</f>
        <v/>
      </c>
      <c r="CM184" s="28" t="n"/>
      <c r="CN184" s="31" t="n"/>
      <c r="CO184" s="29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1" t="n"/>
      <c r="CQ184" s="21" t="n"/>
      <c r="CR184" s="27">
        <f>SUM(CP184:CQ184)</f>
        <v/>
      </c>
      <c r="CS184" s="28" t="n"/>
      <c r="CT184" s="31" t="n"/>
      <c r="CU184" s="29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1" t="n"/>
      <c r="CW184" s="21" t="n"/>
      <c r="CX184" s="27">
        <f>SUM(CV184:CW184)</f>
        <v/>
      </c>
      <c r="CY184" s="28" t="n"/>
      <c r="CZ184" s="31" t="n"/>
      <c r="DA184" s="29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1" t="n"/>
      <c r="DC184" s="21" t="n"/>
      <c r="DD184" s="27">
        <f>SUM(DB184:DC184)</f>
        <v/>
      </c>
      <c r="DE184" s="28" t="n"/>
      <c r="DF184" s="31" t="n"/>
      <c r="DG184" s="29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34">
        <f>SUM(O184,U184,AA184,AG184,AM184,AS184,AY184,BE184,BK184,BQ184,BW184,CC184,CI184,CO184,CU184,DA184,DG184)</f>
        <v/>
      </c>
      <c r="DI184" s="39">
        <f>RANK(DH184,DH$4:DH$503)</f>
        <v/>
      </c>
      <c r="DJ184" s="40" t="inlineStr">
        <is>
          <t>CHOOSE RATING</t>
        </is>
      </c>
      <c r="DK184" s="40" t="inlineStr">
        <is>
          <t>CHOOSE RATING</t>
        </is>
      </c>
      <c r="DL184" s="40" t="inlineStr">
        <is>
          <t>CHOOSE RATING</t>
        </is>
      </c>
      <c r="DM184" s="40" t="inlineStr">
        <is>
          <t>CHOOSE RATING</t>
        </is>
      </c>
      <c r="DN184" s="40" t="inlineStr">
        <is>
          <t>CHOOSE RATING</t>
        </is>
      </c>
      <c r="DO184" s="40" t="inlineStr">
        <is>
          <t>CHOOSE RATING</t>
        </is>
      </c>
      <c r="DP184" s="40" t="inlineStr">
        <is>
          <t>CHOOSE RATING</t>
        </is>
      </c>
      <c r="DQ184" s="40" t="inlineStr">
        <is>
          <t>CHOOSE RATING</t>
        </is>
      </c>
      <c r="DR184" s="43" t="inlineStr">
        <is>
          <t>2024/2025</t>
        </is>
      </c>
      <c r="DS184" s="45" t="inlineStr">
        <is>
          <t>THIRD</t>
        </is>
      </c>
      <c r="DT184" s="40" t="inlineStr">
        <is>
          <t>CHOOSE RATING</t>
        </is>
      </c>
      <c r="DU184" s="40" t="inlineStr">
        <is>
          <t>CHOOSE RATING</t>
        </is>
      </c>
      <c r="DV184" s="40" t="inlineStr">
        <is>
          <t>CHOOSE RATING</t>
        </is>
      </c>
      <c r="DW184" s="40" t="inlineStr">
        <is>
          <t>CHOOSE RATING</t>
        </is>
      </c>
      <c r="DX184" s="40" t="inlineStr">
        <is>
          <t>CHOOSE RATING</t>
        </is>
      </c>
      <c r="DY184" s="40" t="inlineStr">
        <is>
          <t>CHOOSE RATING</t>
        </is>
      </c>
      <c r="DZ184" s="53" t="inlineStr">
        <is>
          <t>CHOOSE RATING</t>
        </is>
      </c>
      <c r="EA184" s="54" t="inlineStr">
        <is>
          <t>Add the Tutor's Comment . . .</t>
        </is>
      </c>
      <c r="EB184" s="55" t="inlineStr">
        <is>
          <t>Choose Principals comment</t>
        </is>
      </c>
      <c r="EC184" s="56" t="n"/>
      <c r="ED184" s="57" t="inlineStr">
        <is>
          <t>Next Term Begins on Monday, 22nd September, 2025</t>
        </is>
      </c>
    </row>
    <row r="185" ht="30.6" customHeight="1" s="6">
      <c r="A185" s="18" t="n">
        <v>182</v>
      </c>
      <c r="B185" s="19" t="n"/>
      <c r="C185" s="20" t="n"/>
      <c r="D185" s="128" t="n"/>
      <c r="E185" s="21" t="n"/>
      <c r="F185" s="22" t="n"/>
      <c r="G185" s="22" t="n"/>
      <c r="H185" s="22" t="n"/>
      <c r="I185" s="26">
        <f>G185-H185</f>
        <v/>
      </c>
      <c r="J185" s="21" t="n"/>
      <c r="K185" s="21" t="n"/>
      <c r="L185" s="27">
        <f>SUM(J185:K185)</f>
        <v/>
      </c>
      <c r="M185" s="28" t="n"/>
      <c r="N185" s="28" t="n"/>
      <c r="O185" s="29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1" t="n"/>
      <c r="Q185" s="21" t="n"/>
      <c r="R185" s="27">
        <f>SUM(P185:Q185)</f>
        <v/>
      </c>
      <c r="S185" s="28" t="n"/>
      <c r="T185" s="28" t="n"/>
      <c r="U185" s="29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1" t="n"/>
      <c r="W185" s="21" t="n"/>
      <c r="X185" s="27">
        <f>SUM(V185:W185)</f>
        <v/>
      </c>
      <c r="Y185" s="28" t="n"/>
      <c r="Z185" s="28" t="n"/>
      <c r="AA185" s="29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1" t="n"/>
      <c r="AC185" s="21" t="n"/>
      <c r="AD185" s="27">
        <f>SUM(AB185:AC185)</f>
        <v/>
      </c>
      <c r="AE185" s="28" t="n"/>
      <c r="AF185" s="28" t="n"/>
      <c r="AG185" s="29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1" t="n"/>
      <c r="AI185" s="21" t="n"/>
      <c r="AJ185" s="27">
        <f>SUM(AH185:AI185)</f>
        <v/>
      </c>
      <c r="AK185" s="28" t="n"/>
      <c r="AL185" s="28" t="n"/>
      <c r="AM185" s="29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1" t="n"/>
      <c r="AO185" s="21" t="n"/>
      <c r="AP185" s="27">
        <f>SUM(AN185:AO185)</f>
        <v/>
      </c>
      <c r="AQ185" s="28" t="n"/>
      <c r="AR185" s="30" t="n"/>
      <c r="AS185" s="29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1" t="n"/>
      <c r="AU185" s="21" t="n"/>
      <c r="AV185" s="27">
        <f>SUM(AT185:AU185)</f>
        <v/>
      </c>
      <c r="AW185" s="28" t="n"/>
      <c r="AX185" s="30" t="n"/>
      <c r="AY185" s="29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1" t="n"/>
      <c r="BA185" s="21" t="n"/>
      <c r="BB185" s="27">
        <f>SUM(AZ185:BA185)</f>
        <v/>
      </c>
      <c r="BC185" s="28" t="n"/>
      <c r="BD185" s="28" t="n"/>
      <c r="BE185" s="29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1" t="n"/>
      <c r="BG185" s="21" t="n"/>
      <c r="BH185" s="27">
        <f>SUM(BF185:BG185)</f>
        <v/>
      </c>
      <c r="BI185" s="28" t="n"/>
      <c r="BJ185" s="28" t="n"/>
      <c r="BK185" s="29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1" t="n"/>
      <c r="BM185" s="21" t="n"/>
      <c r="BN185" s="27">
        <f>SUM(BL185:BM185)</f>
        <v/>
      </c>
      <c r="BO185" s="28" t="n"/>
      <c r="BP185" s="31" t="n"/>
      <c r="BQ185" s="29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1" t="n"/>
      <c r="BS185" s="21" t="n"/>
      <c r="BT185" s="27">
        <f>SUM(BR185:BS185)</f>
        <v/>
      </c>
      <c r="BU185" s="28" t="n"/>
      <c r="BV185" s="31" t="n"/>
      <c r="BW185" s="29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1" t="n"/>
      <c r="BY185" s="21" t="n"/>
      <c r="BZ185" s="27">
        <f>SUM(BX185:BY185)</f>
        <v/>
      </c>
      <c r="CA185" s="28" t="n"/>
      <c r="CB185" s="31" t="n"/>
      <c r="CC185" s="29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1" t="n"/>
      <c r="CE185" s="21" t="n"/>
      <c r="CF185" s="27">
        <f>SUM(CD185:CE185)</f>
        <v/>
      </c>
      <c r="CG185" s="28" t="n"/>
      <c r="CH185" s="31" t="n"/>
      <c r="CI185" s="29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1" t="n"/>
      <c r="CK185" s="21" t="n"/>
      <c r="CL185" s="27">
        <f>SUM(CJ185:CK185)</f>
        <v/>
      </c>
      <c r="CM185" s="28" t="n"/>
      <c r="CN185" s="31" t="n"/>
      <c r="CO185" s="29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1" t="n"/>
      <c r="CQ185" s="21" t="n"/>
      <c r="CR185" s="27">
        <f>SUM(CP185:CQ185)</f>
        <v/>
      </c>
      <c r="CS185" s="28" t="n"/>
      <c r="CT185" s="31" t="n"/>
      <c r="CU185" s="29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1" t="n"/>
      <c r="CW185" s="21" t="n"/>
      <c r="CX185" s="27">
        <f>SUM(CV185:CW185)</f>
        <v/>
      </c>
      <c r="CY185" s="28" t="n"/>
      <c r="CZ185" s="31" t="n"/>
      <c r="DA185" s="29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1" t="n"/>
      <c r="DC185" s="21" t="n"/>
      <c r="DD185" s="27">
        <f>SUM(DB185:DC185)</f>
        <v/>
      </c>
      <c r="DE185" s="28" t="n"/>
      <c r="DF185" s="31" t="n"/>
      <c r="DG185" s="29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34">
        <f>SUM(O185,U185,AA185,AG185,AM185,AS185,AY185,BE185,BK185,BQ185,BW185,CC185,CI185,CO185,CU185,DA185,DG185)</f>
        <v/>
      </c>
      <c r="DI185" s="39">
        <f>RANK(DH185,DH$4:DH$503)</f>
        <v/>
      </c>
      <c r="DJ185" s="40" t="inlineStr">
        <is>
          <t>CHOOSE RATING</t>
        </is>
      </c>
      <c r="DK185" s="40" t="inlineStr">
        <is>
          <t>CHOOSE RATING</t>
        </is>
      </c>
      <c r="DL185" s="40" t="inlineStr">
        <is>
          <t>CHOOSE RATING</t>
        </is>
      </c>
      <c r="DM185" s="40" t="inlineStr">
        <is>
          <t>CHOOSE RATING</t>
        </is>
      </c>
      <c r="DN185" s="40" t="inlineStr">
        <is>
          <t>CHOOSE RATING</t>
        </is>
      </c>
      <c r="DO185" s="40" t="inlineStr">
        <is>
          <t>CHOOSE RATING</t>
        </is>
      </c>
      <c r="DP185" s="40" t="inlineStr">
        <is>
          <t>CHOOSE RATING</t>
        </is>
      </c>
      <c r="DQ185" s="40" t="inlineStr">
        <is>
          <t>CHOOSE RATING</t>
        </is>
      </c>
      <c r="DR185" s="43" t="inlineStr">
        <is>
          <t>2024/2025</t>
        </is>
      </c>
      <c r="DS185" s="45" t="inlineStr">
        <is>
          <t>THIRD</t>
        </is>
      </c>
      <c r="DT185" s="40" t="inlineStr">
        <is>
          <t>CHOOSE RATING</t>
        </is>
      </c>
      <c r="DU185" s="40" t="inlineStr">
        <is>
          <t>CHOOSE RATING</t>
        </is>
      </c>
      <c r="DV185" s="40" t="inlineStr">
        <is>
          <t>CHOOSE RATING</t>
        </is>
      </c>
      <c r="DW185" s="40" t="inlineStr">
        <is>
          <t>CHOOSE RATING</t>
        </is>
      </c>
      <c r="DX185" s="40" t="inlineStr">
        <is>
          <t>CHOOSE RATING</t>
        </is>
      </c>
      <c r="DY185" s="40" t="inlineStr">
        <is>
          <t>CHOOSE RATING</t>
        </is>
      </c>
      <c r="DZ185" s="53" t="inlineStr">
        <is>
          <t>CHOOSE RATING</t>
        </is>
      </c>
      <c r="EA185" s="54" t="inlineStr">
        <is>
          <t>Add the Tutor's Comment . . .</t>
        </is>
      </c>
      <c r="EB185" s="55" t="inlineStr">
        <is>
          <t>Choose Principals comment</t>
        </is>
      </c>
      <c r="EC185" s="56" t="n"/>
      <c r="ED185" s="57" t="inlineStr">
        <is>
          <t>Next Term Begins on Monday, 22nd September, 2025</t>
        </is>
      </c>
    </row>
    <row r="186" ht="30.6" customHeight="1" s="6">
      <c r="A186" s="18" t="n">
        <v>183</v>
      </c>
      <c r="B186" s="19" t="n"/>
      <c r="C186" s="20" t="n"/>
      <c r="D186" s="128" t="n"/>
      <c r="E186" s="21" t="n"/>
      <c r="F186" s="22" t="n"/>
      <c r="G186" s="22" t="n"/>
      <c r="H186" s="22" t="n"/>
      <c r="I186" s="26">
        <f>G186-H186</f>
        <v/>
      </c>
      <c r="J186" s="21" t="n"/>
      <c r="K186" s="21" t="n"/>
      <c r="L186" s="27">
        <f>SUM(J186:K186)</f>
        <v/>
      </c>
      <c r="M186" s="28" t="n"/>
      <c r="N186" s="28" t="n"/>
      <c r="O186" s="29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1" t="n"/>
      <c r="Q186" s="21" t="n"/>
      <c r="R186" s="27">
        <f>SUM(P186:Q186)</f>
        <v/>
      </c>
      <c r="S186" s="28" t="n"/>
      <c r="T186" s="28" t="n"/>
      <c r="U186" s="29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1" t="n"/>
      <c r="W186" s="21" t="n"/>
      <c r="X186" s="27">
        <f>SUM(V186:W186)</f>
        <v/>
      </c>
      <c r="Y186" s="28" t="n"/>
      <c r="Z186" s="28" t="n"/>
      <c r="AA186" s="29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1" t="n"/>
      <c r="AC186" s="21" t="n"/>
      <c r="AD186" s="27">
        <f>SUM(AB186:AC186)</f>
        <v/>
      </c>
      <c r="AE186" s="28" t="n"/>
      <c r="AF186" s="28" t="n"/>
      <c r="AG186" s="29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1" t="n"/>
      <c r="AI186" s="21" t="n"/>
      <c r="AJ186" s="27">
        <f>SUM(AH186:AI186)</f>
        <v/>
      </c>
      <c r="AK186" s="28" t="n"/>
      <c r="AL186" s="28" t="n"/>
      <c r="AM186" s="29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1" t="n"/>
      <c r="AO186" s="21" t="n"/>
      <c r="AP186" s="27">
        <f>SUM(AN186:AO186)</f>
        <v/>
      </c>
      <c r="AQ186" s="28" t="n"/>
      <c r="AR186" s="30" t="n"/>
      <c r="AS186" s="29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1" t="n"/>
      <c r="AU186" s="21" t="n"/>
      <c r="AV186" s="27">
        <f>SUM(AT186:AU186)</f>
        <v/>
      </c>
      <c r="AW186" s="28" t="n"/>
      <c r="AX186" s="30" t="n"/>
      <c r="AY186" s="29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1" t="n"/>
      <c r="BA186" s="21" t="n"/>
      <c r="BB186" s="27">
        <f>SUM(AZ186:BA186)</f>
        <v/>
      </c>
      <c r="BC186" s="28" t="n"/>
      <c r="BD186" s="28" t="n"/>
      <c r="BE186" s="29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1" t="n"/>
      <c r="BG186" s="21" t="n"/>
      <c r="BH186" s="27">
        <f>SUM(BF186:BG186)</f>
        <v/>
      </c>
      <c r="BI186" s="28" t="n"/>
      <c r="BJ186" s="28" t="n"/>
      <c r="BK186" s="29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1" t="n"/>
      <c r="BM186" s="21" t="n"/>
      <c r="BN186" s="27">
        <f>SUM(BL186:BM186)</f>
        <v/>
      </c>
      <c r="BO186" s="28" t="n"/>
      <c r="BP186" s="31" t="n"/>
      <c r="BQ186" s="29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1" t="n"/>
      <c r="BS186" s="21" t="n"/>
      <c r="BT186" s="27">
        <f>SUM(BR186:BS186)</f>
        <v/>
      </c>
      <c r="BU186" s="28" t="n"/>
      <c r="BV186" s="31" t="n"/>
      <c r="BW186" s="29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1" t="n"/>
      <c r="BY186" s="21" t="n"/>
      <c r="BZ186" s="27">
        <f>SUM(BX186:BY186)</f>
        <v/>
      </c>
      <c r="CA186" s="28" t="n"/>
      <c r="CB186" s="31" t="n"/>
      <c r="CC186" s="29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1" t="n"/>
      <c r="CE186" s="21" t="n"/>
      <c r="CF186" s="27">
        <f>SUM(CD186:CE186)</f>
        <v/>
      </c>
      <c r="CG186" s="28" t="n"/>
      <c r="CH186" s="31" t="n"/>
      <c r="CI186" s="29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1" t="n"/>
      <c r="CK186" s="21" t="n"/>
      <c r="CL186" s="27">
        <f>SUM(CJ186:CK186)</f>
        <v/>
      </c>
      <c r="CM186" s="28" t="n"/>
      <c r="CN186" s="31" t="n"/>
      <c r="CO186" s="29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1" t="n"/>
      <c r="CQ186" s="21" t="n"/>
      <c r="CR186" s="27">
        <f>SUM(CP186:CQ186)</f>
        <v/>
      </c>
      <c r="CS186" s="28" t="n"/>
      <c r="CT186" s="31" t="n"/>
      <c r="CU186" s="29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1" t="n"/>
      <c r="CW186" s="21" t="n"/>
      <c r="CX186" s="27">
        <f>SUM(CV186:CW186)</f>
        <v/>
      </c>
      <c r="CY186" s="28" t="n"/>
      <c r="CZ186" s="31" t="n"/>
      <c r="DA186" s="29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1" t="n"/>
      <c r="DC186" s="21" t="n"/>
      <c r="DD186" s="27">
        <f>SUM(DB186:DC186)</f>
        <v/>
      </c>
      <c r="DE186" s="28" t="n"/>
      <c r="DF186" s="31" t="n"/>
      <c r="DG186" s="29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34">
        <f>SUM(O186,U186,AA186,AG186,AM186,AS186,AY186,BE186,BK186,BQ186,BW186,CC186,CI186,CO186,CU186,DA186,DG186)</f>
        <v/>
      </c>
      <c r="DI186" s="39">
        <f>RANK(DH186,DH$4:DH$503)</f>
        <v/>
      </c>
      <c r="DJ186" s="40" t="inlineStr">
        <is>
          <t>CHOOSE RATING</t>
        </is>
      </c>
      <c r="DK186" s="40" t="inlineStr">
        <is>
          <t>CHOOSE RATING</t>
        </is>
      </c>
      <c r="DL186" s="40" t="inlineStr">
        <is>
          <t>CHOOSE RATING</t>
        </is>
      </c>
      <c r="DM186" s="40" t="inlineStr">
        <is>
          <t>CHOOSE RATING</t>
        </is>
      </c>
      <c r="DN186" s="40" t="inlineStr">
        <is>
          <t>CHOOSE RATING</t>
        </is>
      </c>
      <c r="DO186" s="40" t="inlineStr">
        <is>
          <t>CHOOSE RATING</t>
        </is>
      </c>
      <c r="DP186" s="40" t="inlineStr">
        <is>
          <t>CHOOSE RATING</t>
        </is>
      </c>
      <c r="DQ186" s="40" t="inlineStr">
        <is>
          <t>CHOOSE RATING</t>
        </is>
      </c>
      <c r="DR186" s="43" t="inlineStr">
        <is>
          <t>2024/2025</t>
        </is>
      </c>
      <c r="DS186" s="45" t="inlineStr">
        <is>
          <t>THIRD</t>
        </is>
      </c>
      <c r="DT186" s="40" t="inlineStr">
        <is>
          <t>CHOOSE RATING</t>
        </is>
      </c>
      <c r="DU186" s="40" t="inlineStr">
        <is>
          <t>CHOOSE RATING</t>
        </is>
      </c>
      <c r="DV186" s="40" t="inlineStr">
        <is>
          <t>CHOOSE RATING</t>
        </is>
      </c>
      <c r="DW186" s="40" t="inlineStr">
        <is>
          <t>CHOOSE RATING</t>
        </is>
      </c>
      <c r="DX186" s="40" t="inlineStr">
        <is>
          <t>CHOOSE RATING</t>
        </is>
      </c>
      <c r="DY186" s="40" t="inlineStr">
        <is>
          <t>CHOOSE RATING</t>
        </is>
      </c>
      <c r="DZ186" s="53" t="inlineStr">
        <is>
          <t>CHOOSE RATING</t>
        </is>
      </c>
      <c r="EA186" s="54" t="inlineStr">
        <is>
          <t>Add the Tutor's Comment . . .</t>
        </is>
      </c>
      <c r="EB186" s="55" t="inlineStr">
        <is>
          <t>Choose Principals comment</t>
        </is>
      </c>
      <c r="EC186" s="56" t="n"/>
      <c r="ED186" s="57" t="inlineStr">
        <is>
          <t>Next Term Begins on Monday, 22nd September, 2025</t>
        </is>
      </c>
    </row>
    <row r="187" ht="30.6" customHeight="1" s="6">
      <c r="A187" s="18" t="n">
        <v>184</v>
      </c>
      <c r="B187" s="19" t="n"/>
      <c r="C187" s="20" t="n"/>
      <c r="D187" s="128" t="n"/>
      <c r="E187" s="21" t="n"/>
      <c r="F187" s="22" t="n"/>
      <c r="G187" s="22" t="n"/>
      <c r="H187" s="22" t="n"/>
      <c r="I187" s="26">
        <f>G187-H187</f>
        <v/>
      </c>
      <c r="J187" s="21" t="n"/>
      <c r="K187" s="21" t="n"/>
      <c r="L187" s="27">
        <f>SUM(J187:K187)</f>
        <v/>
      </c>
      <c r="M187" s="28" t="n"/>
      <c r="N187" s="28" t="n"/>
      <c r="O187" s="29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1" t="n"/>
      <c r="Q187" s="21" t="n"/>
      <c r="R187" s="27">
        <f>SUM(P187:Q187)</f>
        <v/>
      </c>
      <c r="S187" s="28" t="n"/>
      <c r="T187" s="28" t="n"/>
      <c r="U187" s="29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1" t="n"/>
      <c r="W187" s="21" t="n"/>
      <c r="X187" s="27">
        <f>SUM(V187:W187)</f>
        <v/>
      </c>
      <c r="Y187" s="28" t="n"/>
      <c r="Z187" s="28" t="n"/>
      <c r="AA187" s="29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1" t="n"/>
      <c r="AC187" s="21" t="n"/>
      <c r="AD187" s="27">
        <f>SUM(AB187:AC187)</f>
        <v/>
      </c>
      <c r="AE187" s="28" t="n"/>
      <c r="AF187" s="28" t="n"/>
      <c r="AG187" s="29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1" t="n"/>
      <c r="AI187" s="21" t="n"/>
      <c r="AJ187" s="27">
        <f>SUM(AH187:AI187)</f>
        <v/>
      </c>
      <c r="AK187" s="28" t="n"/>
      <c r="AL187" s="28" t="n"/>
      <c r="AM187" s="29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1" t="n"/>
      <c r="AO187" s="21" t="n"/>
      <c r="AP187" s="27">
        <f>SUM(AN187:AO187)</f>
        <v/>
      </c>
      <c r="AQ187" s="28" t="n"/>
      <c r="AR187" s="30" t="n"/>
      <c r="AS187" s="29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1" t="n"/>
      <c r="AU187" s="21" t="n"/>
      <c r="AV187" s="27">
        <f>SUM(AT187:AU187)</f>
        <v/>
      </c>
      <c r="AW187" s="28" t="n"/>
      <c r="AX187" s="30" t="n"/>
      <c r="AY187" s="29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1" t="n"/>
      <c r="BA187" s="21" t="n"/>
      <c r="BB187" s="27">
        <f>SUM(AZ187:BA187)</f>
        <v/>
      </c>
      <c r="BC187" s="28" t="n"/>
      <c r="BD187" s="28" t="n"/>
      <c r="BE187" s="29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1" t="n"/>
      <c r="BG187" s="21" t="n"/>
      <c r="BH187" s="27">
        <f>SUM(BF187:BG187)</f>
        <v/>
      </c>
      <c r="BI187" s="28" t="n"/>
      <c r="BJ187" s="28" t="n"/>
      <c r="BK187" s="29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1" t="n"/>
      <c r="BM187" s="21" t="n"/>
      <c r="BN187" s="27">
        <f>SUM(BL187:BM187)</f>
        <v/>
      </c>
      <c r="BO187" s="28" t="n"/>
      <c r="BP187" s="31" t="n"/>
      <c r="BQ187" s="29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1" t="n"/>
      <c r="BS187" s="21" t="n"/>
      <c r="BT187" s="27">
        <f>SUM(BR187:BS187)</f>
        <v/>
      </c>
      <c r="BU187" s="28" t="n"/>
      <c r="BV187" s="31" t="n"/>
      <c r="BW187" s="29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1" t="n"/>
      <c r="BY187" s="21" t="n"/>
      <c r="BZ187" s="27">
        <f>SUM(BX187:BY187)</f>
        <v/>
      </c>
      <c r="CA187" s="28" t="n"/>
      <c r="CB187" s="31" t="n"/>
      <c r="CC187" s="29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1" t="n"/>
      <c r="CE187" s="21" t="n"/>
      <c r="CF187" s="27">
        <f>SUM(CD187:CE187)</f>
        <v/>
      </c>
      <c r="CG187" s="28" t="n"/>
      <c r="CH187" s="31" t="n"/>
      <c r="CI187" s="29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1" t="n"/>
      <c r="CK187" s="21" t="n"/>
      <c r="CL187" s="27">
        <f>SUM(CJ187:CK187)</f>
        <v/>
      </c>
      <c r="CM187" s="28" t="n"/>
      <c r="CN187" s="31" t="n"/>
      <c r="CO187" s="29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1" t="n"/>
      <c r="CQ187" s="21" t="n"/>
      <c r="CR187" s="27">
        <f>SUM(CP187:CQ187)</f>
        <v/>
      </c>
      <c r="CS187" s="28" t="n"/>
      <c r="CT187" s="31" t="n"/>
      <c r="CU187" s="29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1" t="n"/>
      <c r="CW187" s="21" t="n"/>
      <c r="CX187" s="27">
        <f>SUM(CV187:CW187)</f>
        <v/>
      </c>
      <c r="CY187" s="28" t="n"/>
      <c r="CZ187" s="31" t="n"/>
      <c r="DA187" s="29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1" t="n"/>
      <c r="DC187" s="21" t="n"/>
      <c r="DD187" s="27">
        <f>SUM(DB187:DC187)</f>
        <v/>
      </c>
      <c r="DE187" s="28" t="n"/>
      <c r="DF187" s="31" t="n"/>
      <c r="DG187" s="29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34">
        <f>SUM(O187,U187,AA187,AG187,AM187,AS187,AY187,BE187,BK187,BQ187,BW187,CC187,CI187,CO187,CU187,DA187,DG187)</f>
        <v/>
      </c>
      <c r="DI187" s="39">
        <f>RANK(DH187,DH$4:DH$503)</f>
        <v/>
      </c>
      <c r="DJ187" s="40" t="inlineStr">
        <is>
          <t>CHOOSE RATING</t>
        </is>
      </c>
      <c r="DK187" s="40" t="inlineStr">
        <is>
          <t>CHOOSE RATING</t>
        </is>
      </c>
      <c r="DL187" s="40" t="inlineStr">
        <is>
          <t>CHOOSE RATING</t>
        </is>
      </c>
      <c r="DM187" s="40" t="inlineStr">
        <is>
          <t>CHOOSE RATING</t>
        </is>
      </c>
      <c r="DN187" s="40" t="inlineStr">
        <is>
          <t>CHOOSE RATING</t>
        </is>
      </c>
      <c r="DO187" s="40" t="inlineStr">
        <is>
          <t>CHOOSE RATING</t>
        </is>
      </c>
      <c r="DP187" s="40" t="inlineStr">
        <is>
          <t>CHOOSE RATING</t>
        </is>
      </c>
      <c r="DQ187" s="40" t="inlineStr">
        <is>
          <t>CHOOSE RATING</t>
        </is>
      </c>
      <c r="DR187" s="43" t="inlineStr">
        <is>
          <t>2024/2025</t>
        </is>
      </c>
      <c r="DS187" s="45" t="inlineStr">
        <is>
          <t>THIRD</t>
        </is>
      </c>
      <c r="DT187" s="40" t="inlineStr">
        <is>
          <t>CHOOSE RATING</t>
        </is>
      </c>
      <c r="DU187" s="40" t="inlineStr">
        <is>
          <t>CHOOSE RATING</t>
        </is>
      </c>
      <c r="DV187" s="40" t="inlineStr">
        <is>
          <t>CHOOSE RATING</t>
        </is>
      </c>
      <c r="DW187" s="40" t="inlineStr">
        <is>
          <t>CHOOSE RATING</t>
        </is>
      </c>
      <c r="DX187" s="40" t="inlineStr">
        <is>
          <t>CHOOSE RATING</t>
        </is>
      </c>
      <c r="DY187" s="40" t="inlineStr">
        <is>
          <t>CHOOSE RATING</t>
        </is>
      </c>
      <c r="DZ187" s="53" t="inlineStr">
        <is>
          <t>CHOOSE RATING</t>
        </is>
      </c>
      <c r="EA187" s="54" t="inlineStr">
        <is>
          <t>Add the Tutor's Comment . . .</t>
        </is>
      </c>
      <c r="EB187" s="55" t="inlineStr">
        <is>
          <t>Choose Principals comment</t>
        </is>
      </c>
      <c r="EC187" s="56" t="n"/>
      <c r="ED187" s="57" t="inlineStr">
        <is>
          <t>Next Term Begins on Monday, 22nd September, 2025</t>
        </is>
      </c>
    </row>
    <row r="188" ht="30.6" customHeight="1" s="6">
      <c r="A188" s="18" t="n">
        <v>185</v>
      </c>
      <c r="B188" s="19" t="n"/>
      <c r="C188" s="20" t="n"/>
      <c r="D188" s="128" t="n"/>
      <c r="E188" s="21" t="n"/>
      <c r="F188" s="22" t="n"/>
      <c r="G188" s="22" t="n"/>
      <c r="H188" s="22" t="n"/>
      <c r="I188" s="26">
        <f>G188-H188</f>
        <v/>
      </c>
      <c r="J188" s="21" t="n"/>
      <c r="K188" s="21" t="n"/>
      <c r="L188" s="27">
        <f>SUM(J188:K188)</f>
        <v/>
      </c>
      <c r="M188" s="28" t="n"/>
      <c r="N188" s="28" t="n"/>
      <c r="O188" s="29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1" t="n"/>
      <c r="Q188" s="21" t="n"/>
      <c r="R188" s="27">
        <f>SUM(P188:Q188)</f>
        <v/>
      </c>
      <c r="S188" s="28" t="n"/>
      <c r="T188" s="28" t="n"/>
      <c r="U188" s="29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1" t="n"/>
      <c r="W188" s="21" t="n"/>
      <c r="X188" s="27">
        <f>SUM(V188:W188)</f>
        <v/>
      </c>
      <c r="Y188" s="28" t="n"/>
      <c r="Z188" s="28" t="n"/>
      <c r="AA188" s="29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1" t="n"/>
      <c r="AC188" s="21" t="n"/>
      <c r="AD188" s="27">
        <f>SUM(AB188:AC188)</f>
        <v/>
      </c>
      <c r="AE188" s="28" t="n"/>
      <c r="AF188" s="28" t="n"/>
      <c r="AG188" s="29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1" t="n"/>
      <c r="AI188" s="21" t="n"/>
      <c r="AJ188" s="27">
        <f>SUM(AH188:AI188)</f>
        <v/>
      </c>
      <c r="AK188" s="28" t="n"/>
      <c r="AL188" s="28" t="n"/>
      <c r="AM188" s="29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1" t="n"/>
      <c r="AO188" s="21" t="n"/>
      <c r="AP188" s="27">
        <f>SUM(AN188:AO188)</f>
        <v/>
      </c>
      <c r="AQ188" s="28" t="n"/>
      <c r="AR188" s="30" t="n"/>
      <c r="AS188" s="29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1" t="n"/>
      <c r="AU188" s="21" t="n"/>
      <c r="AV188" s="27">
        <f>SUM(AT188:AU188)</f>
        <v/>
      </c>
      <c r="AW188" s="28" t="n"/>
      <c r="AX188" s="30" t="n"/>
      <c r="AY188" s="29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1" t="n"/>
      <c r="BA188" s="21" t="n"/>
      <c r="BB188" s="27">
        <f>SUM(AZ188:BA188)</f>
        <v/>
      </c>
      <c r="BC188" s="28" t="n"/>
      <c r="BD188" s="28" t="n"/>
      <c r="BE188" s="29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1" t="n"/>
      <c r="BG188" s="21" t="n"/>
      <c r="BH188" s="27">
        <f>SUM(BF188:BG188)</f>
        <v/>
      </c>
      <c r="BI188" s="28" t="n"/>
      <c r="BJ188" s="28" t="n"/>
      <c r="BK188" s="29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1" t="n"/>
      <c r="BM188" s="21" t="n"/>
      <c r="BN188" s="27">
        <f>SUM(BL188:BM188)</f>
        <v/>
      </c>
      <c r="BO188" s="28" t="n"/>
      <c r="BP188" s="31" t="n"/>
      <c r="BQ188" s="29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1" t="n"/>
      <c r="BS188" s="21" t="n"/>
      <c r="BT188" s="27">
        <f>SUM(BR188:BS188)</f>
        <v/>
      </c>
      <c r="BU188" s="28" t="n"/>
      <c r="BV188" s="31" t="n"/>
      <c r="BW188" s="29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1" t="n"/>
      <c r="BY188" s="21" t="n"/>
      <c r="BZ188" s="27">
        <f>SUM(BX188:BY188)</f>
        <v/>
      </c>
      <c r="CA188" s="28" t="n"/>
      <c r="CB188" s="31" t="n"/>
      <c r="CC188" s="29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1" t="n"/>
      <c r="CE188" s="21" t="n"/>
      <c r="CF188" s="27">
        <f>SUM(CD188:CE188)</f>
        <v/>
      </c>
      <c r="CG188" s="28" t="n"/>
      <c r="CH188" s="31" t="n"/>
      <c r="CI188" s="29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1" t="n"/>
      <c r="CK188" s="21" t="n"/>
      <c r="CL188" s="27">
        <f>SUM(CJ188:CK188)</f>
        <v/>
      </c>
      <c r="CM188" s="28" t="n"/>
      <c r="CN188" s="31" t="n"/>
      <c r="CO188" s="29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1" t="n"/>
      <c r="CQ188" s="21" t="n"/>
      <c r="CR188" s="27">
        <f>SUM(CP188:CQ188)</f>
        <v/>
      </c>
      <c r="CS188" s="28" t="n"/>
      <c r="CT188" s="31" t="n"/>
      <c r="CU188" s="29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1" t="n"/>
      <c r="CW188" s="21" t="n"/>
      <c r="CX188" s="27">
        <f>SUM(CV188:CW188)</f>
        <v/>
      </c>
      <c r="CY188" s="28" t="n"/>
      <c r="CZ188" s="31" t="n"/>
      <c r="DA188" s="29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1" t="n"/>
      <c r="DC188" s="21" t="n"/>
      <c r="DD188" s="27">
        <f>SUM(DB188:DC188)</f>
        <v/>
      </c>
      <c r="DE188" s="28" t="n"/>
      <c r="DF188" s="31" t="n"/>
      <c r="DG188" s="29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34">
        <f>SUM(O188,U188,AA188,AG188,AM188,AS188,AY188,BE188,BK188,BQ188,BW188,CC188,CI188,CO188,CU188,DA188,DG188)</f>
        <v/>
      </c>
      <c r="DI188" s="39">
        <f>RANK(DH188,DH$4:DH$503)</f>
        <v/>
      </c>
      <c r="DJ188" s="40" t="inlineStr">
        <is>
          <t>CHOOSE RATING</t>
        </is>
      </c>
      <c r="DK188" s="40" t="inlineStr">
        <is>
          <t>CHOOSE RATING</t>
        </is>
      </c>
      <c r="DL188" s="40" t="inlineStr">
        <is>
          <t>CHOOSE RATING</t>
        </is>
      </c>
      <c r="DM188" s="40" t="inlineStr">
        <is>
          <t>CHOOSE RATING</t>
        </is>
      </c>
      <c r="DN188" s="40" t="inlineStr">
        <is>
          <t>CHOOSE RATING</t>
        </is>
      </c>
      <c r="DO188" s="40" t="inlineStr">
        <is>
          <t>CHOOSE RATING</t>
        </is>
      </c>
      <c r="DP188" s="40" t="inlineStr">
        <is>
          <t>CHOOSE RATING</t>
        </is>
      </c>
      <c r="DQ188" s="40" t="inlineStr">
        <is>
          <t>CHOOSE RATING</t>
        </is>
      </c>
      <c r="DR188" s="43" t="inlineStr">
        <is>
          <t>2024/2025</t>
        </is>
      </c>
      <c r="DS188" s="45" t="inlineStr">
        <is>
          <t>THIRD</t>
        </is>
      </c>
      <c r="DT188" s="40" t="inlineStr">
        <is>
          <t>CHOOSE RATING</t>
        </is>
      </c>
      <c r="DU188" s="40" t="inlineStr">
        <is>
          <t>CHOOSE RATING</t>
        </is>
      </c>
      <c r="DV188" s="40" t="inlineStr">
        <is>
          <t>CHOOSE RATING</t>
        </is>
      </c>
      <c r="DW188" s="40" t="inlineStr">
        <is>
          <t>CHOOSE RATING</t>
        </is>
      </c>
      <c r="DX188" s="40" t="inlineStr">
        <is>
          <t>CHOOSE RATING</t>
        </is>
      </c>
      <c r="DY188" s="40" t="inlineStr">
        <is>
          <t>CHOOSE RATING</t>
        </is>
      </c>
      <c r="DZ188" s="53" t="inlineStr">
        <is>
          <t>CHOOSE RATING</t>
        </is>
      </c>
      <c r="EA188" s="54" t="inlineStr">
        <is>
          <t>Add the Tutor's Comment . . .</t>
        </is>
      </c>
      <c r="EB188" s="55" t="inlineStr">
        <is>
          <t>Choose Principals comment</t>
        </is>
      </c>
      <c r="EC188" s="56" t="n"/>
      <c r="ED188" s="57" t="inlineStr">
        <is>
          <t>Next Term Begins on Monday, 22nd September, 2025</t>
        </is>
      </c>
    </row>
    <row r="189" ht="30.6" customHeight="1" s="6">
      <c r="A189" s="18" t="n">
        <v>186</v>
      </c>
      <c r="B189" s="19" t="n"/>
      <c r="C189" s="20" t="n"/>
      <c r="D189" s="128" t="n"/>
      <c r="E189" s="21" t="n"/>
      <c r="F189" s="22" t="n"/>
      <c r="G189" s="22" t="n"/>
      <c r="H189" s="22" t="n"/>
      <c r="I189" s="26">
        <f>G189-H189</f>
        <v/>
      </c>
      <c r="J189" s="21" t="n"/>
      <c r="K189" s="21" t="n"/>
      <c r="L189" s="27">
        <f>SUM(J189:K189)</f>
        <v/>
      </c>
      <c r="M189" s="28" t="n"/>
      <c r="N189" s="28" t="n"/>
      <c r="O189" s="29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1" t="n"/>
      <c r="Q189" s="21" t="n"/>
      <c r="R189" s="27">
        <f>SUM(P189:Q189)</f>
        <v/>
      </c>
      <c r="S189" s="28" t="n"/>
      <c r="T189" s="28" t="n"/>
      <c r="U189" s="29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1" t="n"/>
      <c r="W189" s="21" t="n"/>
      <c r="X189" s="27">
        <f>SUM(V189:W189)</f>
        <v/>
      </c>
      <c r="Y189" s="28" t="n"/>
      <c r="Z189" s="28" t="n"/>
      <c r="AA189" s="29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1" t="n"/>
      <c r="AC189" s="21" t="n"/>
      <c r="AD189" s="27">
        <f>SUM(AB189:AC189)</f>
        <v/>
      </c>
      <c r="AE189" s="28" t="n"/>
      <c r="AF189" s="28" t="n"/>
      <c r="AG189" s="29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1" t="n"/>
      <c r="AI189" s="21" t="n"/>
      <c r="AJ189" s="27">
        <f>SUM(AH189:AI189)</f>
        <v/>
      </c>
      <c r="AK189" s="28" t="n"/>
      <c r="AL189" s="28" t="n"/>
      <c r="AM189" s="29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1" t="n"/>
      <c r="AO189" s="21" t="n"/>
      <c r="AP189" s="27">
        <f>SUM(AN189:AO189)</f>
        <v/>
      </c>
      <c r="AQ189" s="28" t="n"/>
      <c r="AR189" s="30" t="n"/>
      <c r="AS189" s="29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1" t="n"/>
      <c r="AU189" s="21" t="n"/>
      <c r="AV189" s="27">
        <f>SUM(AT189:AU189)</f>
        <v/>
      </c>
      <c r="AW189" s="28" t="n"/>
      <c r="AX189" s="30" t="n"/>
      <c r="AY189" s="29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1" t="n"/>
      <c r="BA189" s="21" t="n"/>
      <c r="BB189" s="27">
        <f>SUM(AZ189:BA189)</f>
        <v/>
      </c>
      <c r="BC189" s="28" t="n"/>
      <c r="BD189" s="28" t="n"/>
      <c r="BE189" s="29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1" t="n"/>
      <c r="BG189" s="21" t="n"/>
      <c r="BH189" s="27">
        <f>SUM(BF189:BG189)</f>
        <v/>
      </c>
      <c r="BI189" s="28" t="n"/>
      <c r="BJ189" s="28" t="n"/>
      <c r="BK189" s="29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1" t="n"/>
      <c r="BM189" s="21" t="n"/>
      <c r="BN189" s="27">
        <f>SUM(BL189:BM189)</f>
        <v/>
      </c>
      <c r="BO189" s="28" t="n"/>
      <c r="BP189" s="31" t="n"/>
      <c r="BQ189" s="29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1" t="n"/>
      <c r="BS189" s="21" t="n"/>
      <c r="BT189" s="27">
        <f>SUM(BR189:BS189)</f>
        <v/>
      </c>
      <c r="BU189" s="28" t="n"/>
      <c r="BV189" s="31" t="n"/>
      <c r="BW189" s="29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1" t="n"/>
      <c r="BY189" s="21" t="n"/>
      <c r="BZ189" s="27">
        <f>SUM(BX189:BY189)</f>
        <v/>
      </c>
      <c r="CA189" s="28" t="n"/>
      <c r="CB189" s="31" t="n"/>
      <c r="CC189" s="29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1" t="n"/>
      <c r="CE189" s="21" t="n"/>
      <c r="CF189" s="27">
        <f>SUM(CD189:CE189)</f>
        <v/>
      </c>
      <c r="CG189" s="28" t="n"/>
      <c r="CH189" s="31" t="n"/>
      <c r="CI189" s="29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1" t="n"/>
      <c r="CK189" s="21" t="n"/>
      <c r="CL189" s="27">
        <f>SUM(CJ189:CK189)</f>
        <v/>
      </c>
      <c r="CM189" s="28" t="n"/>
      <c r="CN189" s="31" t="n"/>
      <c r="CO189" s="29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1" t="n"/>
      <c r="CQ189" s="21" t="n"/>
      <c r="CR189" s="27">
        <f>SUM(CP189:CQ189)</f>
        <v/>
      </c>
      <c r="CS189" s="28" t="n"/>
      <c r="CT189" s="31" t="n"/>
      <c r="CU189" s="29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1" t="n"/>
      <c r="CW189" s="21" t="n"/>
      <c r="CX189" s="27">
        <f>SUM(CV189:CW189)</f>
        <v/>
      </c>
      <c r="CY189" s="28" t="n"/>
      <c r="CZ189" s="31" t="n"/>
      <c r="DA189" s="29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1" t="n"/>
      <c r="DC189" s="21" t="n"/>
      <c r="DD189" s="27">
        <f>SUM(DB189:DC189)</f>
        <v/>
      </c>
      <c r="DE189" s="28" t="n"/>
      <c r="DF189" s="31" t="n"/>
      <c r="DG189" s="29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34">
        <f>SUM(O189,U189,AA189,AG189,AM189,AS189,AY189,BE189,BK189,BQ189,BW189,CC189,CI189,CO189,CU189,DA189,DG189)</f>
        <v/>
      </c>
      <c r="DI189" s="39">
        <f>RANK(DH189,DH$4:DH$503)</f>
        <v/>
      </c>
      <c r="DJ189" s="40" t="inlineStr">
        <is>
          <t>CHOOSE RATING</t>
        </is>
      </c>
      <c r="DK189" s="40" t="inlineStr">
        <is>
          <t>CHOOSE RATING</t>
        </is>
      </c>
      <c r="DL189" s="40" t="inlineStr">
        <is>
          <t>CHOOSE RATING</t>
        </is>
      </c>
      <c r="DM189" s="40" t="inlineStr">
        <is>
          <t>CHOOSE RATING</t>
        </is>
      </c>
      <c r="DN189" s="40" t="inlineStr">
        <is>
          <t>CHOOSE RATING</t>
        </is>
      </c>
      <c r="DO189" s="40" t="inlineStr">
        <is>
          <t>CHOOSE RATING</t>
        </is>
      </c>
      <c r="DP189" s="40" t="inlineStr">
        <is>
          <t>CHOOSE RATING</t>
        </is>
      </c>
      <c r="DQ189" s="40" t="inlineStr">
        <is>
          <t>CHOOSE RATING</t>
        </is>
      </c>
      <c r="DR189" s="43" t="inlineStr">
        <is>
          <t>2024/2025</t>
        </is>
      </c>
      <c r="DS189" s="45" t="inlineStr">
        <is>
          <t>THIRD</t>
        </is>
      </c>
      <c r="DT189" s="40" t="inlineStr">
        <is>
          <t>CHOOSE RATING</t>
        </is>
      </c>
      <c r="DU189" s="40" t="inlineStr">
        <is>
          <t>CHOOSE RATING</t>
        </is>
      </c>
      <c r="DV189" s="40" t="inlineStr">
        <is>
          <t>CHOOSE RATING</t>
        </is>
      </c>
      <c r="DW189" s="40" t="inlineStr">
        <is>
          <t>CHOOSE RATING</t>
        </is>
      </c>
      <c r="DX189" s="40" t="inlineStr">
        <is>
          <t>CHOOSE RATING</t>
        </is>
      </c>
      <c r="DY189" s="40" t="inlineStr">
        <is>
          <t>CHOOSE RATING</t>
        </is>
      </c>
      <c r="DZ189" s="53" t="inlineStr">
        <is>
          <t>CHOOSE RATING</t>
        </is>
      </c>
      <c r="EA189" s="54" t="inlineStr">
        <is>
          <t>Add the Tutor's Comment . . .</t>
        </is>
      </c>
      <c r="EB189" s="55" t="inlineStr">
        <is>
          <t>Choose Principals comment</t>
        </is>
      </c>
      <c r="EC189" s="56" t="n"/>
      <c r="ED189" s="57" t="inlineStr">
        <is>
          <t>Next Term Begins on Monday, 22nd September, 2025</t>
        </is>
      </c>
    </row>
    <row r="190" ht="30.6" customHeight="1" s="6">
      <c r="A190" s="18" t="n">
        <v>187</v>
      </c>
      <c r="B190" s="19" t="n"/>
      <c r="C190" s="20" t="n"/>
      <c r="D190" s="128" t="n"/>
      <c r="E190" s="21" t="n"/>
      <c r="F190" s="22" t="n"/>
      <c r="G190" s="22" t="n"/>
      <c r="H190" s="22" t="n"/>
      <c r="I190" s="26">
        <f>G190-H190</f>
        <v/>
      </c>
      <c r="J190" s="21" t="n"/>
      <c r="K190" s="21" t="n"/>
      <c r="L190" s="27">
        <f>SUM(J190:K190)</f>
        <v/>
      </c>
      <c r="M190" s="28" t="n"/>
      <c r="N190" s="28" t="n"/>
      <c r="O190" s="29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1" t="n"/>
      <c r="Q190" s="21" t="n"/>
      <c r="R190" s="27">
        <f>SUM(P190:Q190)</f>
        <v/>
      </c>
      <c r="S190" s="28" t="n"/>
      <c r="T190" s="28" t="n"/>
      <c r="U190" s="29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1" t="n"/>
      <c r="W190" s="21" t="n"/>
      <c r="X190" s="27">
        <f>SUM(V190:W190)</f>
        <v/>
      </c>
      <c r="Y190" s="28" t="n"/>
      <c r="Z190" s="28" t="n"/>
      <c r="AA190" s="29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1" t="n"/>
      <c r="AC190" s="21" t="n"/>
      <c r="AD190" s="27">
        <f>SUM(AB190:AC190)</f>
        <v/>
      </c>
      <c r="AE190" s="28" t="n"/>
      <c r="AF190" s="28" t="n"/>
      <c r="AG190" s="29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1" t="n"/>
      <c r="AI190" s="21" t="n"/>
      <c r="AJ190" s="27">
        <f>SUM(AH190:AI190)</f>
        <v/>
      </c>
      <c r="AK190" s="28" t="n"/>
      <c r="AL190" s="28" t="n"/>
      <c r="AM190" s="29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1" t="n"/>
      <c r="AO190" s="21" t="n"/>
      <c r="AP190" s="27">
        <f>SUM(AN190:AO190)</f>
        <v/>
      </c>
      <c r="AQ190" s="28" t="n"/>
      <c r="AR190" s="30" t="n"/>
      <c r="AS190" s="29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1" t="n"/>
      <c r="AU190" s="21" t="n"/>
      <c r="AV190" s="27">
        <f>SUM(AT190:AU190)</f>
        <v/>
      </c>
      <c r="AW190" s="28" t="n"/>
      <c r="AX190" s="30" t="n"/>
      <c r="AY190" s="29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1" t="n"/>
      <c r="BA190" s="21" t="n"/>
      <c r="BB190" s="27">
        <f>SUM(AZ190:BA190)</f>
        <v/>
      </c>
      <c r="BC190" s="28" t="n"/>
      <c r="BD190" s="28" t="n"/>
      <c r="BE190" s="29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1" t="n"/>
      <c r="BG190" s="21" t="n"/>
      <c r="BH190" s="27">
        <f>SUM(BF190:BG190)</f>
        <v/>
      </c>
      <c r="BI190" s="28" t="n"/>
      <c r="BJ190" s="28" t="n"/>
      <c r="BK190" s="29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1" t="n"/>
      <c r="BM190" s="21" t="n"/>
      <c r="BN190" s="27">
        <f>SUM(BL190:BM190)</f>
        <v/>
      </c>
      <c r="BO190" s="28" t="n"/>
      <c r="BP190" s="31" t="n"/>
      <c r="BQ190" s="29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1" t="n"/>
      <c r="BS190" s="21" t="n"/>
      <c r="BT190" s="27">
        <f>SUM(BR190:BS190)</f>
        <v/>
      </c>
      <c r="BU190" s="28" t="n"/>
      <c r="BV190" s="31" t="n"/>
      <c r="BW190" s="29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1" t="n"/>
      <c r="BY190" s="21" t="n"/>
      <c r="BZ190" s="27">
        <f>SUM(BX190:BY190)</f>
        <v/>
      </c>
      <c r="CA190" s="28" t="n"/>
      <c r="CB190" s="31" t="n"/>
      <c r="CC190" s="29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1" t="n"/>
      <c r="CE190" s="21" t="n"/>
      <c r="CF190" s="27">
        <f>SUM(CD190:CE190)</f>
        <v/>
      </c>
      <c r="CG190" s="28" t="n"/>
      <c r="CH190" s="31" t="n"/>
      <c r="CI190" s="29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1" t="n"/>
      <c r="CK190" s="21" t="n"/>
      <c r="CL190" s="27">
        <f>SUM(CJ190:CK190)</f>
        <v/>
      </c>
      <c r="CM190" s="28" t="n"/>
      <c r="CN190" s="31" t="n"/>
      <c r="CO190" s="29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1" t="n"/>
      <c r="CQ190" s="21" t="n"/>
      <c r="CR190" s="27">
        <f>SUM(CP190:CQ190)</f>
        <v/>
      </c>
      <c r="CS190" s="28" t="n"/>
      <c r="CT190" s="31" t="n"/>
      <c r="CU190" s="29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1" t="n"/>
      <c r="CW190" s="21" t="n"/>
      <c r="CX190" s="27">
        <f>SUM(CV190:CW190)</f>
        <v/>
      </c>
      <c r="CY190" s="28" t="n"/>
      <c r="CZ190" s="31" t="n"/>
      <c r="DA190" s="29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1" t="n"/>
      <c r="DC190" s="21" t="n"/>
      <c r="DD190" s="27">
        <f>SUM(DB190:DC190)</f>
        <v/>
      </c>
      <c r="DE190" s="28" t="n"/>
      <c r="DF190" s="31" t="n"/>
      <c r="DG190" s="29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34">
        <f>SUM(O190,U190,AA190,AG190,AM190,AS190,AY190,BE190,BK190,BQ190,BW190,CC190,CI190,CO190,CU190,DA190,DG190)</f>
        <v/>
      </c>
      <c r="DI190" s="39">
        <f>RANK(DH190,DH$4:DH$503)</f>
        <v/>
      </c>
      <c r="DJ190" s="40" t="inlineStr">
        <is>
          <t>CHOOSE RATING</t>
        </is>
      </c>
      <c r="DK190" s="40" t="inlineStr">
        <is>
          <t>CHOOSE RATING</t>
        </is>
      </c>
      <c r="DL190" s="40" t="inlineStr">
        <is>
          <t>CHOOSE RATING</t>
        </is>
      </c>
      <c r="DM190" s="40" t="inlineStr">
        <is>
          <t>CHOOSE RATING</t>
        </is>
      </c>
      <c r="DN190" s="40" t="inlineStr">
        <is>
          <t>CHOOSE RATING</t>
        </is>
      </c>
      <c r="DO190" s="40" t="inlineStr">
        <is>
          <t>CHOOSE RATING</t>
        </is>
      </c>
      <c r="DP190" s="40" t="inlineStr">
        <is>
          <t>CHOOSE RATING</t>
        </is>
      </c>
      <c r="DQ190" s="40" t="inlineStr">
        <is>
          <t>CHOOSE RATING</t>
        </is>
      </c>
      <c r="DR190" s="43" t="inlineStr">
        <is>
          <t>2024/2025</t>
        </is>
      </c>
      <c r="DS190" s="45" t="inlineStr">
        <is>
          <t>THIRD</t>
        </is>
      </c>
      <c r="DT190" s="40" t="inlineStr">
        <is>
          <t>CHOOSE RATING</t>
        </is>
      </c>
      <c r="DU190" s="40" t="inlineStr">
        <is>
          <t>CHOOSE RATING</t>
        </is>
      </c>
      <c r="DV190" s="40" t="inlineStr">
        <is>
          <t>CHOOSE RATING</t>
        </is>
      </c>
      <c r="DW190" s="40" t="inlineStr">
        <is>
          <t>CHOOSE RATING</t>
        </is>
      </c>
      <c r="DX190" s="40" t="inlineStr">
        <is>
          <t>CHOOSE RATING</t>
        </is>
      </c>
      <c r="DY190" s="40" t="inlineStr">
        <is>
          <t>CHOOSE RATING</t>
        </is>
      </c>
      <c r="DZ190" s="53" t="inlineStr">
        <is>
          <t>CHOOSE RATING</t>
        </is>
      </c>
      <c r="EA190" s="54" t="inlineStr">
        <is>
          <t>Add the Tutor's Comment . . .</t>
        </is>
      </c>
      <c r="EB190" s="55" t="inlineStr">
        <is>
          <t>Choose Principals comment</t>
        </is>
      </c>
      <c r="EC190" s="56" t="n"/>
      <c r="ED190" s="57" t="inlineStr">
        <is>
          <t>Next Term Begins on Monday, 22nd September, 2025</t>
        </is>
      </c>
    </row>
    <row r="191" ht="30.6" customHeight="1" s="6">
      <c r="A191" s="18" t="n">
        <v>188</v>
      </c>
      <c r="B191" s="19" t="n"/>
      <c r="C191" s="20" t="n"/>
      <c r="D191" s="128" t="n"/>
      <c r="E191" s="21" t="n"/>
      <c r="F191" s="22" t="n"/>
      <c r="G191" s="22" t="n"/>
      <c r="H191" s="22" t="n"/>
      <c r="I191" s="26">
        <f>G191-H191</f>
        <v/>
      </c>
      <c r="J191" s="21" t="n"/>
      <c r="K191" s="21" t="n"/>
      <c r="L191" s="27">
        <f>SUM(J191:K191)</f>
        <v/>
      </c>
      <c r="M191" s="28" t="n"/>
      <c r="N191" s="28" t="n"/>
      <c r="O191" s="29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1" t="n"/>
      <c r="Q191" s="21" t="n"/>
      <c r="R191" s="27">
        <f>SUM(P191:Q191)</f>
        <v/>
      </c>
      <c r="S191" s="28" t="n"/>
      <c r="T191" s="28" t="n"/>
      <c r="U191" s="29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1" t="n"/>
      <c r="W191" s="21" t="n"/>
      <c r="X191" s="27">
        <f>SUM(V191:W191)</f>
        <v/>
      </c>
      <c r="Y191" s="28" t="n"/>
      <c r="Z191" s="28" t="n"/>
      <c r="AA191" s="29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1" t="n"/>
      <c r="AC191" s="21" t="n"/>
      <c r="AD191" s="27">
        <f>SUM(AB191:AC191)</f>
        <v/>
      </c>
      <c r="AE191" s="28" t="n"/>
      <c r="AF191" s="28" t="n"/>
      <c r="AG191" s="29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1" t="n"/>
      <c r="AI191" s="21" t="n"/>
      <c r="AJ191" s="27">
        <f>SUM(AH191:AI191)</f>
        <v/>
      </c>
      <c r="AK191" s="28" t="n"/>
      <c r="AL191" s="28" t="n"/>
      <c r="AM191" s="29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1" t="n"/>
      <c r="AO191" s="21" t="n"/>
      <c r="AP191" s="27">
        <f>SUM(AN191:AO191)</f>
        <v/>
      </c>
      <c r="AQ191" s="28" t="n"/>
      <c r="AR191" s="30" t="n"/>
      <c r="AS191" s="29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1" t="n"/>
      <c r="AU191" s="21" t="n"/>
      <c r="AV191" s="27">
        <f>SUM(AT191:AU191)</f>
        <v/>
      </c>
      <c r="AW191" s="28" t="n"/>
      <c r="AX191" s="30" t="n"/>
      <c r="AY191" s="29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1" t="n"/>
      <c r="BA191" s="21" t="n"/>
      <c r="BB191" s="27">
        <f>SUM(AZ191:BA191)</f>
        <v/>
      </c>
      <c r="BC191" s="28" t="n"/>
      <c r="BD191" s="28" t="n"/>
      <c r="BE191" s="29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1" t="n"/>
      <c r="BG191" s="21" t="n"/>
      <c r="BH191" s="27">
        <f>SUM(BF191:BG191)</f>
        <v/>
      </c>
      <c r="BI191" s="28" t="n"/>
      <c r="BJ191" s="28" t="n"/>
      <c r="BK191" s="29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1" t="n"/>
      <c r="BM191" s="21" t="n"/>
      <c r="BN191" s="27">
        <f>SUM(BL191:BM191)</f>
        <v/>
      </c>
      <c r="BO191" s="28" t="n"/>
      <c r="BP191" s="31" t="n"/>
      <c r="BQ191" s="29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1" t="n"/>
      <c r="BS191" s="21" t="n"/>
      <c r="BT191" s="27">
        <f>SUM(BR191:BS191)</f>
        <v/>
      </c>
      <c r="BU191" s="28" t="n"/>
      <c r="BV191" s="31" t="n"/>
      <c r="BW191" s="29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1" t="n"/>
      <c r="BY191" s="21" t="n"/>
      <c r="BZ191" s="27">
        <f>SUM(BX191:BY191)</f>
        <v/>
      </c>
      <c r="CA191" s="28" t="n"/>
      <c r="CB191" s="31" t="n"/>
      <c r="CC191" s="29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1" t="n"/>
      <c r="CE191" s="21" t="n"/>
      <c r="CF191" s="27">
        <f>SUM(CD191:CE191)</f>
        <v/>
      </c>
      <c r="CG191" s="28" t="n"/>
      <c r="CH191" s="31" t="n"/>
      <c r="CI191" s="29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1" t="n"/>
      <c r="CK191" s="21" t="n"/>
      <c r="CL191" s="27">
        <f>SUM(CJ191:CK191)</f>
        <v/>
      </c>
      <c r="CM191" s="28" t="n"/>
      <c r="CN191" s="31" t="n"/>
      <c r="CO191" s="29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1" t="n"/>
      <c r="CQ191" s="21" t="n"/>
      <c r="CR191" s="27">
        <f>SUM(CP191:CQ191)</f>
        <v/>
      </c>
      <c r="CS191" s="28" t="n"/>
      <c r="CT191" s="31" t="n"/>
      <c r="CU191" s="29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1" t="n"/>
      <c r="CW191" s="21" t="n"/>
      <c r="CX191" s="27">
        <f>SUM(CV191:CW191)</f>
        <v/>
      </c>
      <c r="CY191" s="28" t="n"/>
      <c r="CZ191" s="31" t="n"/>
      <c r="DA191" s="29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1" t="n"/>
      <c r="DC191" s="21" t="n"/>
      <c r="DD191" s="27">
        <f>SUM(DB191:DC191)</f>
        <v/>
      </c>
      <c r="DE191" s="28" t="n"/>
      <c r="DF191" s="31" t="n"/>
      <c r="DG191" s="29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34">
        <f>SUM(O191,U191,AA191,AG191,AM191,AS191,AY191,BE191,BK191,BQ191,BW191,CC191,CI191,CO191,CU191,DA191,DG191)</f>
        <v/>
      </c>
      <c r="DI191" s="39">
        <f>RANK(DH191,DH$4:DH$503)</f>
        <v/>
      </c>
      <c r="DJ191" s="40" t="inlineStr">
        <is>
          <t>CHOOSE RATING</t>
        </is>
      </c>
      <c r="DK191" s="40" t="inlineStr">
        <is>
          <t>CHOOSE RATING</t>
        </is>
      </c>
      <c r="DL191" s="40" t="inlineStr">
        <is>
          <t>CHOOSE RATING</t>
        </is>
      </c>
      <c r="DM191" s="40" t="inlineStr">
        <is>
          <t>CHOOSE RATING</t>
        </is>
      </c>
      <c r="DN191" s="40" t="inlineStr">
        <is>
          <t>CHOOSE RATING</t>
        </is>
      </c>
      <c r="DO191" s="40" t="inlineStr">
        <is>
          <t>CHOOSE RATING</t>
        </is>
      </c>
      <c r="DP191" s="40" t="inlineStr">
        <is>
          <t>CHOOSE RATING</t>
        </is>
      </c>
      <c r="DQ191" s="40" t="inlineStr">
        <is>
          <t>CHOOSE RATING</t>
        </is>
      </c>
      <c r="DR191" s="43" t="inlineStr">
        <is>
          <t>2024/2025</t>
        </is>
      </c>
      <c r="DS191" s="45" t="inlineStr">
        <is>
          <t>THIRD</t>
        </is>
      </c>
      <c r="DT191" s="40" t="inlineStr">
        <is>
          <t>CHOOSE RATING</t>
        </is>
      </c>
      <c r="DU191" s="40" t="inlineStr">
        <is>
          <t>CHOOSE RATING</t>
        </is>
      </c>
      <c r="DV191" s="40" t="inlineStr">
        <is>
          <t>CHOOSE RATING</t>
        </is>
      </c>
      <c r="DW191" s="40" t="inlineStr">
        <is>
          <t>CHOOSE RATING</t>
        </is>
      </c>
      <c r="DX191" s="40" t="inlineStr">
        <is>
          <t>CHOOSE RATING</t>
        </is>
      </c>
      <c r="DY191" s="40" t="inlineStr">
        <is>
          <t>CHOOSE RATING</t>
        </is>
      </c>
      <c r="DZ191" s="53" t="inlineStr">
        <is>
          <t>CHOOSE RATING</t>
        </is>
      </c>
      <c r="EA191" s="54" t="inlineStr">
        <is>
          <t>Add the Tutor's Comment . . .</t>
        </is>
      </c>
      <c r="EB191" s="55" t="inlineStr">
        <is>
          <t>Choose Principals comment</t>
        </is>
      </c>
      <c r="EC191" s="56" t="n"/>
      <c r="ED191" s="57" t="inlineStr">
        <is>
          <t>Next Term Begins on Monday, 22nd September, 2025</t>
        </is>
      </c>
    </row>
    <row r="192" ht="30.6" customHeight="1" s="6">
      <c r="A192" s="18" t="n">
        <v>189</v>
      </c>
      <c r="B192" s="19" t="n"/>
      <c r="C192" s="20" t="n"/>
      <c r="D192" s="128" t="n"/>
      <c r="E192" s="21" t="n"/>
      <c r="F192" s="22" t="n"/>
      <c r="G192" s="22" t="n"/>
      <c r="H192" s="22" t="n"/>
      <c r="I192" s="26">
        <f>G192-H192</f>
        <v/>
      </c>
      <c r="J192" s="21" t="n"/>
      <c r="K192" s="21" t="n"/>
      <c r="L192" s="27">
        <f>SUM(J192:K192)</f>
        <v/>
      </c>
      <c r="M192" s="28" t="n"/>
      <c r="N192" s="28" t="n"/>
      <c r="O192" s="29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1" t="n"/>
      <c r="Q192" s="21" t="n"/>
      <c r="R192" s="27">
        <f>SUM(P192:Q192)</f>
        <v/>
      </c>
      <c r="S192" s="28" t="n"/>
      <c r="T192" s="28" t="n"/>
      <c r="U192" s="29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1" t="n"/>
      <c r="W192" s="21" t="n"/>
      <c r="X192" s="27">
        <f>SUM(V192:W192)</f>
        <v/>
      </c>
      <c r="Y192" s="28" t="n"/>
      <c r="Z192" s="28" t="n"/>
      <c r="AA192" s="29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1" t="n"/>
      <c r="AC192" s="21" t="n"/>
      <c r="AD192" s="27">
        <f>SUM(AB192:AC192)</f>
        <v/>
      </c>
      <c r="AE192" s="28" t="n"/>
      <c r="AF192" s="28" t="n"/>
      <c r="AG192" s="29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1" t="n"/>
      <c r="AI192" s="21" t="n"/>
      <c r="AJ192" s="27">
        <f>SUM(AH192:AI192)</f>
        <v/>
      </c>
      <c r="AK192" s="28" t="n"/>
      <c r="AL192" s="28" t="n"/>
      <c r="AM192" s="29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1" t="n"/>
      <c r="AO192" s="21" t="n"/>
      <c r="AP192" s="27">
        <f>SUM(AN192:AO192)</f>
        <v/>
      </c>
      <c r="AQ192" s="28" t="n"/>
      <c r="AR192" s="30" t="n"/>
      <c r="AS192" s="29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1" t="n"/>
      <c r="AU192" s="21" t="n"/>
      <c r="AV192" s="27">
        <f>SUM(AT192:AU192)</f>
        <v/>
      </c>
      <c r="AW192" s="28" t="n"/>
      <c r="AX192" s="30" t="n"/>
      <c r="AY192" s="29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1" t="n"/>
      <c r="BA192" s="21" t="n"/>
      <c r="BB192" s="27">
        <f>SUM(AZ192:BA192)</f>
        <v/>
      </c>
      <c r="BC192" s="28" t="n"/>
      <c r="BD192" s="28" t="n"/>
      <c r="BE192" s="29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1" t="n"/>
      <c r="BG192" s="21" t="n"/>
      <c r="BH192" s="27">
        <f>SUM(BF192:BG192)</f>
        <v/>
      </c>
      <c r="BI192" s="28" t="n"/>
      <c r="BJ192" s="28" t="n"/>
      <c r="BK192" s="29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1" t="n"/>
      <c r="BM192" s="21" t="n"/>
      <c r="BN192" s="27">
        <f>SUM(BL192:BM192)</f>
        <v/>
      </c>
      <c r="BO192" s="28" t="n"/>
      <c r="BP192" s="31" t="n"/>
      <c r="BQ192" s="29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1" t="n"/>
      <c r="BS192" s="21" t="n"/>
      <c r="BT192" s="27">
        <f>SUM(BR192:BS192)</f>
        <v/>
      </c>
      <c r="BU192" s="28" t="n"/>
      <c r="BV192" s="31" t="n"/>
      <c r="BW192" s="29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1" t="n"/>
      <c r="BY192" s="21" t="n"/>
      <c r="BZ192" s="27">
        <f>SUM(BX192:BY192)</f>
        <v/>
      </c>
      <c r="CA192" s="28" t="n"/>
      <c r="CB192" s="31" t="n"/>
      <c r="CC192" s="29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1" t="n"/>
      <c r="CE192" s="21" t="n"/>
      <c r="CF192" s="27">
        <f>SUM(CD192:CE192)</f>
        <v/>
      </c>
      <c r="CG192" s="28" t="n"/>
      <c r="CH192" s="31" t="n"/>
      <c r="CI192" s="29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1" t="n"/>
      <c r="CK192" s="21" t="n"/>
      <c r="CL192" s="27">
        <f>SUM(CJ192:CK192)</f>
        <v/>
      </c>
      <c r="CM192" s="28" t="n"/>
      <c r="CN192" s="31" t="n"/>
      <c r="CO192" s="29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1" t="n"/>
      <c r="CQ192" s="21" t="n"/>
      <c r="CR192" s="27">
        <f>SUM(CP192:CQ192)</f>
        <v/>
      </c>
      <c r="CS192" s="28" t="n"/>
      <c r="CT192" s="31" t="n"/>
      <c r="CU192" s="29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1" t="n"/>
      <c r="CW192" s="21" t="n"/>
      <c r="CX192" s="27">
        <f>SUM(CV192:CW192)</f>
        <v/>
      </c>
      <c r="CY192" s="28" t="n"/>
      <c r="CZ192" s="31" t="n"/>
      <c r="DA192" s="29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1" t="n"/>
      <c r="DC192" s="21" t="n"/>
      <c r="DD192" s="27">
        <f>SUM(DB192:DC192)</f>
        <v/>
      </c>
      <c r="DE192" s="28" t="n"/>
      <c r="DF192" s="31" t="n"/>
      <c r="DG192" s="29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34">
        <f>SUM(O192,U192,AA192,AG192,AM192,AS192,AY192,BE192,BK192,BQ192,BW192,CC192,CI192,CO192,CU192,DA192,DG192)</f>
        <v/>
      </c>
      <c r="DI192" s="39">
        <f>RANK(DH192,DH$4:DH$503)</f>
        <v/>
      </c>
      <c r="DJ192" s="40" t="inlineStr">
        <is>
          <t>CHOOSE RATING</t>
        </is>
      </c>
      <c r="DK192" s="40" t="inlineStr">
        <is>
          <t>CHOOSE RATING</t>
        </is>
      </c>
      <c r="DL192" s="40" t="inlineStr">
        <is>
          <t>CHOOSE RATING</t>
        </is>
      </c>
      <c r="DM192" s="40" t="inlineStr">
        <is>
          <t>CHOOSE RATING</t>
        </is>
      </c>
      <c r="DN192" s="40" t="inlineStr">
        <is>
          <t>CHOOSE RATING</t>
        </is>
      </c>
      <c r="DO192" s="40" t="inlineStr">
        <is>
          <t>CHOOSE RATING</t>
        </is>
      </c>
      <c r="DP192" s="40" t="inlineStr">
        <is>
          <t>CHOOSE RATING</t>
        </is>
      </c>
      <c r="DQ192" s="40" t="inlineStr">
        <is>
          <t>CHOOSE RATING</t>
        </is>
      </c>
      <c r="DR192" s="43" t="inlineStr">
        <is>
          <t>2024/2025</t>
        </is>
      </c>
      <c r="DS192" s="45" t="inlineStr">
        <is>
          <t>THIRD</t>
        </is>
      </c>
      <c r="DT192" s="40" t="inlineStr">
        <is>
          <t>CHOOSE RATING</t>
        </is>
      </c>
      <c r="DU192" s="40" t="inlineStr">
        <is>
          <t>CHOOSE RATING</t>
        </is>
      </c>
      <c r="DV192" s="40" t="inlineStr">
        <is>
          <t>CHOOSE RATING</t>
        </is>
      </c>
      <c r="DW192" s="40" t="inlineStr">
        <is>
          <t>CHOOSE RATING</t>
        </is>
      </c>
      <c r="DX192" s="40" t="inlineStr">
        <is>
          <t>CHOOSE RATING</t>
        </is>
      </c>
      <c r="DY192" s="40" t="inlineStr">
        <is>
          <t>CHOOSE RATING</t>
        </is>
      </c>
      <c r="DZ192" s="53" t="inlineStr">
        <is>
          <t>CHOOSE RATING</t>
        </is>
      </c>
      <c r="EA192" s="54" t="inlineStr">
        <is>
          <t>Add the Tutor's Comment . . .</t>
        </is>
      </c>
      <c r="EB192" s="55" t="inlineStr">
        <is>
          <t>Choose Principals comment</t>
        </is>
      </c>
      <c r="EC192" s="56" t="n"/>
      <c r="ED192" s="57" t="inlineStr">
        <is>
          <t>Next Term Begins on Monday, 22nd September, 2025</t>
        </is>
      </c>
    </row>
    <row r="193" ht="30.6" customHeight="1" s="6">
      <c r="A193" s="18" t="n">
        <v>190</v>
      </c>
      <c r="B193" s="19" t="n"/>
      <c r="C193" s="20" t="n"/>
      <c r="D193" s="128" t="n"/>
      <c r="E193" s="21" t="n"/>
      <c r="F193" s="22" t="n"/>
      <c r="G193" s="22" t="n"/>
      <c r="H193" s="22" t="n"/>
      <c r="I193" s="26">
        <f>G193-H193</f>
        <v/>
      </c>
      <c r="J193" s="21" t="n"/>
      <c r="K193" s="21" t="n"/>
      <c r="L193" s="27">
        <f>SUM(J193:K193)</f>
        <v/>
      </c>
      <c r="M193" s="28" t="n"/>
      <c r="N193" s="28" t="n"/>
      <c r="O193" s="29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1" t="n"/>
      <c r="Q193" s="21" t="n"/>
      <c r="R193" s="27">
        <f>SUM(P193:Q193)</f>
        <v/>
      </c>
      <c r="S193" s="28" t="n"/>
      <c r="T193" s="28" t="n"/>
      <c r="U193" s="29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1" t="n"/>
      <c r="W193" s="21" t="n"/>
      <c r="X193" s="27">
        <f>SUM(V193:W193)</f>
        <v/>
      </c>
      <c r="Y193" s="28" t="n"/>
      <c r="Z193" s="28" t="n"/>
      <c r="AA193" s="29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1" t="n"/>
      <c r="AC193" s="21" t="n"/>
      <c r="AD193" s="27">
        <f>SUM(AB193:AC193)</f>
        <v/>
      </c>
      <c r="AE193" s="28" t="n"/>
      <c r="AF193" s="28" t="n"/>
      <c r="AG193" s="29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1" t="n"/>
      <c r="AI193" s="21" t="n"/>
      <c r="AJ193" s="27">
        <f>SUM(AH193:AI193)</f>
        <v/>
      </c>
      <c r="AK193" s="28" t="n"/>
      <c r="AL193" s="28" t="n"/>
      <c r="AM193" s="29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1" t="n"/>
      <c r="AO193" s="21" t="n"/>
      <c r="AP193" s="27">
        <f>SUM(AN193:AO193)</f>
        <v/>
      </c>
      <c r="AQ193" s="28" t="n"/>
      <c r="AR193" s="30" t="n"/>
      <c r="AS193" s="29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1" t="n"/>
      <c r="AU193" s="21" t="n"/>
      <c r="AV193" s="27">
        <f>SUM(AT193:AU193)</f>
        <v/>
      </c>
      <c r="AW193" s="28" t="n"/>
      <c r="AX193" s="30" t="n"/>
      <c r="AY193" s="29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1" t="n"/>
      <c r="BA193" s="21" t="n"/>
      <c r="BB193" s="27">
        <f>SUM(AZ193:BA193)</f>
        <v/>
      </c>
      <c r="BC193" s="28" t="n"/>
      <c r="BD193" s="28" t="n"/>
      <c r="BE193" s="29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1" t="n"/>
      <c r="BG193" s="21" t="n"/>
      <c r="BH193" s="27">
        <f>SUM(BF193:BG193)</f>
        <v/>
      </c>
      <c r="BI193" s="28" t="n"/>
      <c r="BJ193" s="28" t="n"/>
      <c r="BK193" s="29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1" t="n"/>
      <c r="BM193" s="21" t="n"/>
      <c r="BN193" s="27">
        <f>SUM(BL193:BM193)</f>
        <v/>
      </c>
      <c r="BO193" s="28" t="n"/>
      <c r="BP193" s="31" t="n"/>
      <c r="BQ193" s="29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1" t="n"/>
      <c r="BS193" s="21" t="n"/>
      <c r="BT193" s="27">
        <f>SUM(BR193:BS193)</f>
        <v/>
      </c>
      <c r="BU193" s="28" t="n"/>
      <c r="BV193" s="31" t="n"/>
      <c r="BW193" s="29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1" t="n"/>
      <c r="BY193" s="21" t="n"/>
      <c r="BZ193" s="27">
        <f>SUM(BX193:BY193)</f>
        <v/>
      </c>
      <c r="CA193" s="28" t="n"/>
      <c r="CB193" s="31" t="n"/>
      <c r="CC193" s="29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1" t="n"/>
      <c r="CE193" s="21" t="n"/>
      <c r="CF193" s="27">
        <f>SUM(CD193:CE193)</f>
        <v/>
      </c>
      <c r="CG193" s="28" t="n"/>
      <c r="CH193" s="31" t="n"/>
      <c r="CI193" s="29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1" t="n"/>
      <c r="CK193" s="21" t="n"/>
      <c r="CL193" s="27">
        <f>SUM(CJ193:CK193)</f>
        <v/>
      </c>
      <c r="CM193" s="28" t="n"/>
      <c r="CN193" s="31" t="n"/>
      <c r="CO193" s="29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1" t="n"/>
      <c r="CQ193" s="21" t="n"/>
      <c r="CR193" s="27">
        <f>SUM(CP193:CQ193)</f>
        <v/>
      </c>
      <c r="CS193" s="28" t="n"/>
      <c r="CT193" s="31" t="n"/>
      <c r="CU193" s="29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1" t="n"/>
      <c r="CW193" s="21" t="n"/>
      <c r="CX193" s="27">
        <f>SUM(CV193:CW193)</f>
        <v/>
      </c>
      <c r="CY193" s="28" t="n"/>
      <c r="CZ193" s="31" t="n"/>
      <c r="DA193" s="29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1" t="n"/>
      <c r="DC193" s="21" t="n"/>
      <c r="DD193" s="27">
        <f>SUM(DB193:DC193)</f>
        <v/>
      </c>
      <c r="DE193" s="28" t="n"/>
      <c r="DF193" s="31" t="n"/>
      <c r="DG193" s="29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34">
        <f>SUM(O193,U193,AA193,AG193,AM193,AS193,AY193,BE193,BK193,BQ193,BW193,CC193,CI193,CO193,CU193,DA193,DG193)</f>
        <v/>
      </c>
      <c r="DI193" s="39">
        <f>RANK(DH193,DH$4:DH$503)</f>
        <v/>
      </c>
      <c r="DJ193" s="40" t="inlineStr">
        <is>
          <t>CHOOSE RATING</t>
        </is>
      </c>
      <c r="DK193" s="40" t="inlineStr">
        <is>
          <t>CHOOSE RATING</t>
        </is>
      </c>
      <c r="DL193" s="40" t="inlineStr">
        <is>
          <t>CHOOSE RATING</t>
        </is>
      </c>
      <c r="DM193" s="40" t="inlineStr">
        <is>
          <t>CHOOSE RATING</t>
        </is>
      </c>
      <c r="DN193" s="40" t="inlineStr">
        <is>
          <t>CHOOSE RATING</t>
        </is>
      </c>
      <c r="DO193" s="40" t="inlineStr">
        <is>
          <t>CHOOSE RATING</t>
        </is>
      </c>
      <c r="DP193" s="40" t="inlineStr">
        <is>
          <t>CHOOSE RATING</t>
        </is>
      </c>
      <c r="DQ193" s="40" t="inlineStr">
        <is>
          <t>CHOOSE RATING</t>
        </is>
      </c>
      <c r="DR193" s="43" t="inlineStr">
        <is>
          <t>2024/2025</t>
        </is>
      </c>
      <c r="DS193" s="45" t="inlineStr">
        <is>
          <t>THIRD</t>
        </is>
      </c>
      <c r="DT193" s="40" t="inlineStr">
        <is>
          <t>CHOOSE RATING</t>
        </is>
      </c>
      <c r="DU193" s="40" t="inlineStr">
        <is>
          <t>CHOOSE RATING</t>
        </is>
      </c>
      <c r="DV193" s="40" t="inlineStr">
        <is>
          <t>CHOOSE RATING</t>
        </is>
      </c>
      <c r="DW193" s="40" t="inlineStr">
        <is>
          <t>CHOOSE RATING</t>
        </is>
      </c>
      <c r="DX193" s="40" t="inlineStr">
        <is>
          <t>CHOOSE RATING</t>
        </is>
      </c>
      <c r="DY193" s="40" t="inlineStr">
        <is>
          <t>CHOOSE RATING</t>
        </is>
      </c>
      <c r="DZ193" s="53" t="inlineStr">
        <is>
          <t>CHOOSE RATING</t>
        </is>
      </c>
      <c r="EA193" s="54" t="inlineStr">
        <is>
          <t>Add the Tutor's Comment . . .</t>
        </is>
      </c>
      <c r="EB193" s="55" t="inlineStr">
        <is>
          <t>Choose Principals comment</t>
        </is>
      </c>
      <c r="EC193" s="56" t="n"/>
      <c r="ED193" s="57" t="inlineStr">
        <is>
          <t>Next Term Begins on Monday, 22nd September, 2025</t>
        </is>
      </c>
    </row>
    <row r="194" ht="30.6" customHeight="1" s="6">
      <c r="A194" s="18" t="n">
        <v>191</v>
      </c>
      <c r="B194" s="19" t="n"/>
      <c r="C194" s="20" t="n"/>
      <c r="D194" s="128" t="n"/>
      <c r="E194" s="21" t="n"/>
      <c r="F194" s="22" t="n"/>
      <c r="G194" s="22" t="n"/>
      <c r="H194" s="22" t="n"/>
      <c r="I194" s="26">
        <f>G194-H194</f>
        <v/>
      </c>
      <c r="J194" s="21" t="n"/>
      <c r="K194" s="21" t="n"/>
      <c r="L194" s="27">
        <f>SUM(J194:K194)</f>
        <v/>
      </c>
      <c r="M194" s="28" t="n"/>
      <c r="N194" s="28" t="n"/>
      <c r="O194" s="29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1" t="n"/>
      <c r="Q194" s="21" t="n"/>
      <c r="R194" s="27">
        <f>SUM(P194:Q194)</f>
        <v/>
      </c>
      <c r="S194" s="28" t="n"/>
      <c r="T194" s="28" t="n"/>
      <c r="U194" s="29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1" t="n"/>
      <c r="W194" s="21" t="n"/>
      <c r="X194" s="27">
        <f>SUM(V194:W194)</f>
        <v/>
      </c>
      <c r="Y194" s="28" t="n"/>
      <c r="Z194" s="28" t="n"/>
      <c r="AA194" s="29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1" t="n"/>
      <c r="AC194" s="21" t="n"/>
      <c r="AD194" s="27">
        <f>SUM(AB194:AC194)</f>
        <v/>
      </c>
      <c r="AE194" s="28" t="n"/>
      <c r="AF194" s="28" t="n"/>
      <c r="AG194" s="29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1" t="n"/>
      <c r="AI194" s="21" t="n"/>
      <c r="AJ194" s="27">
        <f>SUM(AH194:AI194)</f>
        <v/>
      </c>
      <c r="AK194" s="28" t="n"/>
      <c r="AL194" s="28" t="n"/>
      <c r="AM194" s="29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1" t="n"/>
      <c r="AO194" s="21" t="n"/>
      <c r="AP194" s="27">
        <f>SUM(AN194:AO194)</f>
        <v/>
      </c>
      <c r="AQ194" s="28" t="n"/>
      <c r="AR194" s="30" t="n"/>
      <c r="AS194" s="29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1" t="n"/>
      <c r="AU194" s="21" t="n"/>
      <c r="AV194" s="27">
        <f>SUM(AT194:AU194)</f>
        <v/>
      </c>
      <c r="AW194" s="28" t="n"/>
      <c r="AX194" s="30" t="n"/>
      <c r="AY194" s="29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1" t="n"/>
      <c r="BA194" s="21" t="n"/>
      <c r="BB194" s="27">
        <f>SUM(AZ194:BA194)</f>
        <v/>
      </c>
      <c r="BC194" s="28" t="n"/>
      <c r="BD194" s="28" t="n"/>
      <c r="BE194" s="29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1" t="n"/>
      <c r="BG194" s="21" t="n"/>
      <c r="BH194" s="27">
        <f>SUM(BF194:BG194)</f>
        <v/>
      </c>
      <c r="BI194" s="28" t="n"/>
      <c r="BJ194" s="28" t="n"/>
      <c r="BK194" s="29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1" t="n"/>
      <c r="BM194" s="21" t="n"/>
      <c r="BN194" s="27">
        <f>SUM(BL194:BM194)</f>
        <v/>
      </c>
      <c r="BO194" s="28" t="n"/>
      <c r="BP194" s="31" t="n"/>
      <c r="BQ194" s="29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1" t="n"/>
      <c r="BS194" s="21" t="n"/>
      <c r="BT194" s="27">
        <f>SUM(BR194:BS194)</f>
        <v/>
      </c>
      <c r="BU194" s="28" t="n"/>
      <c r="BV194" s="31" t="n"/>
      <c r="BW194" s="29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1" t="n"/>
      <c r="BY194" s="21" t="n"/>
      <c r="BZ194" s="27">
        <f>SUM(BX194:BY194)</f>
        <v/>
      </c>
      <c r="CA194" s="28" t="n"/>
      <c r="CB194" s="31" t="n"/>
      <c r="CC194" s="29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1" t="n"/>
      <c r="CE194" s="21" t="n"/>
      <c r="CF194" s="27">
        <f>SUM(CD194:CE194)</f>
        <v/>
      </c>
      <c r="CG194" s="28" t="n"/>
      <c r="CH194" s="31" t="n"/>
      <c r="CI194" s="29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1" t="n"/>
      <c r="CK194" s="21" t="n"/>
      <c r="CL194" s="27">
        <f>SUM(CJ194:CK194)</f>
        <v/>
      </c>
      <c r="CM194" s="28" t="n"/>
      <c r="CN194" s="31" t="n"/>
      <c r="CO194" s="29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1" t="n"/>
      <c r="CQ194" s="21" t="n"/>
      <c r="CR194" s="27">
        <f>SUM(CP194:CQ194)</f>
        <v/>
      </c>
      <c r="CS194" s="28" t="n"/>
      <c r="CT194" s="31" t="n"/>
      <c r="CU194" s="29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1" t="n"/>
      <c r="CW194" s="21" t="n"/>
      <c r="CX194" s="27">
        <f>SUM(CV194:CW194)</f>
        <v/>
      </c>
      <c r="CY194" s="28" t="n"/>
      <c r="CZ194" s="31" t="n"/>
      <c r="DA194" s="29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1" t="n"/>
      <c r="DC194" s="21" t="n"/>
      <c r="DD194" s="27">
        <f>SUM(DB194:DC194)</f>
        <v/>
      </c>
      <c r="DE194" s="28" t="n"/>
      <c r="DF194" s="31" t="n"/>
      <c r="DG194" s="29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34">
        <f>SUM(O194,U194,AA194,AG194,AM194,AS194,AY194,BE194,BK194,BQ194,BW194,CC194,CI194,CO194,CU194,DA194,DG194)</f>
        <v/>
      </c>
      <c r="DI194" s="39">
        <f>RANK(DH194,DH$4:DH$503)</f>
        <v/>
      </c>
      <c r="DJ194" s="40" t="inlineStr">
        <is>
          <t>CHOOSE RATING</t>
        </is>
      </c>
      <c r="DK194" s="40" t="inlineStr">
        <is>
          <t>CHOOSE RATING</t>
        </is>
      </c>
      <c r="DL194" s="40" t="inlineStr">
        <is>
          <t>CHOOSE RATING</t>
        </is>
      </c>
      <c r="DM194" s="40" t="inlineStr">
        <is>
          <t>CHOOSE RATING</t>
        </is>
      </c>
      <c r="DN194" s="40" t="inlineStr">
        <is>
          <t>CHOOSE RATING</t>
        </is>
      </c>
      <c r="DO194" s="40" t="inlineStr">
        <is>
          <t>CHOOSE RATING</t>
        </is>
      </c>
      <c r="DP194" s="40" t="inlineStr">
        <is>
          <t>CHOOSE RATING</t>
        </is>
      </c>
      <c r="DQ194" s="40" t="inlineStr">
        <is>
          <t>CHOOSE RATING</t>
        </is>
      </c>
      <c r="DR194" s="43" t="inlineStr">
        <is>
          <t>2024/2025</t>
        </is>
      </c>
      <c r="DS194" s="45" t="inlineStr">
        <is>
          <t>THIRD</t>
        </is>
      </c>
      <c r="DT194" s="40" t="inlineStr">
        <is>
          <t>CHOOSE RATING</t>
        </is>
      </c>
      <c r="DU194" s="40" t="inlineStr">
        <is>
          <t>CHOOSE RATING</t>
        </is>
      </c>
      <c r="DV194" s="40" t="inlineStr">
        <is>
          <t>CHOOSE RATING</t>
        </is>
      </c>
      <c r="DW194" s="40" t="inlineStr">
        <is>
          <t>CHOOSE RATING</t>
        </is>
      </c>
      <c r="DX194" s="40" t="inlineStr">
        <is>
          <t>CHOOSE RATING</t>
        </is>
      </c>
      <c r="DY194" s="40" t="inlineStr">
        <is>
          <t>CHOOSE RATING</t>
        </is>
      </c>
      <c r="DZ194" s="53" t="inlineStr">
        <is>
          <t>CHOOSE RATING</t>
        </is>
      </c>
      <c r="EA194" s="54" t="inlineStr">
        <is>
          <t>Add the Tutor's Comment . . .</t>
        </is>
      </c>
      <c r="EB194" s="55" t="inlineStr">
        <is>
          <t>Choose Principals comment</t>
        </is>
      </c>
      <c r="EC194" s="56" t="n"/>
      <c r="ED194" s="57" t="inlineStr">
        <is>
          <t>Next Term Begins on Monday, 22nd September, 2025</t>
        </is>
      </c>
    </row>
    <row r="195" ht="30.6" customHeight="1" s="6">
      <c r="A195" s="18" t="n">
        <v>192</v>
      </c>
      <c r="B195" s="19" t="n"/>
      <c r="C195" s="20" t="n"/>
      <c r="D195" s="128" t="n"/>
      <c r="E195" s="21" t="n"/>
      <c r="F195" s="22" t="n"/>
      <c r="G195" s="22" t="n"/>
      <c r="H195" s="22" t="n"/>
      <c r="I195" s="26">
        <f>G195-H195</f>
        <v/>
      </c>
      <c r="J195" s="21" t="n"/>
      <c r="K195" s="21" t="n"/>
      <c r="L195" s="27">
        <f>SUM(J195:K195)</f>
        <v/>
      </c>
      <c r="M195" s="28" t="n"/>
      <c r="N195" s="28" t="n"/>
      <c r="O195" s="29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1" t="n"/>
      <c r="Q195" s="21" t="n"/>
      <c r="R195" s="27">
        <f>SUM(P195:Q195)</f>
        <v/>
      </c>
      <c r="S195" s="28" t="n"/>
      <c r="T195" s="28" t="n"/>
      <c r="U195" s="29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1" t="n"/>
      <c r="W195" s="21" t="n"/>
      <c r="X195" s="27">
        <f>SUM(V195:W195)</f>
        <v/>
      </c>
      <c r="Y195" s="28" t="n"/>
      <c r="Z195" s="28" t="n"/>
      <c r="AA195" s="29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1" t="n"/>
      <c r="AC195" s="21" t="n"/>
      <c r="AD195" s="27">
        <f>SUM(AB195:AC195)</f>
        <v/>
      </c>
      <c r="AE195" s="28" t="n"/>
      <c r="AF195" s="28" t="n"/>
      <c r="AG195" s="29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1" t="n"/>
      <c r="AI195" s="21" t="n"/>
      <c r="AJ195" s="27">
        <f>SUM(AH195:AI195)</f>
        <v/>
      </c>
      <c r="AK195" s="28" t="n"/>
      <c r="AL195" s="28" t="n"/>
      <c r="AM195" s="29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1" t="n"/>
      <c r="AO195" s="21" t="n"/>
      <c r="AP195" s="27">
        <f>SUM(AN195:AO195)</f>
        <v/>
      </c>
      <c r="AQ195" s="28" t="n"/>
      <c r="AR195" s="30" t="n"/>
      <c r="AS195" s="29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1" t="n"/>
      <c r="AU195" s="21" t="n"/>
      <c r="AV195" s="27">
        <f>SUM(AT195:AU195)</f>
        <v/>
      </c>
      <c r="AW195" s="28" t="n"/>
      <c r="AX195" s="30" t="n"/>
      <c r="AY195" s="29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1" t="n"/>
      <c r="BA195" s="21" t="n"/>
      <c r="BB195" s="27">
        <f>SUM(AZ195:BA195)</f>
        <v/>
      </c>
      <c r="BC195" s="28" t="n"/>
      <c r="BD195" s="28" t="n"/>
      <c r="BE195" s="29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1" t="n"/>
      <c r="BG195" s="21" t="n"/>
      <c r="BH195" s="27">
        <f>SUM(BF195:BG195)</f>
        <v/>
      </c>
      <c r="BI195" s="28" t="n"/>
      <c r="BJ195" s="28" t="n"/>
      <c r="BK195" s="29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1" t="n"/>
      <c r="BM195" s="21" t="n"/>
      <c r="BN195" s="27">
        <f>SUM(BL195:BM195)</f>
        <v/>
      </c>
      <c r="BO195" s="28" t="n"/>
      <c r="BP195" s="31" t="n"/>
      <c r="BQ195" s="29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1" t="n"/>
      <c r="BS195" s="21" t="n"/>
      <c r="BT195" s="27">
        <f>SUM(BR195:BS195)</f>
        <v/>
      </c>
      <c r="BU195" s="28" t="n"/>
      <c r="BV195" s="31" t="n"/>
      <c r="BW195" s="29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1" t="n"/>
      <c r="BY195" s="21" t="n"/>
      <c r="BZ195" s="27">
        <f>SUM(BX195:BY195)</f>
        <v/>
      </c>
      <c r="CA195" s="28" t="n"/>
      <c r="CB195" s="31" t="n"/>
      <c r="CC195" s="29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1" t="n"/>
      <c r="CE195" s="21" t="n"/>
      <c r="CF195" s="27">
        <f>SUM(CD195:CE195)</f>
        <v/>
      </c>
      <c r="CG195" s="28" t="n"/>
      <c r="CH195" s="31" t="n"/>
      <c r="CI195" s="29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1" t="n"/>
      <c r="CK195" s="21" t="n"/>
      <c r="CL195" s="27">
        <f>SUM(CJ195:CK195)</f>
        <v/>
      </c>
      <c r="CM195" s="28" t="n"/>
      <c r="CN195" s="31" t="n"/>
      <c r="CO195" s="29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1" t="n"/>
      <c r="CQ195" s="21" t="n"/>
      <c r="CR195" s="27">
        <f>SUM(CP195:CQ195)</f>
        <v/>
      </c>
      <c r="CS195" s="28" t="n"/>
      <c r="CT195" s="31" t="n"/>
      <c r="CU195" s="29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1" t="n"/>
      <c r="CW195" s="21" t="n"/>
      <c r="CX195" s="27">
        <f>SUM(CV195:CW195)</f>
        <v/>
      </c>
      <c r="CY195" s="28" t="n"/>
      <c r="CZ195" s="31" t="n"/>
      <c r="DA195" s="29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1" t="n"/>
      <c r="DC195" s="21" t="n"/>
      <c r="DD195" s="27">
        <f>SUM(DB195:DC195)</f>
        <v/>
      </c>
      <c r="DE195" s="28" t="n"/>
      <c r="DF195" s="31" t="n"/>
      <c r="DG195" s="29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34">
        <f>SUM(O195,U195,AA195,AG195,AM195,AS195,AY195,BE195,BK195,BQ195,BW195,CC195,CI195,CO195,CU195,DA195,DG195)</f>
        <v/>
      </c>
      <c r="DI195" s="39">
        <f>RANK(DH195,DH$4:DH$503)</f>
        <v/>
      </c>
      <c r="DJ195" s="40" t="inlineStr">
        <is>
          <t>CHOOSE RATING</t>
        </is>
      </c>
      <c r="DK195" s="40" t="inlineStr">
        <is>
          <t>CHOOSE RATING</t>
        </is>
      </c>
      <c r="DL195" s="40" t="inlineStr">
        <is>
          <t>CHOOSE RATING</t>
        </is>
      </c>
      <c r="DM195" s="40" t="inlineStr">
        <is>
          <t>CHOOSE RATING</t>
        </is>
      </c>
      <c r="DN195" s="40" t="inlineStr">
        <is>
          <t>CHOOSE RATING</t>
        </is>
      </c>
      <c r="DO195" s="40" t="inlineStr">
        <is>
          <t>CHOOSE RATING</t>
        </is>
      </c>
      <c r="DP195" s="40" t="inlineStr">
        <is>
          <t>CHOOSE RATING</t>
        </is>
      </c>
      <c r="DQ195" s="40" t="inlineStr">
        <is>
          <t>CHOOSE RATING</t>
        </is>
      </c>
      <c r="DR195" s="43" t="inlineStr">
        <is>
          <t>2024/2025</t>
        </is>
      </c>
      <c r="DS195" s="45" t="inlineStr">
        <is>
          <t>THIRD</t>
        </is>
      </c>
      <c r="DT195" s="40" t="inlineStr">
        <is>
          <t>CHOOSE RATING</t>
        </is>
      </c>
      <c r="DU195" s="40" t="inlineStr">
        <is>
          <t>CHOOSE RATING</t>
        </is>
      </c>
      <c r="DV195" s="40" t="inlineStr">
        <is>
          <t>CHOOSE RATING</t>
        </is>
      </c>
      <c r="DW195" s="40" t="inlineStr">
        <is>
          <t>CHOOSE RATING</t>
        </is>
      </c>
      <c r="DX195" s="40" t="inlineStr">
        <is>
          <t>CHOOSE RATING</t>
        </is>
      </c>
      <c r="DY195" s="40" t="inlineStr">
        <is>
          <t>CHOOSE RATING</t>
        </is>
      </c>
      <c r="DZ195" s="53" t="inlineStr">
        <is>
          <t>CHOOSE RATING</t>
        </is>
      </c>
      <c r="EA195" s="54" t="inlineStr">
        <is>
          <t>Add the Tutor's Comment . . .</t>
        </is>
      </c>
      <c r="EB195" s="55" t="inlineStr">
        <is>
          <t>Choose Principals comment</t>
        </is>
      </c>
      <c r="EC195" s="56" t="n"/>
      <c r="ED195" s="57" t="inlineStr">
        <is>
          <t>Next Term Begins on Monday, 22nd September, 2025</t>
        </is>
      </c>
    </row>
    <row r="196" ht="30.6" customHeight="1" s="6">
      <c r="A196" s="18" t="n">
        <v>193</v>
      </c>
      <c r="B196" s="19" t="n"/>
      <c r="C196" s="20" t="n"/>
      <c r="D196" s="128" t="n"/>
      <c r="E196" s="21" t="n"/>
      <c r="F196" s="22" t="n"/>
      <c r="G196" s="22" t="n"/>
      <c r="H196" s="22" t="n"/>
      <c r="I196" s="26">
        <f>G196-H196</f>
        <v/>
      </c>
      <c r="J196" s="21" t="n"/>
      <c r="K196" s="21" t="n"/>
      <c r="L196" s="27">
        <f>SUM(J196:K196)</f>
        <v/>
      </c>
      <c r="M196" s="28" t="n"/>
      <c r="N196" s="28" t="n"/>
      <c r="O196" s="29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1" t="n"/>
      <c r="Q196" s="21" t="n"/>
      <c r="R196" s="27">
        <f>SUM(P196:Q196)</f>
        <v/>
      </c>
      <c r="S196" s="28" t="n"/>
      <c r="T196" s="28" t="n"/>
      <c r="U196" s="29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1" t="n"/>
      <c r="W196" s="21" t="n"/>
      <c r="X196" s="27">
        <f>SUM(V196:W196)</f>
        <v/>
      </c>
      <c r="Y196" s="28" t="n"/>
      <c r="Z196" s="28" t="n"/>
      <c r="AA196" s="29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1" t="n"/>
      <c r="AC196" s="21" t="n"/>
      <c r="AD196" s="27">
        <f>SUM(AB196:AC196)</f>
        <v/>
      </c>
      <c r="AE196" s="28" t="n"/>
      <c r="AF196" s="28" t="n"/>
      <c r="AG196" s="29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1" t="n"/>
      <c r="AI196" s="21" t="n"/>
      <c r="AJ196" s="27">
        <f>SUM(AH196:AI196)</f>
        <v/>
      </c>
      <c r="AK196" s="28" t="n"/>
      <c r="AL196" s="28" t="n"/>
      <c r="AM196" s="29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1" t="n"/>
      <c r="AO196" s="21" t="n"/>
      <c r="AP196" s="27">
        <f>SUM(AN196:AO196)</f>
        <v/>
      </c>
      <c r="AQ196" s="28" t="n"/>
      <c r="AR196" s="30" t="n"/>
      <c r="AS196" s="29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1" t="n"/>
      <c r="AU196" s="21" t="n"/>
      <c r="AV196" s="27">
        <f>SUM(AT196:AU196)</f>
        <v/>
      </c>
      <c r="AW196" s="28" t="n"/>
      <c r="AX196" s="30" t="n"/>
      <c r="AY196" s="29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1" t="n"/>
      <c r="BA196" s="21" t="n"/>
      <c r="BB196" s="27">
        <f>SUM(AZ196:BA196)</f>
        <v/>
      </c>
      <c r="BC196" s="28" t="n"/>
      <c r="BD196" s="28" t="n"/>
      <c r="BE196" s="29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1" t="n"/>
      <c r="BG196" s="21" t="n"/>
      <c r="BH196" s="27">
        <f>SUM(BF196:BG196)</f>
        <v/>
      </c>
      <c r="BI196" s="28" t="n"/>
      <c r="BJ196" s="28" t="n"/>
      <c r="BK196" s="29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1" t="n"/>
      <c r="BM196" s="21" t="n"/>
      <c r="BN196" s="27">
        <f>SUM(BL196:BM196)</f>
        <v/>
      </c>
      <c r="BO196" s="28" t="n"/>
      <c r="BP196" s="31" t="n"/>
      <c r="BQ196" s="29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1" t="n"/>
      <c r="BS196" s="21" t="n"/>
      <c r="BT196" s="27">
        <f>SUM(BR196:BS196)</f>
        <v/>
      </c>
      <c r="BU196" s="28" t="n"/>
      <c r="BV196" s="31" t="n"/>
      <c r="BW196" s="29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1" t="n"/>
      <c r="BY196" s="21" t="n"/>
      <c r="BZ196" s="27">
        <f>SUM(BX196:BY196)</f>
        <v/>
      </c>
      <c r="CA196" s="28" t="n"/>
      <c r="CB196" s="31" t="n"/>
      <c r="CC196" s="29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1" t="n"/>
      <c r="CE196" s="21" t="n"/>
      <c r="CF196" s="27">
        <f>SUM(CD196:CE196)</f>
        <v/>
      </c>
      <c r="CG196" s="28" t="n"/>
      <c r="CH196" s="31" t="n"/>
      <c r="CI196" s="29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1" t="n"/>
      <c r="CK196" s="21" t="n"/>
      <c r="CL196" s="27">
        <f>SUM(CJ196:CK196)</f>
        <v/>
      </c>
      <c r="CM196" s="28" t="n"/>
      <c r="CN196" s="31" t="n"/>
      <c r="CO196" s="29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1" t="n"/>
      <c r="CQ196" s="21" t="n"/>
      <c r="CR196" s="27">
        <f>SUM(CP196:CQ196)</f>
        <v/>
      </c>
      <c r="CS196" s="28" t="n"/>
      <c r="CT196" s="31" t="n"/>
      <c r="CU196" s="29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1" t="n"/>
      <c r="CW196" s="21" t="n"/>
      <c r="CX196" s="27">
        <f>SUM(CV196:CW196)</f>
        <v/>
      </c>
      <c r="CY196" s="28" t="n"/>
      <c r="CZ196" s="31" t="n"/>
      <c r="DA196" s="29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1" t="n"/>
      <c r="DC196" s="21" t="n"/>
      <c r="DD196" s="27">
        <f>SUM(DB196:DC196)</f>
        <v/>
      </c>
      <c r="DE196" s="28" t="n"/>
      <c r="DF196" s="31" t="n"/>
      <c r="DG196" s="29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34">
        <f>SUM(O196,U196,AA196,AG196,AM196,AS196,AY196,BE196,BK196,BQ196,BW196,CC196,CI196,CO196,CU196,DA196,DG196)</f>
        <v/>
      </c>
      <c r="DI196" s="39">
        <f>RANK(DH196,DH$4:DH$503)</f>
        <v/>
      </c>
      <c r="DJ196" s="40" t="inlineStr">
        <is>
          <t>CHOOSE RATING</t>
        </is>
      </c>
      <c r="DK196" s="40" t="inlineStr">
        <is>
          <t>CHOOSE RATING</t>
        </is>
      </c>
      <c r="DL196" s="40" t="inlineStr">
        <is>
          <t>CHOOSE RATING</t>
        </is>
      </c>
      <c r="DM196" s="40" t="inlineStr">
        <is>
          <t>CHOOSE RATING</t>
        </is>
      </c>
      <c r="DN196" s="40" t="inlineStr">
        <is>
          <t>CHOOSE RATING</t>
        </is>
      </c>
      <c r="DO196" s="40" t="inlineStr">
        <is>
          <t>CHOOSE RATING</t>
        </is>
      </c>
      <c r="DP196" s="40" t="inlineStr">
        <is>
          <t>CHOOSE RATING</t>
        </is>
      </c>
      <c r="DQ196" s="40" t="inlineStr">
        <is>
          <t>CHOOSE RATING</t>
        </is>
      </c>
      <c r="DR196" s="43" t="inlineStr">
        <is>
          <t>2024/2025</t>
        </is>
      </c>
      <c r="DS196" s="45" t="inlineStr">
        <is>
          <t>THIRD</t>
        </is>
      </c>
      <c r="DT196" s="40" t="inlineStr">
        <is>
          <t>CHOOSE RATING</t>
        </is>
      </c>
      <c r="DU196" s="40" t="inlineStr">
        <is>
          <t>CHOOSE RATING</t>
        </is>
      </c>
      <c r="DV196" s="40" t="inlineStr">
        <is>
          <t>CHOOSE RATING</t>
        </is>
      </c>
      <c r="DW196" s="40" t="inlineStr">
        <is>
          <t>CHOOSE RATING</t>
        </is>
      </c>
      <c r="DX196" s="40" t="inlineStr">
        <is>
          <t>CHOOSE RATING</t>
        </is>
      </c>
      <c r="DY196" s="40" t="inlineStr">
        <is>
          <t>CHOOSE RATING</t>
        </is>
      </c>
      <c r="DZ196" s="53" t="inlineStr">
        <is>
          <t>CHOOSE RATING</t>
        </is>
      </c>
      <c r="EA196" s="54" t="inlineStr">
        <is>
          <t>Add the Tutor's Comment . . .</t>
        </is>
      </c>
      <c r="EB196" s="55" t="inlineStr">
        <is>
          <t>Choose Principals comment</t>
        </is>
      </c>
      <c r="EC196" s="56" t="n"/>
      <c r="ED196" s="57" t="inlineStr">
        <is>
          <t>Next Term Begins on Monday, 22nd September, 2025</t>
        </is>
      </c>
    </row>
    <row r="197" ht="30.6" customHeight="1" s="6">
      <c r="A197" s="18" t="n">
        <v>194</v>
      </c>
      <c r="B197" s="19" t="n"/>
      <c r="C197" s="20" t="n"/>
      <c r="D197" s="128" t="n"/>
      <c r="E197" s="21" t="n"/>
      <c r="F197" s="22" t="n"/>
      <c r="G197" s="22" t="n"/>
      <c r="H197" s="22" t="n"/>
      <c r="I197" s="26">
        <f>G197-H197</f>
        <v/>
      </c>
      <c r="J197" s="21" t="n"/>
      <c r="K197" s="21" t="n"/>
      <c r="L197" s="27">
        <f>SUM(J197:K197)</f>
        <v/>
      </c>
      <c r="M197" s="28" t="n"/>
      <c r="N197" s="28" t="n"/>
      <c r="O197" s="29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1" t="n"/>
      <c r="Q197" s="21" t="n"/>
      <c r="R197" s="27">
        <f>SUM(P197:Q197)</f>
        <v/>
      </c>
      <c r="S197" s="28" t="n"/>
      <c r="T197" s="28" t="n"/>
      <c r="U197" s="29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1" t="n"/>
      <c r="W197" s="21" t="n"/>
      <c r="X197" s="27">
        <f>SUM(V197:W197)</f>
        <v/>
      </c>
      <c r="Y197" s="28" t="n"/>
      <c r="Z197" s="28" t="n"/>
      <c r="AA197" s="29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1" t="n"/>
      <c r="AC197" s="21" t="n"/>
      <c r="AD197" s="27">
        <f>SUM(AB197:AC197)</f>
        <v/>
      </c>
      <c r="AE197" s="28" t="n"/>
      <c r="AF197" s="28" t="n"/>
      <c r="AG197" s="29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1" t="n"/>
      <c r="AI197" s="21" t="n"/>
      <c r="AJ197" s="27">
        <f>SUM(AH197:AI197)</f>
        <v/>
      </c>
      <c r="AK197" s="28" t="n"/>
      <c r="AL197" s="28" t="n"/>
      <c r="AM197" s="29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1" t="n"/>
      <c r="AO197" s="21" t="n"/>
      <c r="AP197" s="27">
        <f>SUM(AN197:AO197)</f>
        <v/>
      </c>
      <c r="AQ197" s="28" t="n"/>
      <c r="AR197" s="30" t="n"/>
      <c r="AS197" s="29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1" t="n"/>
      <c r="AU197" s="21" t="n"/>
      <c r="AV197" s="27">
        <f>SUM(AT197:AU197)</f>
        <v/>
      </c>
      <c r="AW197" s="28" t="n"/>
      <c r="AX197" s="30" t="n"/>
      <c r="AY197" s="29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1" t="n"/>
      <c r="BA197" s="21" t="n"/>
      <c r="BB197" s="27">
        <f>SUM(AZ197:BA197)</f>
        <v/>
      </c>
      <c r="BC197" s="28" t="n"/>
      <c r="BD197" s="28" t="n"/>
      <c r="BE197" s="29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1" t="n"/>
      <c r="BG197" s="21" t="n"/>
      <c r="BH197" s="27">
        <f>SUM(BF197:BG197)</f>
        <v/>
      </c>
      <c r="BI197" s="28" t="n"/>
      <c r="BJ197" s="28" t="n"/>
      <c r="BK197" s="29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1" t="n"/>
      <c r="BM197" s="21" t="n"/>
      <c r="BN197" s="27">
        <f>SUM(BL197:BM197)</f>
        <v/>
      </c>
      <c r="BO197" s="28" t="n"/>
      <c r="BP197" s="31" t="n"/>
      <c r="BQ197" s="29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1" t="n"/>
      <c r="BS197" s="21" t="n"/>
      <c r="BT197" s="27">
        <f>SUM(BR197:BS197)</f>
        <v/>
      </c>
      <c r="BU197" s="28" t="n"/>
      <c r="BV197" s="31" t="n"/>
      <c r="BW197" s="29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1" t="n"/>
      <c r="BY197" s="21" t="n"/>
      <c r="BZ197" s="27">
        <f>SUM(BX197:BY197)</f>
        <v/>
      </c>
      <c r="CA197" s="28" t="n"/>
      <c r="CB197" s="31" t="n"/>
      <c r="CC197" s="29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1" t="n"/>
      <c r="CE197" s="21" t="n"/>
      <c r="CF197" s="27">
        <f>SUM(CD197:CE197)</f>
        <v/>
      </c>
      <c r="CG197" s="28" t="n"/>
      <c r="CH197" s="31" t="n"/>
      <c r="CI197" s="29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1" t="n"/>
      <c r="CK197" s="21" t="n"/>
      <c r="CL197" s="27">
        <f>SUM(CJ197:CK197)</f>
        <v/>
      </c>
      <c r="CM197" s="28" t="n"/>
      <c r="CN197" s="31" t="n"/>
      <c r="CO197" s="29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1" t="n"/>
      <c r="CQ197" s="21" t="n"/>
      <c r="CR197" s="27">
        <f>SUM(CP197:CQ197)</f>
        <v/>
      </c>
      <c r="CS197" s="28" t="n"/>
      <c r="CT197" s="31" t="n"/>
      <c r="CU197" s="29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1" t="n"/>
      <c r="CW197" s="21" t="n"/>
      <c r="CX197" s="27">
        <f>SUM(CV197:CW197)</f>
        <v/>
      </c>
      <c r="CY197" s="28" t="n"/>
      <c r="CZ197" s="31" t="n"/>
      <c r="DA197" s="29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1" t="n"/>
      <c r="DC197" s="21" t="n"/>
      <c r="DD197" s="27">
        <f>SUM(DB197:DC197)</f>
        <v/>
      </c>
      <c r="DE197" s="28" t="n"/>
      <c r="DF197" s="31" t="n"/>
      <c r="DG197" s="29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34">
        <f>SUM(O197,U197,AA197,AG197,AM197,AS197,AY197,BE197,BK197,BQ197,BW197,CC197,CI197,CO197,CU197,DA197,DG197)</f>
        <v/>
      </c>
      <c r="DI197" s="39">
        <f>RANK(DH197,DH$4:DH$503)</f>
        <v/>
      </c>
      <c r="DJ197" s="40" t="inlineStr">
        <is>
          <t>CHOOSE RATING</t>
        </is>
      </c>
      <c r="DK197" s="40" t="inlineStr">
        <is>
          <t>CHOOSE RATING</t>
        </is>
      </c>
      <c r="DL197" s="40" t="inlineStr">
        <is>
          <t>CHOOSE RATING</t>
        </is>
      </c>
      <c r="DM197" s="40" t="inlineStr">
        <is>
          <t>CHOOSE RATING</t>
        </is>
      </c>
      <c r="DN197" s="40" t="inlineStr">
        <is>
          <t>CHOOSE RATING</t>
        </is>
      </c>
      <c r="DO197" s="40" t="inlineStr">
        <is>
          <t>CHOOSE RATING</t>
        </is>
      </c>
      <c r="DP197" s="40" t="inlineStr">
        <is>
          <t>CHOOSE RATING</t>
        </is>
      </c>
      <c r="DQ197" s="40" t="inlineStr">
        <is>
          <t>CHOOSE RATING</t>
        </is>
      </c>
      <c r="DR197" s="43" t="inlineStr">
        <is>
          <t>2024/2025</t>
        </is>
      </c>
      <c r="DS197" s="45" t="inlineStr">
        <is>
          <t>THIRD</t>
        </is>
      </c>
      <c r="DT197" s="40" t="inlineStr">
        <is>
          <t>CHOOSE RATING</t>
        </is>
      </c>
      <c r="DU197" s="40" t="inlineStr">
        <is>
          <t>CHOOSE RATING</t>
        </is>
      </c>
      <c r="DV197" s="40" t="inlineStr">
        <is>
          <t>CHOOSE RATING</t>
        </is>
      </c>
      <c r="DW197" s="40" t="inlineStr">
        <is>
          <t>CHOOSE RATING</t>
        </is>
      </c>
      <c r="DX197" s="40" t="inlineStr">
        <is>
          <t>CHOOSE RATING</t>
        </is>
      </c>
      <c r="DY197" s="40" t="inlineStr">
        <is>
          <t>CHOOSE RATING</t>
        </is>
      </c>
      <c r="DZ197" s="53" t="inlineStr">
        <is>
          <t>CHOOSE RATING</t>
        </is>
      </c>
      <c r="EA197" s="54" t="inlineStr">
        <is>
          <t>Add the Tutor's Comment . . .</t>
        </is>
      </c>
      <c r="EB197" s="55" t="inlineStr">
        <is>
          <t>Choose Principals comment</t>
        </is>
      </c>
      <c r="EC197" s="56" t="n"/>
      <c r="ED197" s="57" t="inlineStr">
        <is>
          <t>Next Term Begins on Monday, 22nd September, 2025</t>
        </is>
      </c>
    </row>
    <row r="198" ht="30.6" customHeight="1" s="6">
      <c r="A198" s="18" t="n">
        <v>195</v>
      </c>
      <c r="B198" s="19" t="n"/>
      <c r="C198" s="20" t="n"/>
      <c r="D198" s="128" t="n"/>
      <c r="E198" s="21" t="n"/>
      <c r="F198" s="22" t="n"/>
      <c r="G198" s="22" t="n"/>
      <c r="H198" s="22" t="n"/>
      <c r="I198" s="26">
        <f>G198-H198</f>
        <v/>
      </c>
      <c r="J198" s="21" t="n"/>
      <c r="K198" s="21" t="n"/>
      <c r="L198" s="27">
        <f>SUM(J198:K198)</f>
        <v/>
      </c>
      <c r="M198" s="28" t="n"/>
      <c r="N198" s="28" t="n"/>
      <c r="O198" s="29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1" t="n"/>
      <c r="Q198" s="21" t="n"/>
      <c r="R198" s="27">
        <f>SUM(P198:Q198)</f>
        <v/>
      </c>
      <c r="S198" s="28" t="n"/>
      <c r="T198" s="28" t="n"/>
      <c r="U198" s="29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1" t="n"/>
      <c r="W198" s="21" t="n"/>
      <c r="X198" s="27">
        <f>SUM(V198:W198)</f>
        <v/>
      </c>
      <c r="Y198" s="28" t="n"/>
      <c r="Z198" s="28" t="n"/>
      <c r="AA198" s="29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1" t="n"/>
      <c r="AC198" s="21" t="n"/>
      <c r="AD198" s="27">
        <f>SUM(AB198:AC198)</f>
        <v/>
      </c>
      <c r="AE198" s="28" t="n"/>
      <c r="AF198" s="28" t="n"/>
      <c r="AG198" s="29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1" t="n"/>
      <c r="AI198" s="21" t="n"/>
      <c r="AJ198" s="27">
        <f>SUM(AH198:AI198)</f>
        <v/>
      </c>
      <c r="AK198" s="28" t="n"/>
      <c r="AL198" s="28" t="n"/>
      <c r="AM198" s="29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1" t="n"/>
      <c r="AO198" s="21" t="n"/>
      <c r="AP198" s="27">
        <f>SUM(AN198:AO198)</f>
        <v/>
      </c>
      <c r="AQ198" s="28" t="n"/>
      <c r="AR198" s="30" t="n"/>
      <c r="AS198" s="29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1" t="n"/>
      <c r="AU198" s="21" t="n"/>
      <c r="AV198" s="27">
        <f>SUM(AT198:AU198)</f>
        <v/>
      </c>
      <c r="AW198" s="28" t="n"/>
      <c r="AX198" s="30" t="n"/>
      <c r="AY198" s="29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1" t="n"/>
      <c r="BA198" s="21" t="n"/>
      <c r="BB198" s="27">
        <f>SUM(AZ198:BA198)</f>
        <v/>
      </c>
      <c r="BC198" s="28" t="n"/>
      <c r="BD198" s="28" t="n"/>
      <c r="BE198" s="29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1" t="n"/>
      <c r="BG198" s="21" t="n"/>
      <c r="BH198" s="27">
        <f>SUM(BF198:BG198)</f>
        <v/>
      </c>
      <c r="BI198" s="28" t="n"/>
      <c r="BJ198" s="28" t="n"/>
      <c r="BK198" s="29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1" t="n"/>
      <c r="BM198" s="21" t="n"/>
      <c r="BN198" s="27">
        <f>SUM(BL198:BM198)</f>
        <v/>
      </c>
      <c r="BO198" s="28" t="n"/>
      <c r="BP198" s="31" t="n"/>
      <c r="BQ198" s="29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1" t="n"/>
      <c r="BS198" s="21" t="n"/>
      <c r="BT198" s="27">
        <f>SUM(BR198:BS198)</f>
        <v/>
      </c>
      <c r="BU198" s="28" t="n"/>
      <c r="BV198" s="31" t="n"/>
      <c r="BW198" s="29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1" t="n"/>
      <c r="BY198" s="21" t="n"/>
      <c r="BZ198" s="27">
        <f>SUM(BX198:BY198)</f>
        <v/>
      </c>
      <c r="CA198" s="28" t="n"/>
      <c r="CB198" s="31" t="n"/>
      <c r="CC198" s="29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1" t="n"/>
      <c r="CE198" s="21" t="n"/>
      <c r="CF198" s="27">
        <f>SUM(CD198:CE198)</f>
        <v/>
      </c>
      <c r="CG198" s="28" t="n"/>
      <c r="CH198" s="31" t="n"/>
      <c r="CI198" s="29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1" t="n"/>
      <c r="CK198" s="21" t="n"/>
      <c r="CL198" s="27">
        <f>SUM(CJ198:CK198)</f>
        <v/>
      </c>
      <c r="CM198" s="28" t="n"/>
      <c r="CN198" s="31" t="n"/>
      <c r="CO198" s="29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1" t="n"/>
      <c r="CQ198" s="21" t="n"/>
      <c r="CR198" s="27">
        <f>SUM(CP198:CQ198)</f>
        <v/>
      </c>
      <c r="CS198" s="28" t="n"/>
      <c r="CT198" s="31" t="n"/>
      <c r="CU198" s="29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1" t="n"/>
      <c r="CW198" s="21" t="n"/>
      <c r="CX198" s="27">
        <f>SUM(CV198:CW198)</f>
        <v/>
      </c>
      <c r="CY198" s="28" t="n"/>
      <c r="CZ198" s="31" t="n"/>
      <c r="DA198" s="29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1" t="n"/>
      <c r="DC198" s="21" t="n"/>
      <c r="DD198" s="27">
        <f>SUM(DB198:DC198)</f>
        <v/>
      </c>
      <c r="DE198" s="28" t="n"/>
      <c r="DF198" s="31" t="n"/>
      <c r="DG198" s="29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34">
        <f>SUM(O198,U198,AA198,AG198,AM198,AS198,AY198,BE198,BK198,BQ198,BW198,CC198,CI198,CO198,CU198,DA198,DG198)</f>
        <v/>
      </c>
      <c r="DI198" s="39">
        <f>RANK(DH198,DH$4:DH$503)</f>
        <v/>
      </c>
      <c r="DJ198" s="40" t="inlineStr">
        <is>
          <t>CHOOSE RATING</t>
        </is>
      </c>
      <c r="DK198" s="40" t="inlineStr">
        <is>
          <t>CHOOSE RATING</t>
        </is>
      </c>
      <c r="DL198" s="40" t="inlineStr">
        <is>
          <t>CHOOSE RATING</t>
        </is>
      </c>
      <c r="DM198" s="40" t="inlineStr">
        <is>
          <t>CHOOSE RATING</t>
        </is>
      </c>
      <c r="DN198" s="40" t="inlineStr">
        <is>
          <t>CHOOSE RATING</t>
        </is>
      </c>
      <c r="DO198" s="40" t="inlineStr">
        <is>
          <t>CHOOSE RATING</t>
        </is>
      </c>
      <c r="DP198" s="40" t="inlineStr">
        <is>
          <t>CHOOSE RATING</t>
        </is>
      </c>
      <c r="DQ198" s="40" t="inlineStr">
        <is>
          <t>CHOOSE RATING</t>
        </is>
      </c>
      <c r="DR198" s="43" t="inlineStr">
        <is>
          <t>2024/2025</t>
        </is>
      </c>
      <c r="DS198" s="45" t="inlineStr">
        <is>
          <t>THIRD</t>
        </is>
      </c>
      <c r="DT198" s="40" t="inlineStr">
        <is>
          <t>CHOOSE RATING</t>
        </is>
      </c>
      <c r="DU198" s="40" t="inlineStr">
        <is>
          <t>CHOOSE RATING</t>
        </is>
      </c>
      <c r="DV198" s="40" t="inlineStr">
        <is>
          <t>CHOOSE RATING</t>
        </is>
      </c>
      <c r="DW198" s="40" t="inlineStr">
        <is>
          <t>CHOOSE RATING</t>
        </is>
      </c>
      <c r="DX198" s="40" t="inlineStr">
        <is>
          <t>CHOOSE RATING</t>
        </is>
      </c>
      <c r="DY198" s="40" t="inlineStr">
        <is>
          <t>CHOOSE RATING</t>
        </is>
      </c>
      <c r="DZ198" s="53" t="inlineStr">
        <is>
          <t>CHOOSE RATING</t>
        </is>
      </c>
      <c r="EA198" s="54" t="inlineStr">
        <is>
          <t>Add the Tutor's Comment . . .</t>
        </is>
      </c>
      <c r="EB198" s="55" t="inlineStr">
        <is>
          <t>Choose Principals comment</t>
        </is>
      </c>
      <c r="EC198" s="56" t="n"/>
      <c r="ED198" s="57" t="inlineStr">
        <is>
          <t>Next Term Begins on Monday, 22nd September, 2025</t>
        </is>
      </c>
    </row>
    <row r="199" ht="30.6" customHeight="1" s="6">
      <c r="A199" s="18" t="n">
        <v>196</v>
      </c>
      <c r="B199" s="19" t="n"/>
      <c r="C199" s="20" t="n"/>
      <c r="D199" s="128" t="n"/>
      <c r="E199" s="21" t="n"/>
      <c r="F199" s="22" t="n"/>
      <c r="G199" s="22" t="n"/>
      <c r="H199" s="22" t="n"/>
      <c r="I199" s="26">
        <f>G199-H199</f>
        <v/>
      </c>
      <c r="J199" s="21" t="n"/>
      <c r="K199" s="21" t="n"/>
      <c r="L199" s="27">
        <f>SUM(J199:K199)</f>
        <v/>
      </c>
      <c r="M199" s="28" t="n"/>
      <c r="N199" s="28" t="n"/>
      <c r="O199" s="29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1" t="n"/>
      <c r="Q199" s="21" t="n"/>
      <c r="R199" s="27">
        <f>SUM(P199:Q199)</f>
        <v/>
      </c>
      <c r="S199" s="28" t="n"/>
      <c r="T199" s="28" t="n"/>
      <c r="U199" s="29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1" t="n"/>
      <c r="W199" s="21" t="n"/>
      <c r="X199" s="27">
        <f>SUM(V199:W199)</f>
        <v/>
      </c>
      <c r="Y199" s="28" t="n"/>
      <c r="Z199" s="28" t="n"/>
      <c r="AA199" s="29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1" t="n"/>
      <c r="AC199" s="21" t="n"/>
      <c r="AD199" s="27">
        <f>SUM(AB199:AC199)</f>
        <v/>
      </c>
      <c r="AE199" s="28" t="n"/>
      <c r="AF199" s="28" t="n"/>
      <c r="AG199" s="29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1" t="n"/>
      <c r="AI199" s="21" t="n"/>
      <c r="AJ199" s="27">
        <f>SUM(AH199:AI199)</f>
        <v/>
      </c>
      <c r="AK199" s="28" t="n"/>
      <c r="AL199" s="28" t="n"/>
      <c r="AM199" s="29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1" t="n"/>
      <c r="AO199" s="21" t="n"/>
      <c r="AP199" s="27">
        <f>SUM(AN199:AO199)</f>
        <v/>
      </c>
      <c r="AQ199" s="28" t="n"/>
      <c r="AR199" s="30" t="n"/>
      <c r="AS199" s="29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1" t="n"/>
      <c r="AU199" s="21" t="n"/>
      <c r="AV199" s="27">
        <f>SUM(AT199:AU199)</f>
        <v/>
      </c>
      <c r="AW199" s="28" t="n"/>
      <c r="AX199" s="30" t="n"/>
      <c r="AY199" s="29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1" t="n"/>
      <c r="BA199" s="21" t="n"/>
      <c r="BB199" s="27">
        <f>SUM(AZ199:BA199)</f>
        <v/>
      </c>
      <c r="BC199" s="28" t="n"/>
      <c r="BD199" s="28" t="n"/>
      <c r="BE199" s="29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1" t="n"/>
      <c r="BG199" s="21" t="n"/>
      <c r="BH199" s="27">
        <f>SUM(BF199:BG199)</f>
        <v/>
      </c>
      <c r="BI199" s="28" t="n"/>
      <c r="BJ199" s="28" t="n"/>
      <c r="BK199" s="29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1" t="n"/>
      <c r="BM199" s="21" t="n"/>
      <c r="BN199" s="27">
        <f>SUM(BL199:BM199)</f>
        <v/>
      </c>
      <c r="BO199" s="28" t="n"/>
      <c r="BP199" s="31" t="n"/>
      <c r="BQ199" s="29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1" t="n"/>
      <c r="BS199" s="21" t="n"/>
      <c r="BT199" s="27">
        <f>SUM(BR199:BS199)</f>
        <v/>
      </c>
      <c r="BU199" s="28" t="n"/>
      <c r="BV199" s="31" t="n"/>
      <c r="BW199" s="29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1" t="n"/>
      <c r="BY199" s="21" t="n"/>
      <c r="BZ199" s="27">
        <f>SUM(BX199:BY199)</f>
        <v/>
      </c>
      <c r="CA199" s="28" t="n"/>
      <c r="CB199" s="31" t="n"/>
      <c r="CC199" s="29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1" t="n"/>
      <c r="CE199" s="21" t="n"/>
      <c r="CF199" s="27">
        <f>SUM(CD199:CE199)</f>
        <v/>
      </c>
      <c r="CG199" s="28" t="n"/>
      <c r="CH199" s="31" t="n"/>
      <c r="CI199" s="29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1" t="n"/>
      <c r="CK199" s="21" t="n"/>
      <c r="CL199" s="27">
        <f>SUM(CJ199:CK199)</f>
        <v/>
      </c>
      <c r="CM199" s="28" t="n"/>
      <c r="CN199" s="31" t="n"/>
      <c r="CO199" s="29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1" t="n"/>
      <c r="CQ199" s="21" t="n"/>
      <c r="CR199" s="27">
        <f>SUM(CP199:CQ199)</f>
        <v/>
      </c>
      <c r="CS199" s="28" t="n"/>
      <c r="CT199" s="31" t="n"/>
      <c r="CU199" s="29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1" t="n"/>
      <c r="CW199" s="21" t="n"/>
      <c r="CX199" s="27">
        <f>SUM(CV199:CW199)</f>
        <v/>
      </c>
      <c r="CY199" s="28" t="n"/>
      <c r="CZ199" s="31" t="n"/>
      <c r="DA199" s="29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1" t="n"/>
      <c r="DC199" s="21" t="n"/>
      <c r="DD199" s="27">
        <f>SUM(DB199:DC199)</f>
        <v/>
      </c>
      <c r="DE199" s="28" t="n"/>
      <c r="DF199" s="31" t="n"/>
      <c r="DG199" s="29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34">
        <f>SUM(O199,U199,AA199,AG199,AM199,AS199,AY199,BE199,BK199,BQ199,BW199,CC199,CI199,CO199,CU199,DA199,DG199)</f>
        <v/>
      </c>
      <c r="DI199" s="39">
        <f>RANK(DH199,DH$4:DH$503)</f>
        <v/>
      </c>
      <c r="DJ199" s="40" t="inlineStr">
        <is>
          <t>CHOOSE RATING</t>
        </is>
      </c>
      <c r="DK199" s="40" t="inlineStr">
        <is>
          <t>CHOOSE RATING</t>
        </is>
      </c>
      <c r="DL199" s="40" t="inlineStr">
        <is>
          <t>CHOOSE RATING</t>
        </is>
      </c>
      <c r="DM199" s="40" t="inlineStr">
        <is>
          <t>CHOOSE RATING</t>
        </is>
      </c>
      <c r="DN199" s="40" t="inlineStr">
        <is>
          <t>CHOOSE RATING</t>
        </is>
      </c>
      <c r="DO199" s="40" t="inlineStr">
        <is>
          <t>CHOOSE RATING</t>
        </is>
      </c>
      <c r="DP199" s="40" t="inlineStr">
        <is>
          <t>CHOOSE RATING</t>
        </is>
      </c>
      <c r="DQ199" s="40" t="inlineStr">
        <is>
          <t>CHOOSE RATING</t>
        </is>
      </c>
      <c r="DR199" s="43" t="inlineStr">
        <is>
          <t>2024/2025</t>
        </is>
      </c>
      <c r="DS199" s="45" t="inlineStr">
        <is>
          <t>THIRD</t>
        </is>
      </c>
      <c r="DT199" s="40" t="inlineStr">
        <is>
          <t>CHOOSE RATING</t>
        </is>
      </c>
      <c r="DU199" s="40" t="inlineStr">
        <is>
          <t>CHOOSE RATING</t>
        </is>
      </c>
      <c r="DV199" s="40" t="inlineStr">
        <is>
          <t>CHOOSE RATING</t>
        </is>
      </c>
      <c r="DW199" s="40" t="inlineStr">
        <is>
          <t>CHOOSE RATING</t>
        </is>
      </c>
      <c r="DX199" s="40" t="inlineStr">
        <is>
          <t>CHOOSE RATING</t>
        </is>
      </c>
      <c r="DY199" s="40" t="inlineStr">
        <is>
          <t>CHOOSE RATING</t>
        </is>
      </c>
      <c r="DZ199" s="53" t="inlineStr">
        <is>
          <t>CHOOSE RATING</t>
        </is>
      </c>
      <c r="EA199" s="54" t="inlineStr">
        <is>
          <t>Add the Tutor's Comment . . .</t>
        </is>
      </c>
      <c r="EB199" s="55" t="inlineStr">
        <is>
          <t>Choose Principals comment</t>
        </is>
      </c>
      <c r="EC199" s="56" t="n"/>
      <c r="ED199" s="57" t="inlineStr">
        <is>
          <t>Next Term Begins on Monday, 22nd September, 2025</t>
        </is>
      </c>
    </row>
    <row r="200" ht="30.6" customHeight="1" s="6">
      <c r="A200" s="18" t="n">
        <v>197</v>
      </c>
      <c r="B200" s="19" t="n"/>
      <c r="C200" s="20" t="n"/>
      <c r="D200" s="128" t="n"/>
      <c r="E200" s="21" t="n"/>
      <c r="F200" s="22" t="n"/>
      <c r="G200" s="22" t="n"/>
      <c r="H200" s="22" t="n"/>
      <c r="I200" s="26">
        <f>G200-H200</f>
        <v/>
      </c>
      <c r="J200" s="21" t="n"/>
      <c r="K200" s="21" t="n"/>
      <c r="L200" s="27">
        <f>SUM(J200:K200)</f>
        <v/>
      </c>
      <c r="M200" s="28" t="n"/>
      <c r="N200" s="28" t="n"/>
      <c r="O200" s="29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1" t="n"/>
      <c r="Q200" s="21" t="n"/>
      <c r="R200" s="27">
        <f>SUM(P200:Q200)</f>
        <v/>
      </c>
      <c r="S200" s="28" t="n"/>
      <c r="T200" s="28" t="n"/>
      <c r="U200" s="29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1" t="n"/>
      <c r="W200" s="21" t="n"/>
      <c r="X200" s="27">
        <f>SUM(V200:W200)</f>
        <v/>
      </c>
      <c r="Y200" s="28" t="n"/>
      <c r="Z200" s="28" t="n"/>
      <c r="AA200" s="29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1" t="n"/>
      <c r="AC200" s="21" t="n"/>
      <c r="AD200" s="27">
        <f>SUM(AB200:AC200)</f>
        <v/>
      </c>
      <c r="AE200" s="28" t="n"/>
      <c r="AF200" s="28" t="n"/>
      <c r="AG200" s="29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1" t="n"/>
      <c r="AI200" s="21" t="n"/>
      <c r="AJ200" s="27">
        <f>SUM(AH200:AI200)</f>
        <v/>
      </c>
      <c r="AK200" s="28" t="n"/>
      <c r="AL200" s="28" t="n"/>
      <c r="AM200" s="29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1" t="n"/>
      <c r="AO200" s="21" t="n"/>
      <c r="AP200" s="27">
        <f>SUM(AN200:AO200)</f>
        <v/>
      </c>
      <c r="AQ200" s="28" t="n"/>
      <c r="AR200" s="30" t="n"/>
      <c r="AS200" s="29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1" t="n"/>
      <c r="AU200" s="21" t="n"/>
      <c r="AV200" s="27">
        <f>SUM(AT200:AU200)</f>
        <v/>
      </c>
      <c r="AW200" s="28" t="n"/>
      <c r="AX200" s="30" t="n"/>
      <c r="AY200" s="29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1" t="n"/>
      <c r="BA200" s="21" t="n"/>
      <c r="BB200" s="27">
        <f>SUM(AZ200:BA200)</f>
        <v/>
      </c>
      <c r="BC200" s="28" t="n"/>
      <c r="BD200" s="28" t="n"/>
      <c r="BE200" s="29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1" t="n"/>
      <c r="BG200" s="21" t="n"/>
      <c r="BH200" s="27">
        <f>SUM(BF200:BG200)</f>
        <v/>
      </c>
      <c r="BI200" s="28" t="n"/>
      <c r="BJ200" s="28" t="n"/>
      <c r="BK200" s="29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1" t="n"/>
      <c r="BM200" s="21" t="n"/>
      <c r="BN200" s="27">
        <f>SUM(BL200:BM200)</f>
        <v/>
      </c>
      <c r="BO200" s="28" t="n"/>
      <c r="BP200" s="31" t="n"/>
      <c r="BQ200" s="29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1" t="n"/>
      <c r="BS200" s="21" t="n"/>
      <c r="BT200" s="27">
        <f>SUM(BR200:BS200)</f>
        <v/>
      </c>
      <c r="BU200" s="28" t="n"/>
      <c r="BV200" s="31" t="n"/>
      <c r="BW200" s="29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1" t="n"/>
      <c r="BY200" s="21" t="n"/>
      <c r="BZ200" s="27">
        <f>SUM(BX200:BY200)</f>
        <v/>
      </c>
      <c r="CA200" s="28" t="n"/>
      <c r="CB200" s="31" t="n"/>
      <c r="CC200" s="29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1" t="n"/>
      <c r="CE200" s="21" t="n"/>
      <c r="CF200" s="27">
        <f>SUM(CD200:CE200)</f>
        <v/>
      </c>
      <c r="CG200" s="28" t="n"/>
      <c r="CH200" s="31" t="n"/>
      <c r="CI200" s="29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1" t="n"/>
      <c r="CK200" s="21" t="n"/>
      <c r="CL200" s="27">
        <f>SUM(CJ200:CK200)</f>
        <v/>
      </c>
      <c r="CM200" s="28" t="n"/>
      <c r="CN200" s="31" t="n"/>
      <c r="CO200" s="29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1" t="n"/>
      <c r="CQ200" s="21" t="n"/>
      <c r="CR200" s="27">
        <f>SUM(CP200:CQ200)</f>
        <v/>
      </c>
      <c r="CS200" s="28" t="n"/>
      <c r="CT200" s="31" t="n"/>
      <c r="CU200" s="29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1" t="n"/>
      <c r="CW200" s="21" t="n"/>
      <c r="CX200" s="27">
        <f>SUM(CV200:CW200)</f>
        <v/>
      </c>
      <c r="CY200" s="28" t="n"/>
      <c r="CZ200" s="31" t="n"/>
      <c r="DA200" s="29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1" t="n"/>
      <c r="DC200" s="21" t="n"/>
      <c r="DD200" s="27">
        <f>SUM(DB200:DC200)</f>
        <v/>
      </c>
      <c r="DE200" s="28" t="n"/>
      <c r="DF200" s="31" t="n"/>
      <c r="DG200" s="29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34">
        <f>SUM(O200,U200,AA200,AG200,AM200,AS200,AY200,BE200,BK200,BQ200,BW200,CC200,CI200,CO200,CU200,DA200,DG200)</f>
        <v/>
      </c>
      <c r="DI200" s="39">
        <f>RANK(DH200,DH$4:DH$503)</f>
        <v/>
      </c>
      <c r="DJ200" s="40" t="inlineStr">
        <is>
          <t>CHOOSE RATING</t>
        </is>
      </c>
      <c r="DK200" s="40" t="inlineStr">
        <is>
          <t>CHOOSE RATING</t>
        </is>
      </c>
      <c r="DL200" s="40" t="inlineStr">
        <is>
          <t>CHOOSE RATING</t>
        </is>
      </c>
      <c r="DM200" s="40" t="inlineStr">
        <is>
          <t>CHOOSE RATING</t>
        </is>
      </c>
      <c r="DN200" s="40" t="inlineStr">
        <is>
          <t>CHOOSE RATING</t>
        </is>
      </c>
      <c r="DO200" s="40" t="inlineStr">
        <is>
          <t>CHOOSE RATING</t>
        </is>
      </c>
      <c r="DP200" s="40" t="inlineStr">
        <is>
          <t>CHOOSE RATING</t>
        </is>
      </c>
      <c r="DQ200" s="40" t="inlineStr">
        <is>
          <t>CHOOSE RATING</t>
        </is>
      </c>
      <c r="DR200" s="43" t="inlineStr">
        <is>
          <t>2024/2025</t>
        </is>
      </c>
      <c r="DS200" s="45" t="inlineStr">
        <is>
          <t>THIRD</t>
        </is>
      </c>
      <c r="DT200" s="40" t="inlineStr">
        <is>
          <t>CHOOSE RATING</t>
        </is>
      </c>
      <c r="DU200" s="40" t="inlineStr">
        <is>
          <t>CHOOSE RATING</t>
        </is>
      </c>
      <c r="DV200" s="40" t="inlineStr">
        <is>
          <t>CHOOSE RATING</t>
        </is>
      </c>
      <c r="DW200" s="40" t="inlineStr">
        <is>
          <t>CHOOSE RATING</t>
        </is>
      </c>
      <c r="DX200" s="40" t="inlineStr">
        <is>
          <t>CHOOSE RATING</t>
        </is>
      </c>
      <c r="DY200" s="40" t="inlineStr">
        <is>
          <t>CHOOSE RATING</t>
        </is>
      </c>
      <c r="DZ200" s="53" t="inlineStr">
        <is>
          <t>CHOOSE RATING</t>
        </is>
      </c>
      <c r="EA200" s="54" t="inlineStr">
        <is>
          <t>Add the Tutor's Comment . . .</t>
        </is>
      </c>
      <c r="EB200" s="55" t="inlineStr">
        <is>
          <t>Choose Principals comment</t>
        </is>
      </c>
      <c r="EC200" s="56" t="n"/>
      <c r="ED200" s="57" t="inlineStr">
        <is>
          <t>Next Term Begins on Monday, 22nd September, 2025</t>
        </is>
      </c>
    </row>
    <row r="201" ht="30.6" customHeight="1" s="6">
      <c r="A201" s="18" t="n">
        <v>198</v>
      </c>
      <c r="B201" s="19" t="n"/>
      <c r="C201" s="20" t="n"/>
      <c r="D201" s="128" t="n"/>
      <c r="E201" s="21" t="n"/>
      <c r="F201" s="22" t="n"/>
      <c r="G201" s="22" t="n"/>
      <c r="H201" s="22" t="n"/>
      <c r="I201" s="26">
        <f>G201-H201</f>
        <v/>
      </c>
      <c r="J201" s="21" t="n"/>
      <c r="K201" s="21" t="n"/>
      <c r="L201" s="27">
        <f>SUM(J201:K201)</f>
        <v/>
      </c>
      <c r="M201" s="28" t="n"/>
      <c r="N201" s="28" t="n"/>
      <c r="O201" s="29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1" t="n"/>
      <c r="Q201" s="21" t="n"/>
      <c r="R201" s="27">
        <f>SUM(P201:Q201)</f>
        <v/>
      </c>
      <c r="S201" s="28" t="n"/>
      <c r="T201" s="28" t="n"/>
      <c r="U201" s="29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1" t="n"/>
      <c r="W201" s="21" t="n"/>
      <c r="X201" s="27">
        <f>SUM(V201:W201)</f>
        <v/>
      </c>
      <c r="Y201" s="28" t="n"/>
      <c r="Z201" s="28" t="n"/>
      <c r="AA201" s="29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1" t="n"/>
      <c r="AC201" s="21" t="n"/>
      <c r="AD201" s="27">
        <f>SUM(AB201:AC201)</f>
        <v/>
      </c>
      <c r="AE201" s="28" t="n"/>
      <c r="AF201" s="28" t="n"/>
      <c r="AG201" s="29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1" t="n"/>
      <c r="AI201" s="21" t="n"/>
      <c r="AJ201" s="27">
        <f>SUM(AH201:AI201)</f>
        <v/>
      </c>
      <c r="AK201" s="28" t="n"/>
      <c r="AL201" s="28" t="n"/>
      <c r="AM201" s="29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1" t="n"/>
      <c r="AO201" s="21" t="n"/>
      <c r="AP201" s="27">
        <f>SUM(AN201:AO201)</f>
        <v/>
      </c>
      <c r="AQ201" s="28" t="n"/>
      <c r="AR201" s="30" t="n"/>
      <c r="AS201" s="29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1" t="n"/>
      <c r="AU201" s="21" t="n"/>
      <c r="AV201" s="27">
        <f>SUM(AT201:AU201)</f>
        <v/>
      </c>
      <c r="AW201" s="28" t="n"/>
      <c r="AX201" s="30" t="n"/>
      <c r="AY201" s="29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1" t="n"/>
      <c r="BA201" s="21" t="n"/>
      <c r="BB201" s="27">
        <f>SUM(AZ201:BA201)</f>
        <v/>
      </c>
      <c r="BC201" s="28" t="n"/>
      <c r="BD201" s="28" t="n"/>
      <c r="BE201" s="29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1" t="n"/>
      <c r="BG201" s="21" t="n"/>
      <c r="BH201" s="27">
        <f>SUM(BF201:BG201)</f>
        <v/>
      </c>
      <c r="BI201" s="28" t="n"/>
      <c r="BJ201" s="28" t="n"/>
      <c r="BK201" s="29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1" t="n"/>
      <c r="BM201" s="21" t="n"/>
      <c r="BN201" s="27">
        <f>SUM(BL201:BM201)</f>
        <v/>
      </c>
      <c r="BO201" s="28" t="n"/>
      <c r="BP201" s="31" t="n"/>
      <c r="BQ201" s="29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1" t="n"/>
      <c r="BS201" s="21" t="n"/>
      <c r="BT201" s="27">
        <f>SUM(BR201:BS201)</f>
        <v/>
      </c>
      <c r="BU201" s="28" t="n"/>
      <c r="BV201" s="31" t="n"/>
      <c r="BW201" s="29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1" t="n"/>
      <c r="BY201" s="21" t="n"/>
      <c r="BZ201" s="27">
        <f>SUM(BX201:BY201)</f>
        <v/>
      </c>
      <c r="CA201" s="28" t="n"/>
      <c r="CB201" s="31" t="n"/>
      <c r="CC201" s="29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1" t="n"/>
      <c r="CE201" s="21" t="n"/>
      <c r="CF201" s="27">
        <f>SUM(CD201:CE201)</f>
        <v/>
      </c>
      <c r="CG201" s="28" t="n"/>
      <c r="CH201" s="31" t="n"/>
      <c r="CI201" s="29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1" t="n"/>
      <c r="CK201" s="21" t="n"/>
      <c r="CL201" s="27">
        <f>SUM(CJ201:CK201)</f>
        <v/>
      </c>
      <c r="CM201" s="28" t="n"/>
      <c r="CN201" s="31" t="n"/>
      <c r="CO201" s="29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1" t="n"/>
      <c r="CQ201" s="21" t="n"/>
      <c r="CR201" s="27">
        <f>SUM(CP201:CQ201)</f>
        <v/>
      </c>
      <c r="CS201" s="28" t="n"/>
      <c r="CT201" s="31" t="n"/>
      <c r="CU201" s="29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1" t="n"/>
      <c r="CW201" s="21" t="n"/>
      <c r="CX201" s="27">
        <f>SUM(CV201:CW201)</f>
        <v/>
      </c>
      <c r="CY201" s="28" t="n"/>
      <c r="CZ201" s="31" t="n"/>
      <c r="DA201" s="29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1" t="n"/>
      <c r="DC201" s="21" t="n"/>
      <c r="DD201" s="27">
        <f>SUM(DB201:DC201)</f>
        <v/>
      </c>
      <c r="DE201" s="28" t="n"/>
      <c r="DF201" s="31" t="n"/>
      <c r="DG201" s="29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34">
        <f>SUM(O201,U201,AA201,AG201,AM201,AS201,AY201,BE201,BK201,BQ201,BW201,CC201,CI201,CO201,CU201,DA201,DG201)</f>
        <v/>
      </c>
      <c r="DI201" s="39">
        <f>RANK(DH201,DH$4:DH$503)</f>
        <v/>
      </c>
      <c r="DJ201" s="40" t="inlineStr">
        <is>
          <t>CHOOSE RATING</t>
        </is>
      </c>
      <c r="DK201" s="40" t="inlineStr">
        <is>
          <t>CHOOSE RATING</t>
        </is>
      </c>
      <c r="DL201" s="40" t="inlineStr">
        <is>
          <t>CHOOSE RATING</t>
        </is>
      </c>
      <c r="DM201" s="40" t="inlineStr">
        <is>
          <t>CHOOSE RATING</t>
        </is>
      </c>
      <c r="DN201" s="40" t="inlineStr">
        <is>
          <t>CHOOSE RATING</t>
        </is>
      </c>
      <c r="DO201" s="40" t="inlineStr">
        <is>
          <t>CHOOSE RATING</t>
        </is>
      </c>
      <c r="DP201" s="40" t="inlineStr">
        <is>
          <t>CHOOSE RATING</t>
        </is>
      </c>
      <c r="DQ201" s="40" t="inlineStr">
        <is>
          <t>CHOOSE RATING</t>
        </is>
      </c>
      <c r="DR201" s="43" t="inlineStr">
        <is>
          <t>2024/2025</t>
        </is>
      </c>
      <c r="DS201" s="45" t="inlineStr">
        <is>
          <t>THIRD</t>
        </is>
      </c>
      <c r="DT201" s="40" t="inlineStr">
        <is>
          <t>CHOOSE RATING</t>
        </is>
      </c>
      <c r="DU201" s="40" t="inlineStr">
        <is>
          <t>CHOOSE RATING</t>
        </is>
      </c>
      <c r="DV201" s="40" t="inlineStr">
        <is>
          <t>CHOOSE RATING</t>
        </is>
      </c>
      <c r="DW201" s="40" t="inlineStr">
        <is>
          <t>CHOOSE RATING</t>
        </is>
      </c>
      <c r="DX201" s="40" t="inlineStr">
        <is>
          <t>CHOOSE RATING</t>
        </is>
      </c>
      <c r="DY201" s="40" t="inlineStr">
        <is>
          <t>CHOOSE RATING</t>
        </is>
      </c>
      <c r="DZ201" s="53" t="inlineStr">
        <is>
          <t>CHOOSE RATING</t>
        </is>
      </c>
      <c r="EA201" s="54" t="inlineStr">
        <is>
          <t>Add the Tutor's Comment . . .</t>
        </is>
      </c>
      <c r="EB201" s="55" t="inlineStr">
        <is>
          <t>Choose Principals comment</t>
        </is>
      </c>
      <c r="EC201" s="56" t="n"/>
      <c r="ED201" s="57" t="inlineStr">
        <is>
          <t>Next Term Begins on Monday, 22nd September, 2025</t>
        </is>
      </c>
    </row>
    <row r="202" ht="30.6" customHeight="1" s="6">
      <c r="A202" s="18" t="n">
        <v>199</v>
      </c>
      <c r="B202" s="19" t="n"/>
      <c r="C202" s="20" t="n"/>
      <c r="D202" s="128" t="n"/>
      <c r="E202" s="21" t="n"/>
      <c r="F202" s="22" t="n"/>
      <c r="G202" s="22" t="n"/>
      <c r="H202" s="22" t="n"/>
      <c r="I202" s="26">
        <f>G202-H202</f>
        <v/>
      </c>
      <c r="J202" s="21" t="n"/>
      <c r="K202" s="21" t="n"/>
      <c r="L202" s="27">
        <f>SUM(J202:K202)</f>
        <v/>
      </c>
      <c r="M202" s="28" t="n"/>
      <c r="N202" s="28" t="n"/>
      <c r="O202" s="29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1" t="n"/>
      <c r="Q202" s="21" t="n"/>
      <c r="R202" s="27">
        <f>SUM(P202:Q202)</f>
        <v/>
      </c>
      <c r="S202" s="28" t="n"/>
      <c r="T202" s="28" t="n"/>
      <c r="U202" s="29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1" t="n"/>
      <c r="W202" s="21" t="n"/>
      <c r="X202" s="27">
        <f>SUM(V202:W202)</f>
        <v/>
      </c>
      <c r="Y202" s="28" t="n"/>
      <c r="Z202" s="28" t="n"/>
      <c r="AA202" s="29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1" t="n"/>
      <c r="AC202" s="21" t="n"/>
      <c r="AD202" s="27">
        <f>SUM(AB202:AC202)</f>
        <v/>
      </c>
      <c r="AE202" s="28" t="n"/>
      <c r="AF202" s="28" t="n"/>
      <c r="AG202" s="29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1" t="n"/>
      <c r="AI202" s="21" t="n"/>
      <c r="AJ202" s="27">
        <f>SUM(AH202:AI202)</f>
        <v/>
      </c>
      <c r="AK202" s="28" t="n"/>
      <c r="AL202" s="28" t="n"/>
      <c r="AM202" s="29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1" t="n"/>
      <c r="AO202" s="21" t="n"/>
      <c r="AP202" s="27">
        <f>SUM(AN202:AO202)</f>
        <v/>
      </c>
      <c r="AQ202" s="28" t="n"/>
      <c r="AR202" s="30" t="n"/>
      <c r="AS202" s="29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1" t="n"/>
      <c r="AU202" s="21" t="n"/>
      <c r="AV202" s="27">
        <f>SUM(AT202:AU202)</f>
        <v/>
      </c>
      <c r="AW202" s="28" t="n"/>
      <c r="AX202" s="30" t="n"/>
      <c r="AY202" s="29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1" t="n"/>
      <c r="BA202" s="21" t="n"/>
      <c r="BB202" s="27">
        <f>SUM(AZ202:BA202)</f>
        <v/>
      </c>
      <c r="BC202" s="28" t="n"/>
      <c r="BD202" s="28" t="n"/>
      <c r="BE202" s="29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1" t="n"/>
      <c r="BG202" s="21" t="n"/>
      <c r="BH202" s="27">
        <f>SUM(BF202:BG202)</f>
        <v/>
      </c>
      <c r="BI202" s="28" t="n"/>
      <c r="BJ202" s="28" t="n"/>
      <c r="BK202" s="29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1" t="n"/>
      <c r="BM202" s="21" t="n"/>
      <c r="BN202" s="27">
        <f>SUM(BL202:BM202)</f>
        <v/>
      </c>
      <c r="BO202" s="28" t="n"/>
      <c r="BP202" s="31" t="n"/>
      <c r="BQ202" s="29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1" t="n"/>
      <c r="BS202" s="21" t="n"/>
      <c r="BT202" s="27">
        <f>SUM(BR202:BS202)</f>
        <v/>
      </c>
      <c r="BU202" s="28" t="n"/>
      <c r="BV202" s="31" t="n"/>
      <c r="BW202" s="29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1" t="n"/>
      <c r="BY202" s="21" t="n"/>
      <c r="BZ202" s="27">
        <f>SUM(BX202:BY202)</f>
        <v/>
      </c>
      <c r="CA202" s="28" t="n"/>
      <c r="CB202" s="31" t="n"/>
      <c r="CC202" s="29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1" t="n"/>
      <c r="CE202" s="21" t="n"/>
      <c r="CF202" s="27">
        <f>SUM(CD202:CE202)</f>
        <v/>
      </c>
      <c r="CG202" s="28" t="n"/>
      <c r="CH202" s="31" t="n"/>
      <c r="CI202" s="29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1" t="n"/>
      <c r="CK202" s="21" t="n"/>
      <c r="CL202" s="27">
        <f>SUM(CJ202:CK202)</f>
        <v/>
      </c>
      <c r="CM202" s="28" t="n"/>
      <c r="CN202" s="31" t="n"/>
      <c r="CO202" s="29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1" t="n"/>
      <c r="CQ202" s="21" t="n"/>
      <c r="CR202" s="27">
        <f>SUM(CP202:CQ202)</f>
        <v/>
      </c>
      <c r="CS202" s="28" t="n"/>
      <c r="CT202" s="31" t="n"/>
      <c r="CU202" s="29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1" t="n"/>
      <c r="CW202" s="21" t="n"/>
      <c r="CX202" s="27">
        <f>SUM(CV202:CW202)</f>
        <v/>
      </c>
      <c r="CY202" s="28" t="n"/>
      <c r="CZ202" s="31" t="n"/>
      <c r="DA202" s="29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1" t="n"/>
      <c r="DC202" s="21" t="n"/>
      <c r="DD202" s="27">
        <f>SUM(DB202:DC202)</f>
        <v/>
      </c>
      <c r="DE202" s="28" t="n"/>
      <c r="DF202" s="31" t="n"/>
      <c r="DG202" s="29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34">
        <f>SUM(O202,U202,AA202,AG202,AM202,AS202,AY202,BE202,BK202,BQ202,BW202,CC202,CI202,CO202,CU202,DA202,DG202)</f>
        <v/>
      </c>
      <c r="DI202" s="39">
        <f>RANK(DH202,DH$4:DH$503)</f>
        <v/>
      </c>
      <c r="DJ202" s="40" t="inlineStr">
        <is>
          <t>CHOOSE RATING</t>
        </is>
      </c>
      <c r="DK202" s="40" t="inlineStr">
        <is>
          <t>CHOOSE RATING</t>
        </is>
      </c>
      <c r="DL202" s="40" t="inlineStr">
        <is>
          <t>CHOOSE RATING</t>
        </is>
      </c>
      <c r="DM202" s="40" t="inlineStr">
        <is>
          <t>CHOOSE RATING</t>
        </is>
      </c>
      <c r="DN202" s="40" t="inlineStr">
        <is>
          <t>CHOOSE RATING</t>
        </is>
      </c>
      <c r="DO202" s="40" t="inlineStr">
        <is>
          <t>CHOOSE RATING</t>
        </is>
      </c>
      <c r="DP202" s="40" t="inlineStr">
        <is>
          <t>CHOOSE RATING</t>
        </is>
      </c>
      <c r="DQ202" s="40" t="inlineStr">
        <is>
          <t>CHOOSE RATING</t>
        </is>
      </c>
      <c r="DR202" s="43" t="inlineStr">
        <is>
          <t>2024/2025</t>
        </is>
      </c>
      <c r="DS202" s="45" t="inlineStr">
        <is>
          <t>THIRD</t>
        </is>
      </c>
      <c r="DT202" s="40" t="inlineStr">
        <is>
          <t>CHOOSE RATING</t>
        </is>
      </c>
      <c r="DU202" s="40" t="inlineStr">
        <is>
          <t>CHOOSE RATING</t>
        </is>
      </c>
      <c r="DV202" s="40" t="inlineStr">
        <is>
          <t>CHOOSE RATING</t>
        </is>
      </c>
      <c r="DW202" s="40" t="inlineStr">
        <is>
          <t>CHOOSE RATING</t>
        </is>
      </c>
      <c r="DX202" s="40" t="inlineStr">
        <is>
          <t>CHOOSE RATING</t>
        </is>
      </c>
      <c r="DY202" s="40" t="inlineStr">
        <is>
          <t>CHOOSE RATING</t>
        </is>
      </c>
      <c r="DZ202" s="53" t="inlineStr">
        <is>
          <t>CHOOSE RATING</t>
        </is>
      </c>
      <c r="EA202" s="54" t="inlineStr">
        <is>
          <t>Add the Tutor's Comment . . .</t>
        </is>
      </c>
      <c r="EB202" s="55" t="inlineStr">
        <is>
          <t>Choose Principals comment</t>
        </is>
      </c>
      <c r="EC202" s="56" t="n"/>
      <c r="ED202" s="57" t="inlineStr">
        <is>
          <t>Next Term Begins on Monday, 22nd September, 2025</t>
        </is>
      </c>
    </row>
    <row r="203" ht="30.6" customHeight="1" s="6">
      <c r="A203" s="18" t="n">
        <v>200</v>
      </c>
      <c r="B203" s="19" t="n"/>
      <c r="C203" s="20" t="n"/>
      <c r="D203" s="128" t="n"/>
      <c r="E203" s="21" t="n"/>
      <c r="F203" s="22" t="n"/>
      <c r="G203" s="22" t="n"/>
      <c r="H203" s="22" t="n"/>
      <c r="I203" s="26">
        <f>G203-H203</f>
        <v/>
      </c>
      <c r="J203" s="21" t="n"/>
      <c r="K203" s="21" t="n"/>
      <c r="L203" s="27">
        <f>SUM(J203:K203)</f>
        <v/>
      </c>
      <c r="M203" s="28" t="n"/>
      <c r="N203" s="28" t="n"/>
      <c r="O203" s="29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1" t="n"/>
      <c r="Q203" s="21" t="n"/>
      <c r="R203" s="27">
        <f>SUM(P203:Q203)</f>
        <v/>
      </c>
      <c r="S203" s="28" t="n"/>
      <c r="T203" s="28" t="n"/>
      <c r="U203" s="29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1" t="n"/>
      <c r="W203" s="21" t="n"/>
      <c r="X203" s="27">
        <f>SUM(V203:W203)</f>
        <v/>
      </c>
      <c r="Y203" s="28" t="n"/>
      <c r="Z203" s="28" t="n"/>
      <c r="AA203" s="29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1" t="n"/>
      <c r="AC203" s="21" t="n"/>
      <c r="AD203" s="27">
        <f>SUM(AB203:AC203)</f>
        <v/>
      </c>
      <c r="AE203" s="28" t="n"/>
      <c r="AF203" s="28" t="n"/>
      <c r="AG203" s="29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1" t="n"/>
      <c r="AI203" s="21" t="n"/>
      <c r="AJ203" s="27">
        <f>SUM(AH203:AI203)</f>
        <v/>
      </c>
      <c r="AK203" s="28" t="n"/>
      <c r="AL203" s="28" t="n"/>
      <c r="AM203" s="29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1" t="n"/>
      <c r="AO203" s="21" t="n"/>
      <c r="AP203" s="27">
        <f>SUM(AN203:AO203)</f>
        <v/>
      </c>
      <c r="AQ203" s="28" t="n"/>
      <c r="AR203" s="30" t="n"/>
      <c r="AS203" s="29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1" t="n"/>
      <c r="AU203" s="21" t="n"/>
      <c r="AV203" s="27">
        <f>SUM(AT203:AU203)</f>
        <v/>
      </c>
      <c r="AW203" s="28" t="n"/>
      <c r="AX203" s="30" t="n"/>
      <c r="AY203" s="29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1" t="n"/>
      <c r="BA203" s="21" t="n"/>
      <c r="BB203" s="27">
        <f>SUM(AZ203:BA203)</f>
        <v/>
      </c>
      <c r="BC203" s="28" t="n"/>
      <c r="BD203" s="28" t="n"/>
      <c r="BE203" s="29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1" t="n"/>
      <c r="BG203" s="21" t="n"/>
      <c r="BH203" s="27">
        <f>SUM(BF203:BG203)</f>
        <v/>
      </c>
      <c r="BI203" s="28" t="n"/>
      <c r="BJ203" s="28" t="n"/>
      <c r="BK203" s="29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1" t="n"/>
      <c r="BM203" s="21" t="n"/>
      <c r="BN203" s="27">
        <f>SUM(BL203:BM203)</f>
        <v/>
      </c>
      <c r="BO203" s="28" t="n"/>
      <c r="BP203" s="31" t="n"/>
      <c r="BQ203" s="29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1" t="n"/>
      <c r="BS203" s="21" t="n"/>
      <c r="BT203" s="27">
        <f>SUM(BR203:BS203)</f>
        <v/>
      </c>
      <c r="BU203" s="28" t="n"/>
      <c r="BV203" s="31" t="n"/>
      <c r="BW203" s="29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1" t="n"/>
      <c r="BY203" s="21" t="n"/>
      <c r="BZ203" s="27">
        <f>SUM(BX203:BY203)</f>
        <v/>
      </c>
      <c r="CA203" s="28" t="n"/>
      <c r="CB203" s="31" t="n"/>
      <c r="CC203" s="29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1" t="n"/>
      <c r="CE203" s="21" t="n"/>
      <c r="CF203" s="27">
        <f>SUM(CD203:CE203)</f>
        <v/>
      </c>
      <c r="CG203" s="28" t="n"/>
      <c r="CH203" s="31" t="n"/>
      <c r="CI203" s="29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1" t="n"/>
      <c r="CK203" s="21" t="n"/>
      <c r="CL203" s="27">
        <f>SUM(CJ203:CK203)</f>
        <v/>
      </c>
      <c r="CM203" s="28" t="n"/>
      <c r="CN203" s="31" t="n"/>
      <c r="CO203" s="29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1" t="n"/>
      <c r="CQ203" s="21" t="n"/>
      <c r="CR203" s="27">
        <f>SUM(CP203:CQ203)</f>
        <v/>
      </c>
      <c r="CS203" s="28" t="n"/>
      <c r="CT203" s="31" t="n"/>
      <c r="CU203" s="29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1" t="n"/>
      <c r="CW203" s="21" t="n"/>
      <c r="CX203" s="27">
        <f>SUM(CV203:CW203)</f>
        <v/>
      </c>
      <c r="CY203" s="28" t="n"/>
      <c r="CZ203" s="31" t="n"/>
      <c r="DA203" s="29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1" t="n"/>
      <c r="DC203" s="21" t="n"/>
      <c r="DD203" s="27">
        <f>SUM(DB203:DC203)</f>
        <v/>
      </c>
      <c r="DE203" s="28" t="n"/>
      <c r="DF203" s="31" t="n"/>
      <c r="DG203" s="29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34">
        <f>SUM(O203,U203,AA203,AG203,AM203,AS203,AY203,BE203,BK203,BQ203,BW203,CC203,CI203,CO203,CU203,DA203,DG203)</f>
        <v/>
      </c>
      <c r="DI203" s="39">
        <f>RANK(DH203,DH$4:DH$503)</f>
        <v/>
      </c>
      <c r="DJ203" s="40" t="inlineStr">
        <is>
          <t>CHOOSE RATING</t>
        </is>
      </c>
      <c r="DK203" s="40" t="inlineStr">
        <is>
          <t>CHOOSE RATING</t>
        </is>
      </c>
      <c r="DL203" s="40" t="inlineStr">
        <is>
          <t>CHOOSE RATING</t>
        </is>
      </c>
      <c r="DM203" s="40" t="inlineStr">
        <is>
          <t>CHOOSE RATING</t>
        </is>
      </c>
      <c r="DN203" s="40" t="inlineStr">
        <is>
          <t>CHOOSE RATING</t>
        </is>
      </c>
      <c r="DO203" s="40" t="inlineStr">
        <is>
          <t>CHOOSE RATING</t>
        </is>
      </c>
      <c r="DP203" s="40" t="inlineStr">
        <is>
          <t>CHOOSE RATING</t>
        </is>
      </c>
      <c r="DQ203" s="40" t="inlineStr">
        <is>
          <t>CHOOSE RATING</t>
        </is>
      </c>
      <c r="DR203" s="43" t="inlineStr">
        <is>
          <t>2024/2025</t>
        </is>
      </c>
      <c r="DS203" s="45" t="inlineStr">
        <is>
          <t>THIRD</t>
        </is>
      </c>
      <c r="DT203" s="40" t="inlineStr">
        <is>
          <t>CHOOSE RATING</t>
        </is>
      </c>
      <c r="DU203" s="40" t="inlineStr">
        <is>
          <t>CHOOSE RATING</t>
        </is>
      </c>
      <c r="DV203" s="40" t="inlineStr">
        <is>
          <t>CHOOSE RATING</t>
        </is>
      </c>
      <c r="DW203" s="40" t="inlineStr">
        <is>
          <t>CHOOSE RATING</t>
        </is>
      </c>
      <c r="DX203" s="40" t="inlineStr">
        <is>
          <t>CHOOSE RATING</t>
        </is>
      </c>
      <c r="DY203" s="40" t="inlineStr">
        <is>
          <t>CHOOSE RATING</t>
        </is>
      </c>
      <c r="DZ203" s="53" t="inlineStr">
        <is>
          <t>CHOOSE RATING</t>
        </is>
      </c>
      <c r="EA203" s="54" t="inlineStr">
        <is>
          <t>Add the Tutor's Comment . . .</t>
        </is>
      </c>
      <c r="EB203" s="55" t="inlineStr">
        <is>
          <t>Choose Principals comment</t>
        </is>
      </c>
      <c r="EC203" s="56" t="n"/>
      <c r="ED203" s="57" t="inlineStr">
        <is>
          <t>Next Term Begins on Monday, 22nd September, 2025</t>
        </is>
      </c>
    </row>
    <row r="204" ht="30.6" customHeight="1" s="6">
      <c r="A204" s="18" t="n">
        <v>201</v>
      </c>
      <c r="B204" s="19" t="n"/>
      <c r="C204" s="20" t="n"/>
      <c r="D204" s="128" t="n"/>
      <c r="E204" s="21" t="n"/>
      <c r="F204" s="22" t="n"/>
      <c r="G204" s="22" t="n"/>
      <c r="H204" s="22" t="n"/>
      <c r="I204" s="26">
        <f>G204-H204</f>
        <v/>
      </c>
      <c r="J204" s="21" t="n"/>
      <c r="K204" s="21" t="n"/>
      <c r="L204" s="27">
        <f>SUM(J204:K204)</f>
        <v/>
      </c>
      <c r="M204" s="28" t="n"/>
      <c r="N204" s="28" t="n"/>
      <c r="O204" s="29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1" t="n"/>
      <c r="Q204" s="21" t="n"/>
      <c r="R204" s="27">
        <f>SUM(P204:Q204)</f>
        <v/>
      </c>
      <c r="S204" s="28" t="n"/>
      <c r="T204" s="28" t="n"/>
      <c r="U204" s="29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1" t="n"/>
      <c r="W204" s="21" t="n"/>
      <c r="X204" s="27">
        <f>SUM(V204:W204)</f>
        <v/>
      </c>
      <c r="Y204" s="28" t="n"/>
      <c r="Z204" s="28" t="n"/>
      <c r="AA204" s="29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1" t="n"/>
      <c r="AC204" s="21" t="n"/>
      <c r="AD204" s="27">
        <f>SUM(AB204:AC204)</f>
        <v/>
      </c>
      <c r="AE204" s="28" t="n"/>
      <c r="AF204" s="28" t="n"/>
      <c r="AG204" s="29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1" t="n"/>
      <c r="AI204" s="21" t="n"/>
      <c r="AJ204" s="27">
        <f>SUM(AH204:AI204)</f>
        <v/>
      </c>
      <c r="AK204" s="28" t="n"/>
      <c r="AL204" s="28" t="n"/>
      <c r="AM204" s="29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1" t="n"/>
      <c r="AO204" s="21" t="n"/>
      <c r="AP204" s="27">
        <f>SUM(AN204:AO204)</f>
        <v/>
      </c>
      <c r="AQ204" s="28" t="n"/>
      <c r="AR204" s="30" t="n"/>
      <c r="AS204" s="29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1" t="n"/>
      <c r="AU204" s="21" t="n"/>
      <c r="AV204" s="27">
        <f>SUM(AT204:AU204)</f>
        <v/>
      </c>
      <c r="AW204" s="28" t="n"/>
      <c r="AX204" s="30" t="n"/>
      <c r="AY204" s="29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1" t="n"/>
      <c r="BA204" s="21" t="n"/>
      <c r="BB204" s="27">
        <f>SUM(AZ204:BA204)</f>
        <v/>
      </c>
      <c r="BC204" s="28" t="n"/>
      <c r="BD204" s="28" t="n"/>
      <c r="BE204" s="29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1" t="n"/>
      <c r="BG204" s="21" t="n"/>
      <c r="BH204" s="27">
        <f>SUM(BF204:BG204)</f>
        <v/>
      </c>
      <c r="BI204" s="28" t="n"/>
      <c r="BJ204" s="28" t="n"/>
      <c r="BK204" s="29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1" t="n"/>
      <c r="BM204" s="21" t="n"/>
      <c r="BN204" s="27">
        <f>SUM(BL204:BM204)</f>
        <v/>
      </c>
      <c r="BO204" s="28" t="n"/>
      <c r="BP204" s="31" t="n"/>
      <c r="BQ204" s="29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1" t="n"/>
      <c r="BS204" s="21" t="n"/>
      <c r="BT204" s="27">
        <f>SUM(BR204:BS204)</f>
        <v/>
      </c>
      <c r="BU204" s="28" t="n"/>
      <c r="BV204" s="31" t="n"/>
      <c r="BW204" s="29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1" t="n"/>
      <c r="BY204" s="21" t="n"/>
      <c r="BZ204" s="27">
        <f>SUM(BX204:BY204)</f>
        <v/>
      </c>
      <c r="CA204" s="28" t="n"/>
      <c r="CB204" s="31" t="n"/>
      <c r="CC204" s="29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1" t="n"/>
      <c r="CE204" s="21" t="n"/>
      <c r="CF204" s="27">
        <f>SUM(CD204:CE204)</f>
        <v/>
      </c>
      <c r="CG204" s="28" t="n"/>
      <c r="CH204" s="31" t="n"/>
      <c r="CI204" s="29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1" t="n"/>
      <c r="CK204" s="21" t="n"/>
      <c r="CL204" s="27">
        <f>SUM(CJ204:CK204)</f>
        <v/>
      </c>
      <c r="CM204" s="28" t="n"/>
      <c r="CN204" s="31" t="n"/>
      <c r="CO204" s="29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1" t="n"/>
      <c r="CQ204" s="21" t="n"/>
      <c r="CR204" s="27">
        <f>SUM(CP204:CQ204)</f>
        <v/>
      </c>
      <c r="CS204" s="28" t="n"/>
      <c r="CT204" s="31" t="n"/>
      <c r="CU204" s="29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1" t="n"/>
      <c r="CW204" s="21" t="n"/>
      <c r="CX204" s="27">
        <f>SUM(CV204:CW204)</f>
        <v/>
      </c>
      <c r="CY204" s="28" t="n"/>
      <c r="CZ204" s="31" t="n"/>
      <c r="DA204" s="29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1" t="n"/>
      <c r="DC204" s="21" t="n"/>
      <c r="DD204" s="27">
        <f>SUM(DB204:DC204)</f>
        <v/>
      </c>
      <c r="DE204" s="28" t="n"/>
      <c r="DF204" s="31" t="n"/>
      <c r="DG204" s="29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34">
        <f>SUM(O204,U204,AA204,AG204,AM204,AS204,AY204,BE204,BK204,BQ204,BW204,CC204,CI204,CO204,CU204,DA204,DG204)</f>
        <v/>
      </c>
      <c r="DI204" s="39">
        <f>RANK(DH204,DH$4:DH$503)</f>
        <v/>
      </c>
      <c r="DJ204" s="40" t="inlineStr">
        <is>
          <t>CHOOSE RATING</t>
        </is>
      </c>
      <c r="DK204" s="40" t="inlineStr">
        <is>
          <t>CHOOSE RATING</t>
        </is>
      </c>
      <c r="DL204" s="40" t="inlineStr">
        <is>
          <t>CHOOSE RATING</t>
        </is>
      </c>
      <c r="DM204" s="40" t="inlineStr">
        <is>
          <t>CHOOSE RATING</t>
        </is>
      </c>
      <c r="DN204" s="40" t="inlineStr">
        <is>
          <t>CHOOSE RATING</t>
        </is>
      </c>
      <c r="DO204" s="40" t="inlineStr">
        <is>
          <t>CHOOSE RATING</t>
        </is>
      </c>
      <c r="DP204" s="40" t="inlineStr">
        <is>
          <t>CHOOSE RATING</t>
        </is>
      </c>
      <c r="DQ204" s="40" t="inlineStr">
        <is>
          <t>CHOOSE RATING</t>
        </is>
      </c>
      <c r="DR204" s="43" t="inlineStr">
        <is>
          <t>2024/2025</t>
        </is>
      </c>
      <c r="DS204" s="45" t="inlineStr">
        <is>
          <t>THIRD</t>
        </is>
      </c>
      <c r="DT204" s="40" t="inlineStr">
        <is>
          <t>CHOOSE RATING</t>
        </is>
      </c>
      <c r="DU204" s="40" t="inlineStr">
        <is>
          <t>CHOOSE RATING</t>
        </is>
      </c>
      <c r="DV204" s="40" t="inlineStr">
        <is>
          <t>CHOOSE RATING</t>
        </is>
      </c>
      <c r="DW204" s="40" t="inlineStr">
        <is>
          <t>CHOOSE RATING</t>
        </is>
      </c>
      <c r="DX204" s="40" t="inlineStr">
        <is>
          <t>CHOOSE RATING</t>
        </is>
      </c>
      <c r="DY204" s="40" t="inlineStr">
        <is>
          <t>CHOOSE RATING</t>
        </is>
      </c>
      <c r="DZ204" s="53" t="inlineStr">
        <is>
          <t>CHOOSE RATING</t>
        </is>
      </c>
      <c r="EA204" s="54" t="inlineStr">
        <is>
          <t>Add the Tutor's Comment . . .</t>
        </is>
      </c>
      <c r="EB204" s="55" t="inlineStr">
        <is>
          <t>Choose Principals comment</t>
        </is>
      </c>
      <c r="EC204" s="56" t="n"/>
      <c r="ED204" s="57" t="inlineStr">
        <is>
          <t>Next Term Begins on Monday, 22nd September, 2025</t>
        </is>
      </c>
    </row>
    <row r="205" ht="30.6" customHeight="1" s="6">
      <c r="A205" s="18" t="n">
        <v>202</v>
      </c>
      <c r="B205" s="19" t="n"/>
      <c r="C205" s="20" t="n"/>
      <c r="D205" s="128" t="n"/>
      <c r="E205" s="21" t="n"/>
      <c r="F205" s="22" t="n"/>
      <c r="G205" s="22" t="n"/>
      <c r="H205" s="22" t="n"/>
      <c r="I205" s="26">
        <f>G205-H205</f>
        <v/>
      </c>
      <c r="J205" s="21" t="n"/>
      <c r="K205" s="21" t="n"/>
      <c r="L205" s="27">
        <f>SUM(J205:K205)</f>
        <v/>
      </c>
      <c r="M205" s="28" t="n"/>
      <c r="N205" s="28" t="n"/>
      <c r="O205" s="29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1" t="n"/>
      <c r="Q205" s="21" t="n"/>
      <c r="R205" s="27">
        <f>SUM(P205:Q205)</f>
        <v/>
      </c>
      <c r="S205" s="28" t="n"/>
      <c r="T205" s="28" t="n"/>
      <c r="U205" s="29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1" t="n"/>
      <c r="W205" s="21" t="n"/>
      <c r="X205" s="27">
        <f>SUM(V205:W205)</f>
        <v/>
      </c>
      <c r="Y205" s="28" t="n"/>
      <c r="Z205" s="28" t="n"/>
      <c r="AA205" s="29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1" t="n"/>
      <c r="AC205" s="21" t="n"/>
      <c r="AD205" s="27">
        <f>SUM(AB205:AC205)</f>
        <v/>
      </c>
      <c r="AE205" s="28" t="n"/>
      <c r="AF205" s="28" t="n"/>
      <c r="AG205" s="29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1" t="n"/>
      <c r="AI205" s="21" t="n"/>
      <c r="AJ205" s="27">
        <f>SUM(AH205:AI205)</f>
        <v/>
      </c>
      <c r="AK205" s="28" t="n"/>
      <c r="AL205" s="28" t="n"/>
      <c r="AM205" s="29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1" t="n"/>
      <c r="AO205" s="21" t="n"/>
      <c r="AP205" s="27">
        <f>SUM(AN205:AO205)</f>
        <v/>
      </c>
      <c r="AQ205" s="28" t="n"/>
      <c r="AR205" s="30" t="n"/>
      <c r="AS205" s="29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1" t="n"/>
      <c r="AU205" s="21" t="n"/>
      <c r="AV205" s="27">
        <f>SUM(AT205:AU205)</f>
        <v/>
      </c>
      <c r="AW205" s="28" t="n"/>
      <c r="AX205" s="30" t="n"/>
      <c r="AY205" s="29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1" t="n"/>
      <c r="BA205" s="21" t="n"/>
      <c r="BB205" s="27">
        <f>SUM(AZ205:BA205)</f>
        <v/>
      </c>
      <c r="BC205" s="28" t="n"/>
      <c r="BD205" s="28" t="n"/>
      <c r="BE205" s="29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1" t="n"/>
      <c r="BG205" s="21" t="n"/>
      <c r="BH205" s="27">
        <f>SUM(BF205:BG205)</f>
        <v/>
      </c>
      <c r="BI205" s="28" t="n"/>
      <c r="BJ205" s="28" t="n"/>
      <c r="BK205" s="29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1" t="n"/>
      <c r="BM205" s="21" t="n"/>
      <c r="BN205" s="27">
        <f>SUM(BL205:BM205)</f>
        <v/>
      </c>
      <c r="BO205" s="28" t="n"/>
      <c r="BP205" s="31" t="n"/>
      <c r="BQ205" s="29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1" t="n"/>
      <c r="BS205" s="21" t="n"/>
      <c r="BT205" s="27">
        <f>SUM(BR205:BS205)</f>
        <v/>
      </c>
      <c r="BU205" s="28" t="n"/>
      <c r="BV205" s="31" t="n"/>
      <c r="BW205" s="29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1" t="n"/>
      <c r="BY205" s="21" t="n"/>
      <c r="BZ205" s="27">
        <f>SUM(BX205:BY205)</f>
        <v/>
      </c>
      <c r="CA205" s="28" t="n"/>
      <c r="CB205" s="31" t="n"/>
      <c r="CC205" s="29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1" t="n"/>
      <c r="CE205" s="21" t="n"/>
      <c r="CF205" s="27">
        <f>SUM(CD205:CE205)</f>
        <v/>
      </c>
      <c r="CG205" s="28" t="n"/>
      <c r="CH205" s="31" t="n"/>
      <c r="CI205" s="29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1" t="n"/>
      <c r="CK205" s="21" t="n"/>
      <c r="CL205" s="27">
        <f>SUM(CJ205:CK205)</f>
        <v/>
      </c>
      <c r="CM205" s="28" t="n"/>
      <c r="CN205" s="31" t="n"/>
      <c r="CO205" s="29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1" t="n"/>
      <c r="CQ205" s="21" t="n"/>
      <c r="CR205" s="27">
        <f>SUM(CP205:CQ205)</f>
        <v/>
      </c>
      <c r="CS205" s="28" t="n"/>
      <c r="CT205" s="31" t="n"/>
      <c r="CU205" s="29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1" t="n"/>
      <c r="CW205" s="21" t="n"/>
      <c r="CX205" s="27">
        <f>SUM(CV205:CW205)</f>
        <v/>
      </c>
      <c r="CY205" s="28" t="n"/>
      <c r="CZ205" s="31" t="n"/>
      <c r="DA205" s="29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1" t="n"/>
      <c r="DC205" s="21" t="n"/>
      <c r="DD205" s="27">
        <f>SUM(DB205:DC205)</f>
        <v/>
      </c>
      <c r="DE205" s="28" t="n"/>
      <c r="DF205" s="31" t="n"/>
      <c r="DG205" s="29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34">
        <f>SUM(O205,U205,AA205,AG205,AM205,AS205,AY205,BE205,BK205,BQ205,BW205,CC205,CI205,CO205,CU205,DA205,DG205)</f>
        <v/>
      </c>
      <c r="DI205" s="39">
        <f>RANK(DH205,DH$4:DH$503)</f>
        <v/>
      </c>
      <c r="DJ205" s="40" t="inlineStr">
        <is>
          <t>CHOOSE RATING</t>
        </is>
      </c>
      <c r="DK205" s="40" t="inlineStr">
        <is>
          <t>CHOOSE RATING</t>
        </is>
      </c>
      <c r="DL205" s="40" t="inlineStr">
        <is>
          <t>CHOOSE RATING</t>
        </is>
      </c>
      <c r="DM205" s="40" t="inlineStr">
        <is>
          <t>CHOOSE RATING</t>
        </is>
      </c>
      <c r="DN205" s="40" t="inlineStr">
        <is>
          <t>CHOOSE RATING</t>
        </is>
      </c>
      <c r="DO205" s="40" t="inlineStr">
        <is>
          <t>CHOOSE RATING</t>
        </is>
      </c>
      <c r="DP205" s="40" t="inlineStr">
        <is>
          <t>CHOOSE RATING</t>
        </is>
      </c>
      <c r="DQ205" s="40" t="inlineStr">
        <is>
          <t>CHOOSE RATING</t>
        </is>
      </c>
      <c r="DR205" s="43" t="inlineStr">
        <is>
          <t>2024/2025</t>
        </is>
      </c>
      <c r="DS205" s="45" t="inlineStr">
        <is>
          <t>THIRD</t>
        </is>
      </c>
      <c r="DT205" s="40" t="inlineStr">
        <is>
          <t>CHOOSE RATING</t>
        </is>
      </c>
      <c r="DU205" s="40" t="inlineStr">
        <is>
          <t>CHOOSE RATING</t>
        </is>
      </c>
      <c r="DV205" s="40" t="inlineStr">
        <is>
          <t>CHOOSE RATING</t>
        </is>
      </c>
      <c r="DW205" s="40" t="inlineStr">
        <is>
          <t>CHOOSE RATING</t>
        </is>
      </c>
      <c r="DX205" s="40" t="inlineStr">
        <is>
          <t>CHOOSE RATING</t>
        </is>
      </c>
      <c r="DY205" s="40" t="inlineStr">
        <is>
          <t>CHOOSE RATING</t>
        </is>
      </c>
      <c r="DZ205" s="53" t="inlineStr">
        <is>
          <t>CHOOSE RATING</t>
        </is>
      </c>
      <c r="EA205" s="54" t="inlineStr">
        <is>
          <t>Add the Tutor's Comment . . .</t>
        </is>
      </c>
      <c r="EB205" s="55" t="inlineStr">
        <is>
          <t>Choose Principals comment</t>
        </is>
      </c>
      <c r="EC205" s="56" t="n"/>
      <c r="ED205" s="57" t="inlineStr">
        <is>
          <t>Next Term Begins on Monday, 22nd September, 2025</t>
        </is>
      </c>
    </row>
    <row r="206" ht="30.6" customHeight="1" s="6">
      <c r="A206" s="18" t="n">
        <v>203</v>
      </c>
      <c r="B206" s="19" t="n"/>
      <c r="C206" s="20" t="n"/>
      <c r="D206" s="128" t="n"/>
      <c r="E206" s="21" t="n"/>
      <c r="F206" s="22" t="n"/>
      <c r="G206" s="22" t="n"/>
      <c r="H206" s="22" t="n"/>
      <c r="I206" s="26">
        <f>G206-H206</f>
        <v/>
      </c>
      <c r="J206" s="21" t="n"/>
      <c r="K206" s="21" t="n"/>
      <c r="L206" s="27">
        <f>SUM(J206:K206)</f>
        <v/>
      </c>
      <c r="M206" s="28" t="n"/>
      <c r="N206" s="28" t="n"/>
      <c r="O206" s="29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1" t="n"/>
      <c r="Q206" s="21" t="n"/>
      <c r="R206" s="27">
        <f>SUM(P206:Q206)</f>
        <v/>
      </c>
      <c r="S206" s="28" t="n"/>
      <c r="T206" s="28" t="n"/>
      <c r="U206" s="29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1" t="n"/>
      <c r="W206" s="21" t="n"/>
      <c r="X206" s="27">
        <f>SUM(V206:W206)</f>
        <v/>
      </c>
      <c r="Y206" s="28" t="n"/>
      <c r="Z206" s="28" t="n"/>
      <c r="AA206" s="29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1" t="n"/>
      <c r="AC206" s="21" t="n"/>
      <c r="AD206" s="27">
        <f>SUM(AB206:AC206)</f>
        <v/>
      </c>
      <c r="AE206" s="28" t="n"/>
      <c r="AF206" s="28" t="n"/>
      <c r="AG206" s="29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1" t="n"/>
      <c r="AI206" s="21" t="n"/>
      <c r="AJ206" s="27">
        <f>SUM(AH206:AI206)</f>
        <v/>
      </c>
      <c r="AK206" s="28" t="n"/>
      <c r="AL206" s="28" t="n"/>
      <c r="AM206" s="29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1" t="n"/>
      <c r="AO206" s="21" t="n"/>
      <c r="AP206" s="27">
        <f>SUM(AN206:AO206)</f>
        <v/>
      </c>
      <c r="AQ206" s="28" t="n"/>
      <c r="AR206" s="30" t="n"/>
      <c r="AS206" s="29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1" t="n"/>
      <c r="AU206" s="21" t="n"/>
      <c r="AV206" s="27">
        <f>SUM(AT206:AU206)</f>
        <v/>
      </c>
      <c r="AW206" s="28" t="n"/>
      <c r="AX206" s="30" t="n"/>
      <c r="AY206" s="29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1" t="n"/>
      <c r="BA206" s="21" t="n"/>
      <c r="BB206" s="27">
        <f>SUM(AZ206:BA206)</f>
        <v/>
      </c>
      <c r="BC206" s="28" t="n"/>
      <c r="BD206" s="28" t="n"/>
      <c r="BE206" s="29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1" t="n"/>
      <c r="BG206" s="21" t="n"/>
      <c r="BH206" s="27">
        <f>SUM(BF206:BG206)</f>
        <v/>
      </c>
      <c r="BI206" s="28" t="n"/>
      <c r="BJ206" s="28" t="n"/>
      <c r="BK206" s="29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1" t="n"/>
      <c r="BM206" s="21" t="n"/>
      <c r="BN206" s="27">
        <f>SUM(BL206:BM206)</f>
        <v/>
      </c>
      <c r="BO206" s="28" t="n"/>
      <c r="BP206" s="31" t="n"/>
      <c r="BQ206" s="29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1" t="n"/>
      <c r="BS206" s="21" t="n"/>
      <c r="BT206" s="27">
        <f>SUM(BR206:BS206)</f>
        <v/>
      </c>
      <c r="BU206" s="28" t="n"/>
      <c r="BV206" s="31" t="n"/>
      <c r="BW206" s="29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1" t="n"/>
      <c r="BY206" s="21" t="n"/>
      <c r="BZ206" s="27">
        <f>SUM(BX206:BY206)</f>
        <v/>
      </c>
      <c r="CA206" s="28" t="n"/>
      <c r="CB206" s="31" t="n"/>
      <c r="CC206" s="29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1" t="n"/>
      <c r="CE206" s="21" t="n"/>
      <c r="CF206" s="27">
        <f>SUM(CD206:CE206)</f>
        <v/>
      </c>
      <c r="CG206" s="28" t="n"/>
      <c r="CH206" s="31" t="n"/>
      <c r="CI206" s="29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1" t="n"/>
      <c r="CK206" s="21" t="n"/>
      <c r="CL206" s="27">
        <f>SUM(CJ206:CK206)</f>
        <v/>
      </c>
      <c r="CM206" s="28" t="n"/>
      <c r="CN206" s="31" t="n"/>
      <c r="CO206" s="29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1" t="n"/>
      <c r="CQ206" s="21" t="n"/>
      <c r="CR206" s="27">
        <f>SUM(CP206:CQ206)</f>
        <v/>
      </c>
      <c r="CS206" s="28" t="n"/>
      <c r="CT206" s="31" t="n"/>
      <c r="CU206" s="29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1" t="n"/>
      <c r="CW206" s="21" t="n"/>
      <c r="CX206" s="27">
        <f>SUM(CV206:CW206)</f>
        <v/>
      </c>
      <c r="CY206" s="28" t="n"/>
      <c r="CZ206" s="31" t="n"/>
      <c r="DA206" s="29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1" t="n"/>
      <c r="DC206" s="21" t="n"/>
      <c r="DD206" s="27">
        <f>SUM(DB206:DC206)</f>
        <v/>
      </c>
      <c r="DE206" s="28" t="n"/>
      <c r="DF206" s="31" t="n"/>
      <c r="DG206" s="29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34">
        <f>SUM(O206,U206,AA206,AG206,AM206,AS206,AY206,BE206,BK206,BQ206,BW206,CC206,CI206,CO206,CU206,DA206,DG206)</f>
        <v/>
      </c>
      <c r="DI206" s="39">
        <f>RANK(DH206,DH$4:DH$503)</f>
        <v/>
      </c>
      <c r="DJ206" s="40" t="inlineStr">
        <is>
          <t>CHOOSE RATING</t>
        </is>
      </c>
      <c r="DK206" s="40" t="inlineStr">
        <is>
          <t>CHOOSE RATING</t>
        </is>
      </c>
      <c r="DL206" s="40" t="inlineStr">
        <is>
          <t>CHOOSE RATING</t>
        </is>
      </c>
      <c r="DM206" s="40" t="inlineStr">
        <is>
          <t>CHOOSE RATING</t>
        </is>
      </c>
      <c r="DN206" s="40" t="inlineStr">
        <is>
          <t>CHOOSE RATING</t>
        </is>
      </c>
      <c r="DO206" s="40" t="inlineStr">
        <is>
          <t>CHOOSE RATING</t>
        </is>
      </c>
      <c r="DP206" s="40" t="inlineStr">
        <is>
          <t>CHOOSE RATING</t>
        </is>
      </c>
      <c r="DQ206" s="40" t="inlineStr">
        <is>
          <t>CHOOSE RATING</t>
        </is>
      </c>
      <c r="DR206" s="43" t="inlineStr">
        <is>
          <t>2024/2025</t>
        </is>
      </c>
      <c r="DS206" s="45" t="inlineStr">
        <is>
          <t>THIRD</t>
        </is>
      </c>
      <c r="DT206" s="40" t="inlineStr">
        <is>
          <t>CHOOSE RATING</t>
        </is>
      </c>
      <c r="DU206" s="40" t="inlineStr">
        <is>
          <t>CHOOSE RATING</t>
        </is>
      </c>
      <c r="DV206" s="40" t="inlineStr">
        <is>
          <t>CHOOSE RATING</t>
        </is>
      </c>
      <c r="DW206" s="40" t="inlineStr">
        <is>
          <t>CHOOSE RATING</t>
        </is>
      </c>
      <c r="DX206" s="40" t="inlineStr">
        <is>
          <t>CHOOSE RATING</t>
        </is>
      </c>
      <c r="DY206" s="40" t="inlineStr">
        <is>
          <t>CHOOSE RATING</t>
        </is>
      </c>
      <c r="DZ206" s="53" t="inlineStr">
        <is>
          <t>CHOOSE RATING</t>
        </is>
      </c>
      <c r="EA206" s="54" t="inlineStr">
        <is>
          <t>Add the Tutor's Comment . . .</t>
        </is>
      </c>
      <c r="EB206" s="55" t="inlineStr">
        <is>
          <t>Choose Principals comment</t>
        </is>
      </c>
      <c r="EC206" s="56" t="n"/>
      <c r="ED206" s="57" t="inlineStr">
        <is>
          <t>Next Term Begins on Monday, 22nd September, 2025</t>
        </is>
      </c>
    </row>
    <row r="207" ht="30.6" customHeight="1" s="6">
      <c r="A207" s="18" t="n">
        <v>204</v>
      </c>
      <c r="B207" s="19" t="n"/>
      <c r="C207" s="20" t="n"/>
      <c r="D207" s="128" t="n"/>
      <c r="E207" s="21" t="n"/>
      <c r="F207" s="22" t="n"/>
      <c r="G207" s="22" t="n"/>
      <c r="H207" s="22" t="n"/>
      <c r="I207" s="26">
        <f>G207-H207</f>
        <v/>
      </c>
      <c r="J207" s="21" t="n"/>
      <c r="K207" s="21" t="n"/>
      <c r="L207" s="27">
        <f>SUM(J207:K207)</f>
        <v/>
      </c>
      <c r="M207" s="28" t="n"/>
      <c r="N207" s="28" t="n"/>
      <c r="O207" s="29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1" t="n"/>
      <c r="Q207" s="21" t="n"/>
      <c r="R207" s="27">
        <f>SUM(P207:Q207)</f>
        <v/>
      </c>
      <c r="S207" s="28" t="n"/>
      <c r="T207" s="28" t="n"/>
      <c r="U207" s="29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1" t="n"/>
      <c r="W207" s="21" t="n"/>
      <c r="X207" s="27">
        <f>SUM(V207:W207)</f>
        <v/>
      </c>
      <c r="Y207" s="28" t="n"/>
      <c r="Z207" s="28" t="n"/>
      <c r="AA207" s="29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1" t="n"/>
      <c r="AC207" s="21" t="n"/>
      <c r="AD207" s="27">
        <f>SUM(AB207:AC207)</f>
        <v/>
      </c>
      <c r="AE207" s="28" t="n"/>
      <c r="AF207" s="28" t="n"/>
      <c r="AG207" s="29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1" t="n"/>
      <c r="AI207" s="21" t="n"/>
      <c r="AJ207" s="27">
        <f>SUM(AH207:AI207)</f>
        <v/>
      </c>
      <c r="AK207" s="28" t="n"/>
      <c r="AL207" s="28" t="n"/>
      <c r="AM207" s="29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1" t="n"/>
      <c r="AO207" s="21" t="n"/>
      <c r="AP207" s="27">
        <f>SUM(AN207:AO207)</f>
        <v/>
      </c>
      <c r="AQ207" s="28" t="n"/>
      <c r="AR207" s="30" t="n"/>
      <c r="AS207" s="29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1" t="n"/>
      <c r="AU207" s="21" t="n"/>
      <c r="AV207" s="27">
        <f>SUM(AT207:AU207)</f>
        <v/>
      </c>
      <c r="AW207" s="28" t="n"/>
      <c r="AX207" s="30" t="n"/>
      <c r="AY207" s="29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1" t="n"/>
      <c r="BA207" s="21" t="n"/>
      <c r="BB207" s="27">
        <f>SUM(AZ207:BA207)</f>
        <v/>
      </c>
      <c r="BC207" s="28" t="n"/>
      <c r="BD207" s="28" t="n"/>
      <c r="BE207" s="29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1" t="n"/>
      <c r="BG207" s="21" t="n"/>
      <c r="BH207" s="27">
        <f>SUM(BF207:BG207)</f>
        <v/>
      </c>
      <c r="BI207" s="28" t="n"/>
      <c r="BJ207" s="28" t="n"/>
      <c r="BK207" s="29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1" t="n"/>
      <c r="BM207" s="21" t="n"/>
      <c r="BN207" s="27">
        <f>SUM(BL207:BM207)</f>
        <v/>
      </c>
      <c r="BO207" s="28" t="n"/>
      <c r="BP207" s="31" t="n"/>
      <c r="BQ207" s="29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1" t="n"/>
      <c r="BS207" s="21" t="n"/>
      <c r="BT207" s="27">
        <f>SUM(BR207:BS207)</f>
        <v/>
      </c>
      <c r="BU207" s="28" t="n"/>
      <c r="BV207" s="31" t="n"/>
      <c r="BW207" s="29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1" t="n"/>
      <c r="BY207" s="21" t="n"/>
      <c r="BZ207" s="27">
        <f>SUM(BX207:BY207)</f>
        <v/>
      </c>
      <c r="CA207" s="28" t="n"/>
      <c r="CB207" s="31" t="n"/>
      <c r="CC207" s="29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1" t="n"/>
      <c r="CE207" s="21" t="n"/>
      <c r="CF207" s="27">
        <f>SUM(CD207:CE207)</f>
        <v/>
      </c>
      <c r="CG207" s="28" t="n"/>
      <c r="CH207" s="31" t="n"/>
      <c r="CI207" s="29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1" t="n"/>
      <c r="CK207" s="21" t="n"/>
      <c r="CL207" s="27">
        <f>SUM(CJ207:CK207)</f>
        <v/>
      </c>
      <c r="CM207" s="28" t="n"/>
      <c r="CN207" s="31" t="n"/>
      <c r="CO207" s="29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1" t="n"/>
      <c r="CQ207" s="21" t="n"/>
      <c r="CR207" s="27">
        <f>SUM(CP207:CQ207)</f>
        <v/>
      </c>
      <c r="CS207" s="28" t="n"/>
      <c r="CT207" s="31" t="n"/>
      <c r="CU207" s="29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1" t="n"/>
      <c r="CW207" s="21" t="n"/>
      <c r="CX207" s="27">
        <f>SUM(CV207:CW207)</f>
        <v/>
      </c>
      <c r="CY207" s="28" t="n"/>
      <c r="CZ207" s="31" t="n"/>
      <c r="DA207" s="29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1" t="n"/>
      <c r="DC207" s="21" t="n"/>
      <c r="DD207" s="27">
        <f>SUM(DB207:DC207)</f>
        <v/>
      </c>
      <c r="DE207" s="28" t="n"/>
      <c r="DF207" s="31" t="n"/>
      <c r="DG207" s="29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34">
        <f>SUM(O207,U207,AA207,AG207,AM207,AS207,AY207,BE207,BK207,BQ207,BW207,CC207,CI207,CO207,CU207,DA207,DG207)</f>
        <v/>
      </c>
      <c r="DI207" s="39">
        <f>RANK(DH207,DH$4:DH$503)</f>
        <v/>
      </c>
      <c r="DJ207" s="40" t="inlineStr">
        <is>
          <t>CHOOSE RATING</t>
        </is>
      </c>
      <c r="DK207" s="40" t="inlineStr">
        <is>
          <t>CHOOSE RATING</t>
        </is>
      </c>
      <c r="DL207" s="40" t="inlineStr">
        <is>
          <t>CHOOSE RATING</t>
        </is>
      </c>
      <c r="DM207" s="40" t="inlineStr">
        <is>
          <t>CHOOSE RATING</t>
        </is>
      </c>
      <c r="DN207" s="40" t="inlineStr">
        <is>
          <t>CHOOSE RATING</t>
        </is>
      </c>
      <c r="DO207" s="40" t="inlineStr">
        <is>
          <t>CHOOSE RATING</t>
        </is>
      </c>
      <c r="DP207" s="40" t="inlineStr">
        <is>
          <t>CHOOSE RATING</t>
        </is>
      </c>
      <c r="DQ207" s="40" t="inlineStr">
        <is>
          <t>CHOOSE RATING</t>
        </is>
      </c>
      <c r="DR207" s="43" t="inlineStr">
        <is>
          <t>2024/2025</t>
        </is>
      </c>
      <c r="DS207" s="45" t="inlineStr">
        <is>
          <t>THIRD</t>
        </is>
      </c>
      <c r="DT207" s="40" t="inlineStr">
        <is>
          <t>CHOOSE RATING</t>
        </is>
      </c>
      <c r="DU207" s="40" t="inlineStr">
        <is>
          <t>CHOOSE RATING</t>
        </is>
      </c>
      <c r="DV207" s="40" t="inlineStr">
        <is>
          <t>CHOOSE RATING</t>
        </is>
      </c>
      <c r="DW207" s="40" t="inlineStr">
        <is>
          <t>CHOOSE RATING</t>
        </is>
      </c>
      <c r="DX207" s="40" t="inlineStr">
        <is>
          <t>CHOOSE RATING</t>
        </is>
      </c>
      <c r="DY207" s="40" t="inlineStr">
        <is>
          <t>CHOOSE RATING</t>
        </is>
      </c>
      <c r="DZ207" s="53" t="inlineStr">
        <is>
          <t>CHOOSE RATING</t>
        </is>
      </c>
      <c r="EA207" s="54" t="inlineStr">
        <is>
          <t>Add the Tutor's Comment . . .</t>
        </is>
      </c>
      <c r="EB207" s="55" t="inlineStr">
        <is>
          <t>Choose Principals comment</t>
        </is>
      </c>
      <c r="EC207" s="56" t="n"/>
      <c r="ED207" s="57" t="inlineStr">
        <is>
          <t>Next Term Begins on Monday, 22nd September, 2025</t>
        </is>
      </c>
    </row>
    <row r="208" ht="30.6" customHeight="1" s="6">
      <c r="A208" s="18" t="n">
        <v>205</v>
      </c>
      <c r="B208" s="19" t="n"/>
      <c r="C208" s="20" t="n"/>
      <c r="D208" s="128" t="n"/>
      <c r="E208" s="21" t="n"/>
      <c r="F208" s="22" t="n"/>
      <c r="G208" s="22" t="n"/>
      <c r="H208" s="22" t="n"/>
      <c r="I208" s="26">
        <f>G208-H208</f>
        <v/>
      </c>
      <c r="J208" s="21" t="n"/>
      <c r="K208" s="21" t="n"/>
      <c r="L208" s="27">
        <f>SUM(J208:K208)</f>
        <v/>
      </c>
      <c r="M208" s="28" t="n"/>
      <c r="N208" s="28" t="n"/>
      <c r="O208" s="29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1" t="n"/>
      <c r="Q208" s="21" t="n"/>
      <c r="R208" s="27">
        <f>SUM(P208:Q208)</f>
        <v/>
      </c>
      <c r="S208" s="28" t="n"/>
      <c r="T208" s="28" t="n"/>
      <c r="U208" s="29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1" t="n"/>
      <c r="W208" s="21" t="n"/>
      <c r="X208" s="27">
        <f>SUM(V208:W208)</f>
        <v/>
      </c>
      <c r="Y208" s="28" t="n"/>
      <c r="Z208" s="28" t="n"/>
      <c r="AA208" s="29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1" t="n"/>
      <c r="AC208" s="21" t="n"/>
      <c r="AD208" s="27">
        <f>SUM(AB208:AC208)</f>
        <v/>
      </c>
      <c r="AE208" s="28" t="n"/>
      <c r="AF208" s="28" t="n"/>
      <c r="AG208" s="29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1" t="n"/>
      <c r="AI208" s="21" t="n"/>
      <c r="AJ208" s="27">
        <f>SUM(AH208:AI208)</f>
        <v/>
      </c>
      <c r="AK208" s="28" t="n"/>
      <c r="AL208" s="28" t="n"/>
      <c r="AM208" s="29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1" t="n"/>
      <c r="AO208" s="21" t="n"/>
      <c r="AP208" s="27">
        <f>SUM(AN208:AO208)</f>
        <v/>
      </c>
      <c r="AQ208" s="28" t="n"/>
      <c r="AR208" s="30" t="n"/>
      <c r="AS208" s="29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1" t="n"/>
      <c r="AU208" s="21" t="n"/>
      <c r="AV208" s="27">
        <f>SUM(AT208:AU208)</f>
        <v/>
      </c>
      <c r="AW208" s="28" t="n"/>
      <c r="AX208" s="30" t="n"/>
      <c r="AY208" s="29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1" t="n"/>
      <c r="BA208" s="21" t="n"/>
      <c r="BB208" s="27">
        <f>SUM(AZ208:BA208)</f>
        <v/>
      </c>
      <c r="BC208" s="28" t="n"/>
      <c r="BD208" s="28" t="n"/>
      <c r="BE208" s="29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1" t="n"/>
      <c r="BG208" s="21" t="n"/>
      <c r="BH208" s="27">
        <f>SUM(BF208:BG208)</f>
        <v/>
      </c>
      <c r="BI208" s="28" t="n"/>
      <c r="BJ208" s="28" t="n"/>
      <c r="BK208" s="29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1" t="n"/>
      <c r="BM208" s="21" t="n"/>
      <c r="BN208" s="27">
        <f>SUM(BL208:BM208)</f>
        <v/>
      </c>
      <c r="BO208" s="28" t="n"/>
      <c r="BP208" s="31" t="n"/>
      <c r="BQ208" s="29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1" t="n"/>
      <c r="BS208" s="21" t="n"/>
      <c r="BT208" s="27">
        <f>SUM(BR208:BS208)</f>
        <v/>
      </c>
      <c r="BU208" s="28" t="n"/>
      <c r="BV208" s="31" t="n"/>
      <c r="BW208" s="29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1" t="n"/>
      <c r="BY208" s="21" t="n"/>
      <c r="BZ208" s="27">
        <f>SUM(BX208:BY208)</f>
        <v/>
      </c>
      <c r="CA208" s="28" t="n"/>
      <c r="CB208" s="31" t="n"/>
      <c r="CC208" s="29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1" t="n"/>
      <c r="CE208" s="21" t="n"/>
      <c r="CF208" s="27">
        <f>SUM(CD208:CE208)</f>
        <v/>
      </c>
      <c r="CG208" s="28" t="n"/>
      <c r="CH208" s="31" t="n"/>
      <c r="CI208" s="29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1" t="n"/>
      <c r="CK208" s="21" t="n"/>
      <c r="CL208" s="27">
        <f>SUM(CJ208:CK208)</f>
        <v/>
      </c>
      <c r="CM208" s="28" t="n"/>
      <c r="CN208" s="31" t="n"/>
      <c r="CO208" s="29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1" t="n"/>
      <c r="CQ208" s="21" t="n"/>
      <c r="CR208" s="27">
        <f>SUM(CP208:CQ208)</f>
        <v/>
      </c>
      <c r="CS208" s="28" t="n"/>
      <c r="CT208" s="31" t="n"/>
      <c r="CU208" s="29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1" t="n"/>
      <c r="CW208" s="21" t="n"/>
      <c r="CX208" s="27">
        <f>SUM(CV208:CW208)</f>
        <v/>
      </c>
      <c r="CY208" s="28" t="n"/>
      <c r="CZ208" s="31" t="n"/>
      <c r="DA208" s="29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1" t="n"/>
      <c r="DC208" s="21" t="n"/>
      <c r="DD208" s="27">
        <f>SUM(DB208:DC208)</f>
        <v/>
      </c>
      <c r="DE208" s="28" t="n"/>
      <c r="DF208" s="31" t="n"/>
      <c r="DG208" s="29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34">
        <f>SUM(O208,U208,AA208,AG208,AM208,AS208,AY208,BE208,BK208,BQ208,BW208,CC208,CI208,CO208,CU208,DA208,DG208)</f>
        <v/>
      </c>
      <c r="DI208" s="39">
        <f>RANK(DH208,DH$4:DH$503)</f>
        <v/>
      </c>
      <c r="DJ208" s="40" t="inlineStr">
        <is>
          <t>CHOOSE RATING</t>
        </is>
      </c>
      <c r="DK208" s="40" t="inlineStr">
        <is>
          <t>CHOOSE RATING</t>
        </is>
      </c>
      <c r="DL208" s="40" t="inlineStr">
        <is>
          <t>CHOOSE RATING</t>
        </is>
      </c>
      <c r="DM208" s="40" t="inlineStr">
        <is>
          <t>CHOOSE RATING</t>
        </is>
      </c>
      <c r="DN208" s="40" t="inlineStr">
        <is>
          <t>CHOOSE RATING</t>
        </is>
      </c>
      <c r="DO208" s="40" t="inlineStr">
        <is>
          <t>CHOOSE RATING</t>
        </is>
      </c>
      <c r="DP208" s="40" t="inlineStr">
        <is>
          <t>CHOOSE RATING</t>
        </is>
      </c>
      <c r="DQ208" s="40" t="inlineStr">
        <is>
          <t>CHOOSE RATING</t>
        </is>
      </c>
      <c r="DR208" s="43" t="inlineStr">
        <is>
          <t>2024/2025</t>
        </is>
      </c>
      <c r="DS208" s="45" t="inlineStr">
        <is>
          <t>THIRD</t>
        </is>
      </c>
      <c r="DT208" s="40" t="inlineStr">
        <is>
          <t>CHOOSE RATING</t>
        </is>
      </c>
      <c r="DU208" s="40" t="inlineStr">
        <is>
          <t>CHOOSE RATING</t>
        </is>
      </c>
      <c r="DV208" s="40" t="inlineStr">
        <is>
          <t>CHOOSE RATING</t>
        </is>
      </c>
      <c r="DW208" s="40" t="inlineStr">
        <is>
          <t>CHOOSE RATING</t>
        </is>
      </c>
      <c r="DX208" s="40" t="inlineStr">
        <is>
          <t>CHOOSE RATING</t>
        </is>
      </c>
      <c r="DY208" s="40" t="inlineStr">
        <is>
          <t>CHOOSE RATING</t>
        </is>
      </c>
      <c r="DZ208" s="53" t="inlineStr">
        <is>
          <t>CHOOSE RATING</t>
        </is>
      </c>
      <c r="EA208" s="54" t="inlineStr">
        <is>
          <t>Add the Tutor's Comment . . .</t>
        </is>
      </c>
      <c r="EB208" s="55" t="inlineStr">
        <is>
          <t>Choose Principals comment</t>
        </is>
      </c>
      <c r="EC208" s="56" t="n"/>
      <c r="ED208" s="57" t="inlineStr">
        <is>
          <t>Next Term Begins on Monday, 22nd September, 2025</t>
        </is>
      </c>
    </row>
    <row r="209" ht="30.6" customHeight="1" s="6">
      <c r="A209" s="18" t="n">
        <v>206</v>
      </c>
      <c r="B209" s="19" t="n"/>
      <c r="C209" s="20" t="n"/>
      <c r="D209" s="128" t="n"/>
      <c r="E209" s="21" t="n"/>
      <c r="F209" s="22" t="n"/>
      <c r="G209" s="22" t="n"/>
      <c r="H209" s="22" t="n"/>
      <c r="I209" s="26">
        <f>G209-H209</f>
        <v/>
      </c>
      <c r="J209" s="21" t="n"/>
      <c r="K209" s="21" t="n"/>
      <c r="L209" s="27">
        <f>SUM(J209:K209)</f>
        <v/>
      </c>
      <c r="M209" s="28" t="n"/>
      <c r="N209" s="28" t="n"/>
      <c r="O209" s="29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1" t="n"/>
      <c r="Q209" s="21" t="n"/>
      <c r="R209" s="27">
        <f>SUM(P209:Q209)</f>
        <v/>
      </c>
      <c r="S209" s="28" t="n"/>
      <c r="T209" s="28" t="n"/>
      <c r="U209" s="29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1" t="n"/>
      <c r="W209" s="21" t="n"/>
      <c r="X209" s="27">
        <f>SUM(V209:W209)</f>
        <v/>
      </c>
      <c r="Y209" s="28" t="n"/>
      <c r="Z209" s="28" t="n"/>
      <c r="AA209" s="29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1" t="n"/>
      <c r="AC209" s="21" t="n"/>
      <c r="AD209" s="27">
        <f>SUM(AB209:AC209)</f>
        <v/>
      </c>
      <c r="AE209" s="28" t="n"/>
      <c r="AF209" s="28" t="n"/>
      <c r="AG209" s="29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1" t="n"/>
      <c r="AI209" s="21" t="n"/>
      <c r="AJ209" s="27">
        <f>SUM(AH209:AI209)</f>
        <v/>
      </c>
      <c r="AK209" s="28" t="n"/>
      <c r="AL209" s="28" t="n"/>
      <c r="AM209" s="29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1" t="n"/>
      <c r="AO209" s="21" t="n"/>
      <c r="AP209" s="27">
        <f>SUM(AN209:AO209)</f>
        <v/>
      </c>
      <c r="AQ209" s="28" t="n"/>
      <c r="AR209" s="30" t="n"/>
      <c r="AS209" s="29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1" t="n"/>
      <c r="AU209" s="21" t="n"/>
      <c r="AV209" s="27">
        <f>SUM(AT209:AU209)</f>
        <v/>
      </c>
      <c r="AW209" s="28" t="n"/>
      <c r="AX209" s="30" t="n"/>
      <c r="AY209" s="29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1" t="n"/>
      <c r="BA209" s="21" t="n"/>
      <c r="BB209" s="27">
        <f>SUM(AZ209:BA209)</f>
        <v/>
      </c>
      <c r="BC209" s="28" t="n"/>
      <c r="BD209" s="28" t="n"/>
      <c r="BE209" s="29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1" t="n"/>
      <c r="BG209" s="21" t="n"/>
      <c r="BH209" s="27">
        <f>SUM(BF209:BG209)</f>
        <v/>
      </c>
      <c r="BI209" s="28" t="n"/>
      <c r="BJ209" s="28" t="n"/>
      <c r="BK209" s="29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1" t="n"/>
      <c r="BM209" s="21" t="n"/>
      <c r="BN209" s="27">
        <f>SUM(BL209:BM209)</f>
        <v/>
      </c>
      <c r="BO209" s="28" t="n"/>
      <c r="BP209" s="31" t="n"/>
      <c r="BQ209" s="29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1" t="n"/>
      <c r="BS209" s="21" t="n"/>
      <c r="BT209" s="27">
        <f>SUM(BR209:BS209)</f>
        <v/>
      </c>
      <c r="BU209" s="28" t="n"/>
      <c r="BV209" s="31" t="n"/>
      <c r="BW209" s="29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1" t="n"/>
      <c r="BY209" s="21" t="n"/>
      <c r="BZ209" s="27">
        <f>SUM(BX209:BY209)</f>
        <v/>
      </c>
      <c r="CA209" s="28" t="n"/>
      <c r="CB209" s="31" t="n"/>
      <c r="CC209" s="29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1" t="n"/>
      <c r="CE209" s="21" t="n"/>
      <c r="CF209" s="27">
        <f>SUM(CD209:CE209)</f>
        <v/>
      </c>
      <c r="CG209" s="28" t="n"/>
      <c r="CH209" s="31" t="n"/>
      <c r="CI209" s="29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1" t="n"/>
      <c r="CK209" s="21" t="n"/>
      <c r="CL209" s="27">
        <f>SUM(CJ209:CK209)</f>
        <v/>
      </c>
      <c r="CM209" s="28" t="n"/>
      <c r="CN209" s="31" t="n"/>
      <c r="CO209" s="29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1" t="n"/>
      <c r="CQ209" s="21" t="n"/>
      <c r="CR209" s="27">
        <f>SUM(CP209:CQ209)</f>
        <v/>
      </c>
      <c r="CS209" s="28" t="n"/>
      <c r="CT209" s="31" t="n"/>
      <c r="CU209" s="29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1" t="n"/>
      <c r="CW209" s="21" t="n"/>
      <c r="CX209" s="27">
        <f>SUM(CV209:CW209)</f>
        <v/>
      </c>
      <c r="CY209" s="28" t="n"/>
      <c r="CZ209" s="31" t="n"/>
      <c r="DA209" s="29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1" t="n"/>
      <c r="DC209" s="21" t="n"/>
      <c r="DD209" s="27">
        <f>SUM(DB209:DC209)</f>
        <v/>
      </c>
      <c r="DE209" s="28" t="n"/>
      <c r="DF209" s="31" t="n"/>
      <c r="DG209" s="29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34">
        <f>SUM(O209,U209,AA209,AG209,AM209,AS209,AY209,BE209,BK209,BQ209,BW209,CC209,CI209,CO209,CU209,DA209,DG209)</f>
        <v/>
      </c>
      <c r="DI209" s="39">
        <f>RANK(DH209,DH$4:DH$503)</f>
        <v/>
      </c>
      <c r="DJ209" s="40" t="inlineStr">
        <is>
          <t>CHOOSE RATING</t>
        </is>
      </c>
      <c r="DK209" s="40" t="inlineStr">
        <is>
          <t>CHOOSE RATING</t>
        </is>
      </c>
      <c r="DL209" s="40" t="inlineStr">
        <is>
          <t>CHOOSE RATING</t>
        </is>
      </c>
      <c r="DM209" s="40" t="inlineStr">
        <is>
          <t>CHOOSE RATING</t>
        </is>
      </c>
      <c r="DN209" s="40" t="inlineStr">
        <is>
          <t>CHOOSE RATING</t>
        </is>
      </c>
      <c r="DO209" s="40" t="inlineStr">
        <is>
          <t>CHOOSE RATING</t>
        </is>
      </c>
      <c r="DP209" s="40" t="inlineStr">
        <is>
          <t>CHOOSE RATING</t>
        </is>
      </c>
      <c r="DQ209" s="40" t="inlineStr">
        <is>
          <t>CHOOSE RATING</t>
        </is>
      </c>
      <c r="DR209" s="43" t="inlineStr">
        <is>
          <t>2024/2025</t>
        </is>
      </c>
      <c r="DS209" s="45" t="inlineStr">
        <is>
          <t>THIRD</t>
        </is>
      </c>
      <c r="DT209" s="40" t="inlineStr">
        <is>
          <t>CHOOSE RATING</t>
        </is>
      </c>
      <c r="DU209" s="40" t="inlineStr">
        <is>
          <t>CHOOSE RATING</t>
        </is>
      </c>
      <c r="DV209" s="40" t="inlineStr">
        <is>
          <t>CHOOSE RATING</t>
        </is>
      </c>
      <c r="DW209" s="40" t="inlineStr">
        <is>
          <t>CHOOSE RATING</t>
        </is>
      </c>
      <c r="DX209" s="40" t="inlineStr">
        <is>
          <t>CHOOSE RATING</t>
        </is>
      </c>
      <c r="DY209" s="40" t="inlineStr">
        <is>
          <t>CHOOSE RATING</t>
        </is>
      </c>
      <c r="DZ209" s="53" t="inlineStr">
        <is>
          <t>CHOOSE RATING</t>
        </is>
      </c>
      <c r="EA209" s="54" t="inlineStr">
        <is>
          <t>Add the Tutor's Comment . . .</t>
        </is>
      </c>
      <c r="EB209" s="55" t="inlineStr">
        <is>
          <t>Choose Principals comment</t>
        </is>
      </c>
      <c r="EC209" s="56" t="n"/>
      <c r="ED209" s="57" t="inlineStr">
        <is>
          <t>Next Term Begins on Monday, 22nd September, 2025</t>
        </is>
      </c>
    </row>
    <row r="210" ht="30.6" customHeight="1" s="6">
      <c r="A210" s="18" t="n">
        <v>207</v>
      </c>
      <c r="B210" s="19" t="n"/>
      <c r="C210" s="20" t="n"/>
      <c r="D210" s="128" t="n"/>
      <c r="E210" s="21" t="n"/>
      <c r="F210" s="22" t="n"/>
      <c r="G210" s="22" t="n"/>
      <c r="H210" s="22" t="n"/>
      <c r="I210" s="26">
        <f>G210-H210</f>
        <v/>
      </c>
      <c r="J210" s="21" t="n"/>
      <c r="K210" s="21" t="n"/>
      <c r="L210" s="27">
        <f>SUM(J210:K210)</f>
        <v/>
      </c>
      <c r="M210" s="28" t="n"/>
      <c r="N210" s="28" t="n"/>
      <c r="O210" s="29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1" t="n"/>
      <c r="Q210" s="21" t="n"/>
      <c r="R210" s="27">
        <f>SUM(P210:Q210)</f>
        <v/>
      </c>
      <c r="S210" s="28" t="n"/>
      <c r="T210" s="28" t="n"/>
      <c r="U210" s="29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1" t="n"/>
      <c r="W210" s="21" t="n"/>
      <c r="X210" s="27">
        <f>SUM(V210:W210)</f>
        <v/>
      </c>
      <c r="Y210" s="28" t="n"/>
      <c r="Z210" s="28" t="n"/>
      <c r="AA210" s="29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1" t="n"/>
      <c r="AC210" s="21" t="n"/>
      <c r="AD210" s="27">
        <f>SUM(AB210:AC210)</f>
        <v/>
      </c>
      <c r="AE210" s="28" t="n"/>
      <c r="AF210" s="28" t="n"/>
      <c r="AG210" s="29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1" t="n"/>
      <c r="AI210" s="21" t="n"/>
      <c r="AJ210" s="27">
        <f>SUM(AH210:AI210)</f>
        <v/>
      </c>
      <c r="AK210" s="28" t="n"/>
      <c r="AL210" s="28" t="n"/>
      <c r="AM210" s="29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1" t="n"/>
      <c r="AO210" s="21" t="n"/>
      <c r="AP210" s="27">
        <f>SUM(AN210:AO210)</f>
        <v/>
      </c>
      <c r="AQ210" s="28" t="n"/>
      <c r="AR210" s="30" t="n"/>
      <c r="AS210" s="29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1" t="n"/>
      <c r="AU210" s="21" t="n"/>
      <c r="AV210" s="27">
        <f>SUM(AT210:AU210)</f>
        <v/>
      </c>
      <c r="AW210" s="28" t="n"/>
      <c r="AX210" s="30" t="n"/>
      <c r="AY210" s="29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1" t="n"/>
      <c r="BA210" s="21" t="n"/>
      <c r="BB210" s="27">
        <f>SUM(AZ210:BA210)</f>
        <v/>
      </c>
      <c r="BC210" s="28" t="n"/>
      <c r="BD210" s="28" t="n"/>
      <c r="BE210" s="29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1" t="n"/>
      <c r="BG210" s="21" t="n"/>
      <c r="BH210" s="27">
        <f>SUM(BF210:BG210)</f>
        <v/>
      </c>
      <c r="BI210" s="28" t="n"/>
      <c r="BJ210" s="28" t="n"/>
      <c r="BK210" s="29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1" t="n"/>
      <c r="BM210" s="21" t="n"/>
      <c r="BN210" s="27">
        <f>SUM(BL210:BM210)</f>
        <v/>
      </c>
      <c r="BO210" s="28" t="n"/>
      <c r="BP210" s="31" t="n"/>
      <c r="BQ210" s="29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1" t="n"/>
      <c r="BS210" s="21" t="n"/>
      <c r="BT210" s="27">
        <f>SUM(BR210:BS210)</f>
        <v/>
      </c>
      <c r="BU210" s="28" t="n"/>
      <c r="BV210" s="31" t="n"/>
      <c r="BW210" s="29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1" t="n"/>
      <c r="BY210" s="21" t="n"/>
      <c r="BZ210" s="27">
        <f>SUM(BX210:BY210)</f>
        <v/>
      </c>
      <c r="CA210" s="28" t="n"/>
      <c r="CB210" s="31" t="n"/>
      <c r="CC210" s="29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1" t="n"/>
      <c r="CE210" s="21" t="n"/>
      <c r="CF210" s="27">
        <f>SUM(CD210:CE210)</f>
        <v/>
      </c>
      <c r="CG210" s="28" t="n"/>
      <c r="CH210" s="31" t="n"/>
      <c r="CI210" s="29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1" t="n"/>
      <c r="CK210" s="21" t="n"/>
      <c r="CL210" s="27">
        <f>SUM(CJ210:CK210)</f>
        <v/>
      </c>
      <c r="CM210" s="28" t="n"/>
      <c r="CN210" s="31" t="n"/>
      <c r="CO210" s="29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1" t="n"/>
      <c r="CQ210" s="21" t="n"/>
      <c r="CR210" s="27">
        <f>SUM(CP210:CQ210)</f>
        <v/>
      </c>
      <c r="CS210" s="28" t="n"/>
      <c r="CT210" s="31" t="n"/>
      <c r="CU210" s="29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1" t="n"/>
      <c r="CW210" s="21" t="n"/>
      <c r="CX210" s="27">
        <f>SUM(CV210:CW210)</f>
        <v/>
      </c>
      <c r="CY210" s="28" t="n"/>
      <c r="CZ210" s="31" t="n"/>
      <c r="DA210" s="29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1" t="n"/>
      <c r="DC210" s="21" t="n"/>
      <c r="DD210" s="27">
        <f>SUM(DB210:DC210)</f>
        <v/>
      </c>
      <c r="DE210" s="28" t="n"/>
      <c r="DF210" s="31" t="n"/>
      <c r="DG210" s="29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34">
        <f>SUM(O210,U210,AA210,AG210,AM210,AS210,AY210,BE210,BK210,BQ210,BW210,CC210,CI210,CO210,CU210,DA210,DG210)</f>
        <v/>
      </c>
      <c r="DI210" s="39">
        <f>RANK(DH210,DH$4:DH$503)</f>
        <v/>
      </c>
      <c r="DJ210" s="40" t="inlineStr">
        <is>
          <t>CHOOSE RATING</t>
        </is>
      </c>
      <c r="DK210" s="40" t="inlineStr">
        <is>
          <t>CHOOSE RATING</t>
        </is>
      </c>
      <c r="DL210" s="40" t="inlineStr">
        <is>
          <t>CHOOSE RATING</t>
        </is>
      </c>
      <c r="DM210" s="40" t="inlineStr">
        <is>
          <t>CHOOSE RATING</t>
        </is>
      </c>
      <c r="DN210" s="40" t="inlineStr">
        <is>
          <t>CHOOSE RATING</t>
        </is>
      </c>
      <c r="DO210" s="40" t="inlineStr">
        <is>
          <t>CHOOSE RATING</t>
        </is>
      </c>
      <c r="DP210" s="40" t="inlineStr">
        <is>
          <t>CHOOSE RATING</t>
        </is>
      </c>
      <c r="DQ210" s="40" t="inlineStr">
        <is>
          <t>CHOOSE RATING</t>
        </is>
      </c>
      <c r="DR210" s="43" t="inlineStr">
        <is>
          <t>2024/2025</t>
        </is>
      </c>
      <c r="DS210" s="45" t="inlineStr">
        <is>
          <t>THIRD</t>
        </is>
      </c>
      <c r="DT210" s="40" t="inlineStr">
        <is>
          <t>CHOOSE RATING</t>
        </is>
      </c>
      <c r="DU210" s="40" t="inlineStr">
        <is>
          <t>CHOOSE RATING</t>
        </is>
      </c>
      <c r="DV210" s="40" t="inlineStr">
        <is>
          <t>CHOOSE RATING</t>
        </is>
      </c>
      <c r="DW210" s="40" t="inlineStr">
        <is>
          <t>CHOOSE RATING</t>
        </is>
      </c>
      <c r="DX210" s="40" t="inlineStr">
        <is>
          <t>CHOOSE RATING</t>
        </is>
      </c>
      <c r="DY210" s="40" t="inlineStr">
        <is>
          <t>CHOOSE RATING</t>
        </is>
      </c>
      <c r="DZ210" s="53" t="inlineStr">
        <is>
          <t>CHOOSE RATING</t>
        </is>
      </c>
      <c r="EA210" s="54" t="inlineStr">
        <is>
          <t>Add the Tutor's Comment . . .</t>
        </is>
      </c>
      <c r="EB210" s="55" t="inlineStr">
        <is>
          <t>Choose Principals comment</t>
        </is>
      </c>
      <c r="EC210" s="56" t="n"/>
      <c r="ED210" s="57" t="inlineStr">
        <is>
          <t>Next Term Begins on Monday, 22nd September, 2025</t>
        </is>
      </c>
    </row>
    <row r="211" ht="30.6" customHeight="1" s="6">
      <c r="A211" s="18" t="n">
        <v>208</v>
      </c>
      <c r="B211" s="19" t="n"/>
      <c r="C211" s="20" t="n"/>
      <c r="D211" s="128" t="n"/>
      <c r="E211" s="21" t="n"/>
      <c r="F211" s="22" t="n"/>
      <c r="G211" s="22" t="n"/>
      <c r="H211" s="22" t="n"/>
      <c r="I211" s="26">
        <f>G211-H211</f>
        <v/>
      </c>
      <c r="J211" s="21" t="n"/>
      <c r="K211" s="21" t="n"/>
      <c r="L211" s="27">
        <f>SUM(J211:K211)</f>
        <v/>
      </c>
      <c r="M211" s="28" t="n"/>
      <c r="N211" s="28" t="n"/>
      <c r="O211" s="29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1" t="n"/>
      <c r="Q211" s="21" t="n"/>
      <c r="R211" s="27">
        <f>SUM(P211:Q211)</f>
        <v/>
      </c>
      <c r="S211" s="28" t="n"/>
      <c r="T211" s="28" t="n"/>
      <c r="U211" s="29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1" t="n"/>
      <c r="W211" s="21" t="n"/>
      <c r="X211" s="27">
        <f>SUM(V211:W211)</f>
        <v/>
      </c>
      <c r="Y211" s="28" t="n"/>
      <c r="Z211" s="28" t="n"/>
      <c r="AA211" s="29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1" t="n"/>
      <c r="AC211" s="21" t="n"/>
      <c r="AD211" s="27">
        <f>SUM(AB211:AC211)</f>
        <v/>
      </c>
      <c r="AE211" s="28" t="n"/>
      <c r="AF211" s="28" t="n"/>
      <c r="AG211" s="29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1" t="n"/>
      <c r="AI211" s="21" t="n"/>
      <c r="AJ211" s="27">
        <f>SUM(AH211:AI211)</f>
        <v/>
      </c>
      <c r="AK211" s="28" t="n"/>
      <c r="AL211" s="28" t="n"/>
      <c r="AM211" s="29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1" t="n"/>
      <c r="AO211" s="21" t="n"/>
      <c r="AP211" s="27">
        <f>SUM(AN211:AO211)</f>
        <v/>
      </c>
      <c r="AQ211" s="28" t="n"/>
      <c r="AR211" s="30" t="n"/>
      <c r="AS211" s="29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1" t="n"/>
      <c r="AU211" s="21" t="n"/>
      <c r="AV211" s="27">
        <f>SUM(AT211:AU211)</f>
        <v/>
      </c>
      <c r="AW211" s="28" t="n"/>
      <c r="AX211" s="30" t="n"/>
      <c r="AY211" s="29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1" t="n"/>
      <c r="BA211" s="21" t="n"/>
      <c r="BB211" s="27">
        <f>SUM(AZ211:BA211)</f>
        <v/>
      </c>
      <c r="BC211" s="28" t="n"/>
      <c r="BD211" s="28" t="n"/>
      <c r="BE211" s="29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1" t="n"/>
      <c r="BG211" s="21" t="n"/>
      <c r="BH211" s="27">
        <f>SUM(BF211:BG211)</f>
        <v/>
      </c>
      <c r="BI211" s="28" t="n"/>
      <c r="BJ211" s="28" t="n"/>
      <c r="BK211" s="29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1" t="n"/>
      <c r="BM211" s="21" t="n"/>
      <c r="BN211" s="27">
        <f>SUM(BL211:BM211)</f>
        <v/>
      </c>
      <c r="BO211" s="28" t="n"/>
      <c r="BP211" s="31" t="n"/>
      <c r="BQ211" s="29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1" t="n"/>
      <c r="BS211" s="21" t="n"/>
      <c r="BT211" s="27">
        <f>SUM(BR211:BS211)</f>
        <v/>
      </c>
      <c r="BU211" s="28" t="n"/>
      <c r="BV211" s="31" t="n"/>
      <c r="BW211" s="29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1" t="n"/>
      <c r="BY211" s="21" t="n"/>
      <c r="BZ211" s="27">
        <f>SUM(BX211:BY211)</f>
        <v/>
      </c>
      <c r="CA211" s="28" t="n"/>
      <c r="CB211" s="31" t="n"/>
      <c r="CC211" s="29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1" t="n"/>
      <c r="CE211" s="21" t="n"/>
      <c r="CF211" s="27">
        <f>SUM(CD211:CE211)</f>
        <v/>
      </c>
      <c r="CG211" s="28" t="n"/>
      <c r="CH211" s="31" t="n"/>
      <c r="CI211" s="29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1" t="n"/>
      <c r="CK211" s="21" t="n"/>
      <c r="CL211" s="27">
        <f>SUM(CJ211:CK211)</f>
        <v/>
      </c>
      <c r="CM211" s="28" t="n"/>
      <c r="CN211" s="31" t="n"/>
      <c r="CO211" s="29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1" t="n"/>
      <c r="CQ211" s="21" t="n"/>
      <c r="CR211" s="27">
        <f>SUM(CP211:CQ211)</f>
        <v/>
      </c>
      <c r="CS211" s="28" t="n"/>
      <c r="CT211" s="31" t="n"/>
      <c r="CU211" s="29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1" t="n"/>
      <c r="CW211" s="21" t="n"/>
      <c r="CX211" s="27">
        <f>SUM(CV211:CW211)</f>
        <v/>
      </c>
      <c r="CY211" s="28" t="n"/>
      <c r="CZ211" s="31" t="n"/>
      <c r="DA211" s="29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1" t="n"/>
      <c r="DC211" s="21" t="n"/>
      <c r="DD211" s="27">
        <f>SUM(DB211:DC211)</f>
        <v/>
      </c>
      <c r="DE211" s="28" t="n"/>
      <c r="DF211" s="31" t="n"/>
      <c r="DG211" s="29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34">
        <f>SUM(O211,U211,AA211,AG211,AM211,AS211,AY211,BE211,BK211,BQ211,BW211,CC211,CI211,CO211,CU211,DA211,DG211)</f>
        <v/>
      </c>
      <c r="DI211" s="39">
        <f>RANK(DH211,DH$4:DH$503)</f>
        <v/>
      </c>
      <c r="DJ211" s="40" t="inlineStr">
        <is>
          <t>CHOOSE RATING</t>
        </is>
      </c>
      <c r="DK211" s="40" t="inlineStr">
        <is>
          <t>CHOOSE RATING</t>
        </is>
      </c>
      <c r="DL211" s="40" t="inlineStr">
        <is>
          <t>CHOOSE RATING</t>
        </is>
      </c>
      <c r="DM211" s="40" t="inlineStr">
        <is>
          <t>CHOOSE RATING</t>
        </is>
      </c>
      <c r="DN211" s="40" t="inlineStr">
        <is>
          <t>CHOOSE RATING</t>
        </is>
      </c>
      <c r="DO211" s="40" t="inlineStr">
        <is>
          <t>CHOOSE RATING</t>
        </is>
      </c>
      <c r="DP211" s="40" t="inlineStr">
        <is>
          <t>CHOOSE RATING</t>
        </is>
      </c>
      <c r="DQ211" s="40" t="inlineStr">
        <is>
          <t>CHOOSE RATING</t>
        </is>
      </c>
      <c r="DR211" s="43" t="inlineStr">
        <is>
          <t>2024/2025</t>
        </is>
      </c>
      <c r="DS211" s="45" t="inlineStr">
        <is>
          <t>THIRD</t>
        </is>
      </c>
      <c r="DT211" s="40" t="inlineStr">
        <is>
          <t>CHOOSE RATING</t>
        </is>
      </c>
      <c r="DU211" s="40" t="inlineStr">
        <is>
          <t>CHOOSE RATING</t>
        </is>
      </c>
      <c r="DV211" s="40" t="inlineStr">
        <is>
          <t>CHOOSE RATING</t>
        </is>
      </c>
      <c r="DW211" s="40" t="inlineStr">
        <is>
          <t>CHOOSE RATING</t>
        </is>
      </c>
      <c r="DX211" s="40" t="inlineStr">
        <is>
          <t>CHOOSE RATING</t>
        </is>
      </c>
      <c r="DY211" s="40" t="inlineStr">
        <is>
          <t>CHOOSE RATING</t>
        </is>
      </c>
      <c r="DZ211" s="53" t="inlineStr">
        <is>
          <t>CHOOSE RATING</t>
        </is>
      </c>
      <c r="EA211" s="54" t="inlineStr">
        <is>
          <t>Add the Tutor's Comment . . .</t>
        </is>
      </c>
      <c r="EB211" s="55" t="inlineStr">
        <is>
          <t>Choose Principals comment</t>
        </is>
      </c>
      <c r="EC211" s="56" t="n"/>
      <c r="ED211" s="57" t="inlineStr">
        <is>
          <t>Next Term Begins on Monday, 22nd September, 2025</t>
        </is>
      </c>
    </row>
    <row r="212" ht="30.6" customHeight="1" s="6">
      <c r="A212" s="18" t="n">
        <v>209</v>
      </c>
      <c r="B212" s="19" t="n"/>
      <c r="C212" s="20" t="n"/>
      <c r="D212" s="128" t="n"/>
      <c r="E212" s="21" t="n"/>
      <c r="F212" s="22" t="n"/>
      <c r="G212" s="22" t="n"/>
      <c r="H212" s="22" t="n"/>
      <c r="I212" s="26">
        <f>G212-H212</f>
        <v/>
      </c>
      <c r="J212" s="21" t="n"/>
      <c r="K212" s="21" t="n"/>
      <c r="L212" s="27">
        <f>SUM(J212:K212)</f>
        <v/>
      </c>
      <c r="M212" s="28" t="n"/>
      <c r="N212" s="28" t="n"/>
      <c r="O212" s="29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1" t="n"/>
      <c r="Q212" s="21" t="n"/>
      <c r="R212" s="27">
        <f>SUM(P212:Q212)</f>
        <v/>
      </c>
      <c r="S212" s="28" t="n"/>
      <c r="T212" s="28" t="n"/>
      <c r="U212" s="29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1" t="n"/>
      <c r="W212" s="21" t="n"/>
      <c r="X212" s="27">
        <f>SUM(V212:W212)</f>
        <v/>
      </c>
      <c r="Y212" s="28" t="n"/>
      <c r="Z212" s="28" t="n"/>
      <c r="AA212" s="29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1" t="n"/>
      <c r="AC212" s="21" t="n"/>
      <c r="AD212" s="27">
        <f>SUM(AB212:AC212)</f>
        <v/>
      </c>
      <c r="AE212" s="28" t="n"/>
      <c r="AF212" s="28" t="n"/>
      <c r="AG212" s="29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1" t="n"/>
      <c r="AI212" s="21" t="n"/>
      <c r="AJ212" s="27">
        <f>SUM(AH212:AI212)</f>
        <v/>
      </c>
      <c r="AK212" s="28" t="n"/>
      <c r="AL212" s="28" t="n"/>
      <c r="AM212" s="29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1" t="n"/>
      <c r="AO212" s="21" t="n"/>
      <c r="AP212" s="27">
        <f>SUM(AN212:AO212)</f>
        <v/>
      </c>
      <c r="AQ212" s="28" t="n"/>
      <c r="AR212" s="30" t="n"/>
      <c r="AS212" s="29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1" t="n"/>
      <c r="AU212" s="21" t="n"/>
      <c r="AV212" s="27">
        <f>SUM(AT212:AU212)</f>
        <v/>
      </c>
      <c r="AW212" s="28" t="n"/>
      <c r="AX212" s="30" t="n"/>
      <c r="AY212" s="29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1" t="n"/>
      <c r="BA212" s="21" t="n"/>
      <c r="BB212" s="27">
        <f>SUM(AZ212:BA212)</f>
        <v/>
      </c>
      <c r="BC212" s="28" t="n"/>
      <c r="BD212" s="28" t="n"/>
      <c r="BE212" s="29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1" t="n"/>
      <c r="BG212" s="21" t="n"/>
      <c r="BH212" s="27">
        <f>SUM(BF212:BG212)</f>
        <v/>
      </c>
      <c r="BI212" s="28" t="n"/>
      <c r="BJ212" s="28" t="n"/>
      <c r="BK212" s="29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1" t="n"/>
      <c r="BM212" s="21" t="n"/>
      <c r="BN212" s="27">
        <f>SUM(BL212:BM212)</f>
        <v/>
      </c>
      <c r="BO212" s="28" t="n"/>
      <c r="BP212" s="31" t="n"/>
      <c r="BQ212" s="29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1" t="n"/>
      <c r="BS212" s="21" t="n"/>
      <c r="BT212" s="27">
        <f>SUM(BR212:BS212)</f>
        <v/>
      </c>
      <c r="BU212" s="28" t="n"/>
      <c r="BV212" s="31" t="n"/>
      <c r="BW212" s="29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1" t="n"/>
      <c r="BY212" s="21" t="n"/>
      <c r="BZ212" s="27">
        <f>SUM(BX212:BY212)</f>
        <v/>
      </c>
      <c r="CA212" s="28" t="n"/>
      <c r="CB212" s="31" t="n"/>
      <c r="CC212" s="29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1" t="n"/>
      <c r="CE212" s="21" t="n"/>
      <c r="CF212" s="27">
        <f>SUM(CD212:CE212)</f>
        <v/>
      </c>
      <c r="CG212" s="28" t="n"/>
      <c r="CH212" s="31" t="n"/>
      <c r="CI212" s="29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1" t="n"/>
      <c r="CK212" s="21" t="n"/>
      <c r="CL212" s="27">
        <f>SUM(CJ212:CK212)</f>
        <v/>
      </c>
      <c r="CM212" s="28" t="n"/>
      <c r="CN212" s="31" t="n"/>
      <c r="CO212" s="29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1" t="n"/>
      <c r="CQ212" s="21" t="n"/>
      <c r="CR212" s="27">
        <f>SUM(CP212:CQ212)</f>
        <v/>
      </c>
      <c r="CS212" s="28" t="n"/>
      <c r="CT212" s="31" t="n"/>
      <c r="CU212" s="29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1" t="n"/>
      <c r="CW212" s="21" t="n"/>
      <c r="CX212" s="27">
        <f>SUM(CV212:CW212)</f>
        <v/>
      </c>
      <c r="CY212" s="28" t="n"/>
      <c r="CZ212" s="31" t="n"/>
      <c r="DA212" s="29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1" t="n"/>
      <c r="DC212" s="21" t="n"/>
      <c r="DD212" s="27">
        <f>SUM(DB212:DC212)</f>
        <v/>
      </c>
      <c r="DE212" s="28" t="n"/>
      <c r="DF212" s="31" t="n"/>
      <c r="DG212" s="29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34">
        <f>SUM(O212,U212,AA212,AG212,AM212,AS212,AY212,BE212,BK212,BQ212,BW212,CC212,CI212,CO212,CU212,DA212,DG212)</f>
        <v/>
      </c>
      <c r="DI212" s="39">
        <f>RANK(DH212,DH$4:DH$503)</f>
        <v/>
      </c>
      <c r="DJ212" s="40" t="inlineStr">
        <is>
          <t>CHOOSE RATING</t>
        </is>
      </c>
      <c r="DK212" s="40" t="inlineStr">
        <is>
          <t>CHOOSE RATING</t>
        </is>
      </c>
      <c r="DL212" s="40" t="inlineStr">
        <is>
          <t>CHOOSE RATING</t>
        </is>
      </c>
      <c r="DM212" s="40" t="inlineStr">
        <is>
          <t>CHOOSE RATING</t>
        </is>
      </c>
      <c r="DN212" s="40" t="inlineStr">
        <is>
          <t>CHOOSE RATING</t>
        </is>
      </c>
      <c r="DO212" s="40" t="inlineStr">
        <is>
          <t>CHOOSE RATING</t>
        </is>
      </c>
      <c r="DP212" s="40" t="inlineStr">
        <is>
          <t>CHOOSE RATING</t>
        </is>
      </c>
      <c r="DQ212" s="40" t="inlineStr">
        <is>
          <t>CHOOSE RATING</t>
        </is>
      </c>
      <c r="DR212" s="43" t="inlineStr">
        <is>
          <t>2024/2025</t>
        </is>
      </c>
      <c r="DS212" s="45" t="inlineStr">
        <is>
          <t>THIRD</t>
        </is>
      </c>
      <c r="DT212" s="40" t="inlineStr">
        <is>
          <t>CHOOSE RATING</t>
        </is>
      </c>
      <c r="DU212" s="40" t="inlineStr">
        <is>
          <t>CHOOSE RATING</t>
        </is>
      </c>
      <c r="DV212" s="40" t="inlineStr">
        <is>
          <t>CHOOSE RATING</t>
        </is>
      </c>
      <c r="DW212" s="40" t="inlineStr">
        <is>
          <t>CHOOSE RATING</t>
        </is>
      </c>
      <c r="DX212" s="40" t="inlineStr">
        <is>
          <t>CHOOSE RATING</t>
        </is>
      </c>
      <c r="DY212" s="40" t="inlineStr">
        <is>
          <t>CHOOSE RATING</t>
        </is>
      </c>
      <c r="DZ212" s="53" t="inlineStr">
        <is>
          <t>CHOOSE RATING</t>
        </is>
      </c>
      <c r="EA212" s="54" t="inlineStr">
        <is>
          <t>Add the Tutor's Comment . . .</t>
        </is>
      </c>
      <c r="EB212" s="55" t="inlineStr">
        <is>
          <t>Choose Principals comment</t>
        </is>
      </c>
      <c r="EC212" s="56" t="n"/>
      <c r="ED212" s="57" t="inlineStr">
        <is>
          <t>Next Term Begins on Monday, 22nd September, 2025</t>
        </is>
      </c>
    </row>
    <row r="213" ht="30.6" customHeight="1" s="6">
      <c r="A213" s="18" t="n">
        <v>210</v>
      </c>
      <c r="B213" s="19" t="n"/>
      <c r="C213" s="20" t="n"/>
      <c r="D213" s="128" t="n"/>
      <c r="E213" s="21" t="n"/>
      <c r="F213" s="22" t="n"/>
      <c r="G213" s="22" t="n"/>
      <c r="H213" s="22" t="n"/>
      <c r="I213" s="26">
        <f>G213-H213</f>
        <v/>
      </c>
      <c r="J213" s="21" t="n"/>
      <c r="K213" s="21" t="n"/>
      <c r="L213" s="27">
        <f>SUM(J213:K213)</f>
        <v/>
      </c>
      <c r="M213" s="28" t="n"/>
      <c r="N213" s="28" t="n"/>
      <c r="O213" s="29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1" t="n"/>
      <c r="Q213" s="21" t="n"/>
      <c r="R213" s="27">
        <f>SUM(P213:Q213)</f>
        <v/>
      </c>
      <c r="S213" s="28" t="n"/>
      <c r="T213" s="28" t="n"/>
      <c r="U213" s="29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1" t="n"/>
      <c r="W213" s="21" t="n"/>
      <c r="X213" s="27">
        <f>SUM(V213:W213)</f>
        <v/>
      </c>
      <c r="Y213" s="28" t="n"/>
      <c r="Z213" s="28" t="n"/>
      <c r="AA213" s="29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1" t="n"/>
      <c r="AC213" s="21" t="n"/>
      <c r="AD213" s="27">
        <f>SUM(AB213:AC213)</f>
        <v/>
      </c>
      <c r="AE213" s="28" t="n"/>
      <c r="AF213" s="28" t="n"/>
      <c r="AG213" s="29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1" t="n"/>
      <c r="AI213" s="21" t="n"/>
      <c r="AJ213" s="27">
        <f>SUM(AH213:AI213)</f>
        <v/>
      </c>
      <c r="AK213" s="28" t="n"/>
      <c r="AL213" s="28" t="n"/>
      <c r="AM213" s="29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1" t="n"/>
      <c r="AO213" s="21" t="n"/>
      <c r="AP213" s="27">
        <f>SUM(AN213:AO213)</f>
        <v/>
      </c>
      <c r="AQ213" s="28" t="n"/>
      <c r="AR213" s="30" t="n"/>
      <c r="AS213" s="29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1" t="n"/>
      <c r="AU213" s="21" t="n"/>
      <c r="AV213" s="27">
        <f>SUM(AT213:AU213)</f>
        <v/>
      </c>
      <c r="AW213" s="28" t="n"/>
      <c r="AX213" s="30" t="n"/>
      <c r="AY213" s="29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1" t="n"/>
      <c r="BA213" s="21" t="n"/>
      <c r="BB213" s="27">
        <f>SUM(AZ213:BA213)</f>
        <v/>
      </c>
      <c r="BC213" s="28" t="n"/>
      <c r="BD213" s="28" t="n"/>
      <c r="BE213" s="29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1" t="n"/>
      <c r="BG213" s="21" t="n"/>
      <c r="BH213" s="27">
        <f>SUM(BF213:BG213)</f>
        <v/>
      </c>
      <c r="BI213" s="28" t="n"/>
      <c r="BJ213" s="28" t="n"/>
      <c r="BK213" s="29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1" t="n"/>
      <c r="BM213" s="21" t="n"/>
      <c r="BN213" s="27">
        <f>SUM(BL213:BM213)</f>
        <v/>
      </c>
      <c r="BO213" s="28" t="n"/>
      <c r="BP213" s="31" t="n"/>
      <c r="BQ213" s="29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1" t="n"/>
      <c r="BS213" s="21" t="n"/>
      <c r="BT213" s="27">
        <f>SUM(BR213:BS213)</f>
        <v/>
      </c>
      <c r="BU213" s="28" t="n"/>
      <c r="BV213" s="31" t="n"/>
      <c r="BW213" s="29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1" t="n"/>
      <c r="BY213" s="21" t="n"/>
      <c r="BZ213" s="27">
        <f>SUM(BX213:BY213)</f>
        <v/>
      </c>
      <c r="CA213" s="28" t="n"/>
      <c r="CB213" s="31" t="n"/>
      <c r="CC213" s="29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1" t="n"/>
      <c r="CE213" s="21" t="n"/>
      <c r="CF213" s="27">
        <f>SUM(CD213:CE213)</f>
        <v/>
      </c>
      <c r="CG213" s="28" t="n"/>
      <c r="CH213" s="31" t="n"/>
      <c r="CI213" s="29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1" t="n"/>
      <c r="CK213" s="21" t="n"/>
      <c r="CL213" s="27">
        <f>SUM(CJ213:CK213)</f>
        <v/>
      </c>
      <c r="CM213" s="28" t="n"/>
      <c r="CN213" s="31" t="n"/>
      <c r="CO213" s="29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1" t="n"/>
      <c r="CQ213" s="21" t="n"/>
      <c r="CR213" s="27">
        <f>SUM(CP213:CQ213)</f>
        <v/>
      </c>
      <c r="CS213" s="28" t="n"/>
      <c r="CT213" s="31" t="n"/>
      <c r="CU213" s="29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1" t="n"/>
      <c r="CW213" s="21" t="n"/>
      <c r="CX213" s="27">
        <f>SUM(CV213:CW213)</f>
        <v/>
      </c>
      <c r="CY213" s="28" t="n"/>
      <c r="CZ213" s="31" t="n"/>
      <c r="DA213" s="29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1" t="n"/>
      <c r="DC213" s="21" t="n"/>
      <c r="DD213" s="27">
        <f>SUM(DB213:DC213)</f>
        <v/>
      </c>
      <c r="DE213" s="28" t="n"/>
      <c r="DF213" s="31" t="n"/>
      <c r="DG213" s="29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34">
        <f>SUM(O213,U213,AA213,AG213,AM213,AS213,AY213,BE213,BK213,BQ213,BW213,CC213,CI213,CO213,CU213,DA213,DG213)</f>
        <v/>
      </c>
      <c r="DI213" s="39">
        <f>RANK(DH213,DH$4:DH$503)</f>
        <v/>
      </c>
      <c r="DJ213" s="40" t="inlineStr">
        <is>
          <t>CHOOSE RATING</t>
        </is>
      </c>
      <c r="DK213" s="40" t="inlineStr">
        <is>
          <t>CHOOSE RATING</t>
        </is>
      </c>
      <c r="DL213" s="40" t="inlineStr">
        <is>
          <t>CHOOSE RATING</t>
        </is>
      </c>
      <c r="DM213" s="40" t="inlineStr">
        <is>
          <t>CHOOSE RATING</t>
        </is>
      </c>
      <c r="DN213" s="40" t="inlineStr">
        <is>
          <t>CHOOSE RATING</t>
        </is>
      </c>
      <c r="DO213" s="40" t="inlineStr">
        <is>
          <t>CHOOSE RATING</t>
        </is>
      </c>
      <c r="DP213" s="40" t="inlineStr">
        <is>
          <t>CHOOSE RATING</t>
        </is>
      </c>
      <c r="DQ213" s="40" t="inlineStr">
        <is>
          <t>CHOOSE RATING</t>
        </is>
      </c>
      <c r="DR213" s="43" t="inlineStr">
        <is>
          <t>2024/2025</t>
        </is>
      </c>
      <c r="DS213" s="45" t="inlineStr">
        <is>
          <t>THIRD</t>
        </is>
      </c>
      <c r="DT213" s="40" t="inlineStr">
        <is>
          <t>CHOOSE RATING</t>
        </is>
      </c>
      <c r="DU213" s="40" t="inlineStr">
        <is>
          <t>CHOOSE RATING</t>
        </is>
      </c>
      <c r="DV213" s="40" t="inlineStr">
        <is>
          <t>CHOOSE RATING</t>
        </is>
      </c>
      <c r="DW213" s="40" t="inlineStr">
        <is>
          <t>CHOOSE RATING</t>
        </is>
      </c>
      <c r="DX213" s="40" t="inlineStr">
        <is>
          <t>CHOOSE RATING</t>
        </is>
      </c>
      <c r="DY213" s="40" t="inlineStr">
        <is>
          <t>CHOOSE RATING</t>
        </is>
      </c>
      <c r="DZ213" s="53" t="inlineStr">
        <is>
          <t>CHOOSE RATING</t>
        </is>
      </c>
      <c r="EA213" s="54" t="inlineStr">
        <is>
          <t>Add the Tutor's Comment . . .</t>
        </is>
      </c>
      <c r="EB213" s="55" t="inlineStr">
        <is>
          <t>Choose Principals comment</t>
        </is>
      </c>
      <c r="EC213" s="56" t="n"/>
      <c r="ED213" s="57" t="inlineStr">
        <is>
          <t>Next Term Begins on Monday, 22nd September, 2025</t>
        </is>
      </c>
    </row>
    <row r="214" ht="30.6" customHeight="1" s="6">
      <c r="A214" s="18" t="n">
        <v>211</v>
      </c>
      <c r="B214" s="19" t="n"/>
      <c r="C214" s="20" t="n"/>
      <c r="D214" s="128" t="n"/>
      <c r="E214" s="21" t="n"/>
      <c r="F214" s="22" t="n"/>
      <c r="G214" s="22" t="n"/>
      <c r="H214" s="22" t="n"/>
      <c r="I214" s="26">
        <f>G214-H214</f>
        <v/>
      </c>
      <c r="J214" s="21" t="n"/>
      <c r="K214" s="21" t="n"/>
      <c r="L214" s="27">
        <f>SUM(J214:K214)</f>
        <v/>
      </c>
      <c r="M214" s="28" t="n"/>
      <c r="N214" s="28" t="n"/>
      <c r="O214" s="29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1" t="n"/>
      <c r="Q214" s="21" t="n"/>
      <c r="R214" s="27">
        <f>SUM(P214:Q214)</f>
        <v/>
      </c>
      <c r="S214" s="28" t="n"/>
      <c r="T214" s="28" t="n"/>
      <c r="U214" s="29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1" t="n"/>
      <c r="W214" s="21" t="n"/>
      <c r="X214" s="27">
        <f>SUM(V214:W214)</f>
        <v/>
      </c>
      <c r="Y214" s="28" t="n"/>
      <c r="Z214" s="28" t="n"/>
      <c r="AA214" s="29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1" t="n"/>
      <c r="AC214" s="21" t="n"/>
      <c r="AD214" s="27">
        <f>SUM(AB214:AC214)</f>
        <v/>
      </c>
      <c r="AE214" s="28" t="n"/>
      <c r="AF214" s="28" t="n"/>
      <c r="AG214" s="29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1" t="n"/>
      <c r="AI214" s="21" t="n"/>
      <c r="AJ214" s="27">
        <f>SUM(AH214:AI214)</f>
        <v/>
      </c>
      <c r="AK214" s="28" t="n"/>
      <c r="AL214" s="28" t="n"/>
      <c r="AM214" s="29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1" t="n"/>
      <c r="AO214" s="21" t="n"/>
      <c r="AP214" s="27">
        <f>SUM(AN214:AO214)</f>
        <v/>
      </c>
      <c r="AQ214" s="28" t="n"/>
      <c r="AR214" s="30" t="n"/>
      <c r="AS214" s="29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1" t="n"/>
      <c r="AU214" s="21" t="n"/>
      <c r="AV214" s="27">
        <f>SUM(AT214:AU214)</f>
        <v/>
      </c>
      <c r="AW214" s="28" t="n"/>
      <c r="AX214" s="30" t="n"/>
      <c r="AY214" s="29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1" t="n"/>
      <c r="BA214" s="21" t="n"/>
      <c r="BB214" s="27">
        <f>SUM(AZ214:BA214)</f>
        <v/>
      </c>
      <c r="BC214" s="28" t="n"/>
      <c r="BD214" s="28" t="n"/>
      <c r="BE214" s="29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1" t="n"/>
      <c r="BG214" s="21" t="n"/>
      <c r="BH214" s="27">
        <f>SUM(BF214:BG214)</f>
        <v/>
      </c>
      <c r="BI214" s="28" t="n"/>
      <c r="BJ214" s="28" t="n"/>
      <c r="BK214" s="29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1" t="n"/>
      <c r="BM214" s="21" t="n"/>
      <c r="BN214" s="27">
        <f>SUM(BL214:BM214)</f>
        <v/>
      </c>
      <c r="BO214" s="28" t="n"/>
      <c r="BP214" s="31" t="n"/>
      <c r="BQ214" s="29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1" t="n"/>
      <c r="BS214" s="21" t="n"/>
      <c r="BT214" s="27">
        <f>SUM(BR214:BS214)</f>
        <v/>
      </c>
      <c r="BU214" s="28" t="n"/>
      <c r="BV214" s="31" t="n"/>
      <c r="BW214" s="29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1" t="n"/>
      <c r="BY214" s="21" t="n"/>
      <c r="BZ214" s="27">
        <f>SUM(BX214:BY214)</f>
        <v/>
      </c>
      <c r="CA214" s="28" t="n"/>
      <c r="CB214" s="31" t="n"/>
      <c r="CC214" s="29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1" t="n"/>
      <c r="CE214" s="21" t="n"/>
      <c r="CF214" s="27">
        <f>SUM(CD214:CE214)</f>
        <v/>
      </c>
      <c r="CG214" s="28" t="n"/>
      <c r="CH214" s="31" t="n"/>
      <c r="CI214" s="29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1" t="n"/>
      <c r="CK214" s="21" t="n"/>
      <c r="CL214" s="27">
        <f>SUM(CJ214:CK214)</f>
        <v/>
      </c>
      <c r="CM214" s="28" t="n"/>
      <c r="CN214" s="31" t="n"/>
      <c r="CO214" s="29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1" t="n"/>
      <c r="CQ214" s="21" t="n"/>
      <c r="CR214" s="27">
        <f>SUM(CP214:CQ214)</f>
        <v/>
      </c>
      <c r="CS214" s="28" t="n"/>
      <c r="CT214" s="31" t="n"/>
      <c r="CU214" s="29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1" t="n"/>
      <c r="CW214" s="21" t="n"/>
      <c r="CX214" s="27">
        <f>SUM(CV214:CW214)</f>
        <v/>
      </c>
      <c r="CY214" s="28" t="n"/>
      <c r="CZ214" s="31" t="n"/>
      <c r="DA214" s="29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1" t="n"/>
      <c r="DC214" s="21" t="n"/>
      <c r="DD214" s="27">
        <f>SUM(DB214:DC214)</f>
        <v/>
      </c>
      <c r="DE214" s="28" t="n"/>
      <c r="DF214" s="31" t="n"/>
      <c r="DG214" s="29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34">
        <f>SUM(O214,U214,AA214,AG214,AM214,AS214,AY214,BE214,BK214,BQ214,BW214,CC214,CI214,CO214,CU214,DA214,DG214)</f>
        <v/>
      </c>
      <c r="DI214" s="39">
        <f>RANK(DH214,DH$4:DH$503)</f>
        <v/>
      </c>
      <c r="DJ214" s="40" t="inlineStr">
        <is>
          <t>CHOOSE RATING</t>
        </is>
      </c>
      <c r="DK214" s="40" t="inlineStr">
        <is>
          <t>CHOOSE RATING</t>
        </is>
      </c>
      <c r="DL214" s="40" t="inlineStr">
        <is>
          <t>CHOOSE RATING</t>
        </is>
      </c>
      <c r="DM214" s="40" t="inlineStr">
        <is>
          <t>CHOOSE RATING</t>
        </is>
      </c>
      <c r="DN214" s="40" t="inlineStr">
        <is>
          <t>CHOOSE RATING</t>
        </is>
      </c>
      <c r="DO214" s="40" t="inlineStr">
        <is>
          <t>CHOOSE RATING</t>
        </is>
      </c>
      <c r="DP214" s="40" t="inlineStr">
        <is>
          <t>CHOOSE RATING</t>
        </is>
      </c>
      <c r="DQ214" s="40" t="inlineStr">
        <is>
          <t>CHOOSE RATING</t>
        </is>
      </c>
      <c r="DR214" s="43" t="inlineStr">
        <is>
          <t>2024/2025</t>
        </is>
      </c>
      <c r="DS214" s="45" t="inlineStr">
        <is>
          <t>THIRD</t>
        </is>
      </c>
      <c r="DT214" s="40" t="inlineStr">
        <is>
          <t>CHOOSE RATING</t>
        </is>
      </c>
      <c r="DU214" s="40" t="inlineStr">
        <is>
          <t>CHOOSE RATING</t>
        </is>
      </c>
      <c r="DV214" s="40" t="inlineStr">
        <is>
          <t>CHOOSE RATING</t>
        </is>
      </c>
      <c r="DW214" s="40" t="inlineStr">
        <is>
          <t>CHOOSE RATING</t>
        </is>
      </c>
      <c r="DX214" s="40" t="inlineStr">
        <is>
          <t>CHOOSE RATING</t>
        </is>
      </c>
      <c r="DY214" s="40" t="inlineStr">
        <is>
          <t>CHOOSE RATING</t>
        </is>
      </c>
      <c r="DZ214" s="53" t="inlineStr">
        <is>
          <t>CHOOSE RATING</t>
        </is>
      </c>
      <c r="EA214" s="54" t="inlineStr">
        <is>
          <t>Add the Tutor's Comment . . .</t>
        </is>
      </c>
      <c r="EB214" s="55" t="inlineStr">
        <is>
          <t>Choose Principals comment</t>
        </is>
      </c>
      <c r="EC214" s="56" t="n"/>
      <c r="ED214" s="57" t="inlineStr">
        <is>
          <t>Next Term Begins on Monday, 22nd September, 2025</t>
        </is>
      </c>
    </row>
    <row r="215" ht="30.6" customHeight="1" s="6">
      <c r="A215" s="18" t="n">
        <v>212</v>
      </c>
      <c r="B215" s="19" t="n"/>
      <c r="C215" s="20" t="n"/>
      <c r="D215" s="128" t="n"/>
      <c r="E215" s="21" t="n"/>
      <c r="F215" s="22" t="n"/>
      <c r="G215" s="22" t="n"/>
      <c r="H215" s="22" t="n"/>
      <c r="I215" s="26">
        <f>G215-H215</f>
        <v/>
      </c>
      <c r="J215" s="21" t="n"/>
      <c r="K215" s="21" t="n"/>
      <c r="L215" s="27">
        <f>SUM(J215:K215)</f>
        <v/>
      </c>
      <c r="M215" s="28" t="n"/>
      <c r="N215" s="28" t="n"/>
      <c r="O215" s="29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1" t="n"/>
      <c r="Q215" s="21" t="n"/>
      <c r="R215" s="27">
        <f>SUM(P215:Q215)</f>
        <v/>
      </c>
      <c r="S215" s="28" t="n"/>
      <c r="T215" s="28" t="n"/>
      <c r="U215" s="29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1" t="n"/>
      <c r="W215" s="21" t="n"/>
      <c r="X215" s="27">
        <f>SUM(V215:W215)</f>
        <v/>
      </c>
      <c r="Y215" s="28" t="n"/>
      <c r="Z215" s="28" t="n"/>
      <c r="AA215" s="29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1" t="n"/>
      <c r="AC215" s="21" t="n"/>
      <c r="AD215" s="27">
        <f>SUM(AB215:AC215)</f>
        <v/>
      </c>
      <c r="AE215" s="28" t="n"/>
      <c r="AF215" s="28" t="n"/>
      <c r="AG215" s="29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1" t="n"/>
      <c r="AI215" s="21" t="n"/>
      <c r="AJ215" s="27">
        <f>SUM(AH215:AI215)</f>
        <v/>
      </c>
      <c r="AK215" s="28" t="n"/>
      <c r="AL215" s="28" t="n"/>
      <c r="AM215" s="29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1" t="n"/>
      <c r="AO215" s="21" t="n"/>
      <c r="AP215" s="27">
        <f>SUM(AN215:AO215)</f>
        <v/>
      </c>
      <c r="AQ215" s="28" t="n"/>
      <c r="AR215" s="30" t="n"/>
      <c r="AS215" s="29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1" t="n"/>
      <c r="AU215" s="21" t="n"/>
      <c r="AV215" s="27">
        <f>SUM(AT215:AU215)</f>
        <v/>
      </c>
      <c r="AW215" s="28" t="n"/>
      <c r="AX215" s="30" t="n"/>
      <c r="AY215" s="29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1" t="n"/>
      <c r="BA215" s="21" t="n"/>
      <c r="BB215" s="27">
        <f>SUM(AZ215:BA215)</f>
        <v/>
      </c>
      <c r="BC215" s="28" t="n"/>
      <c r="BD215" s="28" t="n"/>
      <c r="BE215" s="29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1" t="n"/>
      <c r="BG215" s="21" t="n"/>
      <c r="BH215" s="27">
        <f>SUM(BF215:BG215)</f>
        <v/>
      </c>
      <c r="BI215" s="28" t="n"/>
      <c r="BJ215" s="28" t="n"/>
      <c r="BK215" s="29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1" t="n"/>
      <c r="BM215" s="21" t="n"/>
      <c r="BN215" s="27">
        <f>SUM(BL215:BM215)</f>
        <v/>
      </c>
      <c r="BO215" s="28" t="n"/>
      <c r="BP215" s="31" t="n"/>
      <c r="BQ215" s="29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1" t="n"/>
      <c r="BS215" s="21" t="n"/>
      <c r="BT215" s="27">
        <f>SUM(BR215:BS215)</f>
        <v/>
      </c>
      <c r="BU215" s="28" t="n"/>
      <c r="BV215" s="31" t="n"/>
      <c r="BW215" s="29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1" t="n"/>
      <c r="BY215" s="21" t="n"/>
      <c r="BZ215" s="27">
        <f>SUM(BX215:BY215)</f>
        <v/>
      </c>
      <c r="CA215" s="28" t="n"/>
      <c r="CB215" s="31" t="n"/>
      <c r="CC215" s="29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1" t="n"/>
      <c r="CE215" s="21" t="n"/>
      <c r="CF215" s="27">
        <f>SUM(CD215:CE215)</f>
        <v/>
      </c>
      <c r="CG215" s="28" t="n"/>
      <c r="CH215" s="31" t="n"/>
      <c r="CI215" s="29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1" t="n"/>
      <c r="CK215" s="21" t="n"/>
      <c r="CL215" s="27">
        <f>SUM(CJ215:CK215)</f>
        <v/>
      </c>
      <c r="CM215" s="28" t="n"/>
      <c r="CN215" s="31" t="n"/>
      <c r="CO215" s="29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1" t="n"/>
      <c r="CQ215" s="21" t="n"/>
      <c r="CR215" s="27">
        <f>SUM(CP215:CQ215)</f>
        <v/>
      </c>
      <c r="CS215" s="28" t="n"/>
      <c r="CT215" s="31" t="n"/>
      <c r="CU215" s="29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1" t="n"/>
      <c r="CW215" s="21" t="n"/>
      <c r="CX215" s="27">
        <f>SUM(CV215:CW215)</f>
        <v/>
      </c>
      <c r="CY215" s="28" t="n"/>
      <c r="CZ215" s="31" t="n"/>
      <c r="DA215" s="29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1" t="n"/>
      <c r="DC215" s="21" t="n"/>
      <c r="DD215" s="27">
        <f>SUM(DB215:DC215)</f>
        <v/>
      </c>
      <c r="DE215" s="28" t="n"/>
      <c r="DF215" s="31" t="n"/>
      <c r="DG215" s="29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34">
        <f>SUM(O215,U215,AA215,AG215,AM215,AS215,AY215,BE215,BK215,BQ215,BW215,CC215,CI215,CO215,CU215,DA215,DG215)</f>
        <v/>
      </c>
      <c r="DI215" s="39">
        <f>RANK(DH215,DH$4:DH$503)</f>
        <v/>
      </c>
      <c r="DJ215" s="40" t="inlineStr">
        <is>
          <t>CHOOSE RATING</t>
        </is>
      </c>
      <c r="DK215" s="40" t="inlineStr">
        <is>
          <t>CHOOSE RATING</t>
        </is>
      </c>
      <c r="DL215" s="40" t="inlineStr">
        <is>
          <t>CHOOSE RATING</t>
        </is>
      </c>
      <c r="DM215" s="40" t="inlineStr">
        <is>
          <t>CHOOSE RATING</t>
        </is>
      </c>
      <c r="DN215" s="40" t="inlineStr">
        <is>
          <t>CHOOSE RATING</t>
        </is>
      </c>
      <c r="DO215" s="40" t="inlineStr">
        <is>
          <t>CHOOSE RATING</t>
        </is>
      </c>
      <c r="DP215" s="40" t="inlineStr">
        <is>
          <t>CHOOSE RATING</t>
        </is>
      </c>
      <c r="DQ215" s="40" t="inlineStr">
        <is>
          <t>CHOOSE RATING</t>
        </is>
      </c>
      <c r="DR215" s="43" t="inlineStr">
        <is>
          <t>2024/2025</t>
        </is>
      </c>
      <c r="DS215" s="45" t="inlineStr">
        <is>
          <t>THIRD</t>
        </is>
      </c>
      <c r="DT215" s="40" t="inlineStr">
        <is>
          <t>CHOOSE RATING</t>
        </is>
      </c>
      <c r="DU215" s="40" t="inlineStr">
        <is>
          <t>CHOOSE RATING</t>
        </is>
      </c>
      <c r="DV215" s="40" t="inlineStr">
        <is>
          <t>CHOOSE RATING</t>
        </is>
      </c>
      <c r="DW215" s="40" t="inlineStr">
        <is>
          <t>CHOOSE RATING</t>
        </is>
      </c>
      <c r="DX215" s="40" t="inlineStr">
        <is>
          <t>CHOOSE RATING</t>
        </is>
      </c>
      <c r="DY215" s="40" t="inlineStr">
        <is>
          <t>CHOOSE RATING</t>
        </is>
      </c>
      <c r="DZ215" s="53" t="inlineStr">
        <is>
          <t>CHOOSE RATING</t>
        </is>
      </c>
      <c r="EA215" s="54" t="inlineStr">
        <is>
          <t>Add the Tutor's Comment . . .</t>
        </is>
      </c>
      <c r="EB215" s="55" t="inlineStr">
        <is>
          <t>Choose Principals comment</t>
        </is>
      </c>
      <c r="EC215" s="56" t="n"/>
      <c r="ED215" s="57" t="inlineStr">
        <is>
          <t>Next Term Begins on Monday, 22nd September, 2025</t>
        </is>
      </c>
    </row>
    <row r="216" ht="30.6" customHeight="1" s="6">
      <c r="A216" s="18" t="n">
        <v>213</v>
      </c>
      <c r="B216" s="19" t="n"/>
      <c r="C216" s="20" t="n"/>
      <c r="D216" s="128" t="n"/>
      <c r="E216" s="21" t="n"/>
      <c r="F216" s="22" t="n"/>
      <c r="G216" s="22" t="n"/>
      <c r="H216" s="22" t="n"/>
      <c r="I216" s="26">
        <f>G216-H216</f>
        <v/>
      </c>
      <c r="J216" s="21" t="n"/>
      <c r="K216" s="21" t="n"/>
      <c r="L216" s="27">
        <f>SUM(J216:K216)</f>
        <v/>
      </c>
      <c r="M216" s="28" t="n"/>
      <c r="N216" s="28" t="n"/>
      <c r="O216" s="29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1" t="n"/>
      <c r="Q216" s="21" t="n"/>
      <c r="R216" s="27">
        <f>SUM(P216:Q216)</f>
        <v/>
      </c>
      <c r="S216" s="28" t="n"/>
      <c r="T216" s="28" t="n"/>
      <c r="U216" s="29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1" t="n"/>
      <c r="W216" s="21" t="n"/>
      <c r="X216" s="27">
        <f>SUM(V216:W216)</f>
        <v/>
      </c>
      <c r="Y216" s="28" t="n"/>
      <c r="Z216" s="28" t="n"/>
      <c r="AA216" s="29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1" t="n"/>
      <c r="AC216" s="21" t="n"/>
      <c r="AD216" s="27">
        <f>SUM(AB216:AC216)</f>
        <v/>
      </c>
      <c r="AE216" s="28" t="n"/>
      <c r="AF216" s="28" t="n"/>
      <c r="AG216" s="29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1" t="n"/>
      <c r="AI216" s="21" t="n"/>
      <c r="AJ216" s="27">
        <f>SUM(AH216:AI216)</f>
        <v/>
      </c>
      <c r="AK216" s="28" t="n"/>
      <c r="AL216" s="28" t="n"/>
      <c r="AM216" s="29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1" t="n"/>
      <c r="AO216" s="21" t="n"/>
      <c r="AP216" s="27">
        <f>SUM(AN216:AO216)</f>
        <v/>
      </c>
      <c r="AQ216" s="28" t="n"/>
      <c r="AR216" s="30" t="n"/>
      <c r="AS216" s="29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1" t="n"/>
      <c r="AU216" s="21" t="n"/>
      <c r="AV216" s="27">
        <f>SUM(AT216:AU216)</f>
        <v/>
      </c>
      <c r="AW216" s="28" t="n"/>
      <c r="AX216" s="30" t="n"/>
      <c r="AY216" s="29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1" t="n"/>
      <c r="BA216" s="21" t="n"/>
      <c r="BB216" s="27">
        <f>SUM(AZ216:BA216)</f>
        <v/>
      </c>
      <c r="BC216" s="28" t="n"/>
      <c r="BD216" s="28" t="n"/>
      <c r="BE216" s="29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1" t="n"/>
      <c r="BG216" s="21" t="n"/>
      <c r="BH216" s="27">
        <f>SUM(BF216:BG216)</f>
        <v/>
      </c>
      <c r="BI216" s="28" t="n"/>
      <c r="BJ216" s="28" t="n"/>
      <c r="BK216" s="29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1" t="n"/>
      <c r="BM216" s="21" t="n"/>
      <c r="BN216" s="27">
        <f>SUM(BL216:BM216)</f>
        <v/>
      </c>
      <c r="BO216" s="28" t="n"/>
      <c r="BP216" s="31" t="n"/>
      <c r="BQ216" s="29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1" t="n"/>
      <c r="BS216" s="21" t="n"/>
      <c r="BT216" s="27">
        <f>SUM(BR216:BS216)</f>
        <v/>
      </c>
      <c r="BU216" s="28" t="n"/>
      <c r="BV216" s="31" t="n"/>
      <c r="BW216" s="29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1" t="n"/>
      <c r="BY216" s="21" t="n"/>
      <c r="BZ216" s="27">
        <f>SUM(BX216:BY216)</f>
        <v/>
      </c>
      <c r="CA216" s="28" t="n"/>
      <c r="CB216" s="31" t="n"/>
      <c r="CC216" s="29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1" t="n"/>
      <c r="CE216" s="21" t="n"/>
      <c r="CF216" s="27">
        <f>SUM(CD216:CE216)</f>
        <v/>
      </c>
      <c r="CG216" s="28" t="n"/>
      <c r="CH216" s="31" t="n"/>
      <c r="CI216" s="29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1" t="n"/>
      <c r="CK216" s="21" t="n"/>
      <c r="CL216" s="27">
        <f>SUM(CJ216:CK216)</f>
        <v/>
      </c>
      <c r="CM216" s="28" t="n"/>
      <c r="CN216" s="31" t="n"/>
      <c r="CO216" s="29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1" t="n"/>
      <c r="CQ216" s="21" t="n"/>
      <c r="CR216" s="27">
        <f>SUM(CP216:CQ216)</f>
        <v/>
      </c>
      <c r="CS216" s="28" t="n"/>
      <c r="CT216" s="31" t="n"/>
      <c r="CU216" s="29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1" t="n"/>
      <c r="CW216" s="21" t="n"/>
      <c r="CX216" s="27">
        <f>SUM(CV216:CW216)</f>
        <v/>
      </c>
      <c r="CY216" s="28" t="n"/>
      <c r="CZ216" s="31" t="n"/>
      <c r="DA216" s="29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1" t="n"/>
      <c r="DC216" s="21" t="n"/>
      <c r="DD216" s="27">
        <f>SUM(DB216:DC216)</f>
        <v/>
      </c>
      <c r="DE216" s="28" t="n"/>
      <c r="DF216" s="31" t="n"/>
      <c r="DG216" s="29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34">
        <f>SUM(O216,U216,AA216,AG216,AM216,AS216,AY216,BE216,BK216,BQ216,BW216,CC216,CI216,CO216,CU216,DA216,DG216)</f>
        <v/>
      </c>
      <c r="DI216" s="39">
        <f>RANK(DH216,DH$4:DH$503)</f>
        <v/>
      </c>
      <c r="DJ216" s="40" t="inlineStr">
        <is>
          <t>CHOOSE RATING</t>
        </is>
      </c>
      <c r="DK216" s="40" t="inlineStr">
        <is>
          <t>CHOOSE RATING</t>
        </is>
      </c>
      <c r="DL216" s="40" t="inlineStr">
        <is>
          <t>CHOOSE RATING</t>
        </is>
      </c>
      <c r="DM216" s="40" t="inlineStr">
        <is>
          <t>CHOOSE RATING</t>
        </is>
      </c>
      <c r="DN216" s="40" t="inlineStr">
        <is>
          <t>CHOOSE RATING</t>
        </is>
      </c>
      <c r="DO216" s="40" t="inlineStr">
        <is>
          <t>CHOOSE RATING</t>
        </is>
      </c>
      <c r="DP216" s="40" t="inlineStr">
        <is>
          <t>CHOOSE RATING</t>
        </is>
      </c>
      <c r="DQ216" s="40" t="inlineStr">
        <is>
          <t>CHOOSE RATING</t>
        </is>
      </c>
      <c r="DR216" s="43" t="inlineStr">
        <is>
          <t>2024/2025</t>
        </is>
      </c>
      <c r="DS216" s="45" t="inlineStr">
        <is>
          <t>THIRD</t>
        </is>
      </c>
      <c r="DT216" s="40" t="inlineStr">
        <is>
          <t>CHOOSE RATING</t>
        </is>
      </c>
      <c r="DU216" s="40" t="inlineStr">
        <is>
          <t>CHOOSE RATING</t>
        </is>
      </c>
      <c r="DV216" s="40" t="inlineStr">
        <is>
          <t>CHOOSE RATING</t>
        </is>
      </c>
      <c r="DW216" s="40" t="inlineStr">
        <is>
          <t>CHOOSE RATING</t>
        </is>
      </c>
      <c r="DX216" s="40" t="inlineStr">
        <is>
          <t>CHOOSE RATING</t>
        </is>
      </c>
      <c r="DY216" s="40" t="inlineStr">
        <is>
          <t>CHOOSE RATING</t>
        </is>
      </c>
      <c r="DZ216" s="53" t="inlineStr">
        <is>
          <t>CHOOSE RATING</t>
        </is>
      </c>
      <c r="EA216" s="54" t="inlineStr">
        <is>
          <t>Add the Tutor's Comment . . .</t>
        </is>
      </c>
      <c r="EB216" s="55" t="inlineStr">
        <is>
          <t>Choose Principals comment</t>
        </is>
      </c>
      <c r="EC216" s="56" t="n"/>
      <c r="ED216" s="57" t="inlineStr">
        <is>
          <t>Next Term Begins on Monday, 22nd September, 2025</t>
        </is>
      </c>
    </row>
    <row r="217" ht="30.6" customHeight="1" s="6">
      <c r="A217" s="18" t="n">
        <v>214</v>
      </c>
      <c r="B217" s="19" t="n"/>
      <c r="C217" s="20" t="n"/>
      <c r="D217" s="128" t="n"/>
      <c r="E217" s="21" t="n"/>
      <c r="F217" s="22" t="n"/>
      <c r="G217" s="22" t="n"/>
      <c r="H217" s="22" t="n"/>
      <c r="I217" s="26">
        <f>G217-H217</f>
        <v/>
      </c>
      <c r="J217" s="21" t="n"/>
      <c r="K217" s="21" t="n"/>
      <c r="L217" s="27">
        <f>SUM(J217:K217)</f>
        <v/>
      </c>
      <c r="M217" s="28" t="n"/>
      <c r="N217" s="28" t="n"/>
      <c r="O217" s="29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1" t="n"/>
      <c r="Q217" s="21" t="n"/>
      <c r="R217" s="27">
        <f>SUM(P217:Q217)</f>
        <v/>
      </c>
      <c r="S217" s="28" t="n"/>
      <c r="T217" s="28" t="n"/>
      <c r="U217" s="29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1" t="n"/>
      <c r="W217" s="21" t="n"/>
      <c r="X217" s="27">
        <f>SUM(V217:W217)</f>
        <v/>
      </c>
      <c r="Y217" s="28" t="n"/>
      <c r="Z217" s="28" t="n"/>
      <c r="AA217" s="29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1" t="n"/>
      <c r="AC217" s="21" t="n"/>
      <c r="AD217" s="27">
        <f>SUM(AB217:AC217)</f>
        <v/>
      </c>
      <c r="AE217" s="28" t="n"/>
      <c r="AF217" s="28" t="n"/>
      <c r="AG217" s="29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1" t="n"/>
      <c r="AI217" s="21" t="n"/>
      <c r="AJ217" s="27">
        <f>SUM(AH217:AI217)</f>
        <v/>
      </c>
      <c r="AK217" s="28" t="n"/>
      <c r="AL217" s="28" t="n"/>
      <c r="AM217" s="29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1" t="n"/>
      <c r="AO217" s="21" t="n"/>
      <c r="AP217" s="27">
        <f>SUM(AN217:AO217)</f>
        <v/>
      </c>
      <c r="AQ217" s="28" t="n"/>
      <c r="AR217" s="30" t="n"/>
      <c r="AS217" s="29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1" t="n"/>
      <c r="AU217" s="21" t="n"/>
      <c r="AV217" s="27">
        <f>SUM(AT217:AU217)</f>
        <v/>
      </c>
      <c r="AW217" s="28" t="n"/>
      <c r="AX217" s="30" t="n"/>
      <c r="AY217" s="29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1" t="n"/>
      <c r="BA217" s="21" t="n"/>
      <c r="BB217" s="27">
        <f>SUM(AZ217:BA217)</f>
        <v/>
      </c>
      <c r="BC217" s="28" t="n"/>
      <c r="BD217" s="28" t="n"/>
      <c r="BE217" s="29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1" t="n"/>
      <c r="BG217" s="21" t="n"/>
      <c r="BH217" s="27">
        <f>SUM(BF217:BG217)</f>
        <v/>
      </c>
      <c r="BI217" s="28" t="n"/>
      <c r="BJ217" s="28" t="n"/>
      <c r="BK217" s="29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1" t="n"/>
      <c r="BM217" s="21" t="n"/>
      <c r="BN217" s="27">
        <f>SUM(BL217:BM217)</f>
        <v/>
      </c>
      <c r="BO217" s="28" t="n"/>
      <c r="BP217" s="31" t="n"/>
      <c r="BQ217" s="29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1" t="n"/>
      <c r="BS217" s="21" t="n"/>
      <c r="BT217" s="27">
        <f>SUM(BR217:BS217)</f>
        <v/>
      </c>
      <c r="BU217" s="28" t="n"/>
      <c r="BV217" s="31" t="n"/>
      <c r="BW217" s="29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1" t="n"/>
      <c r="BY217" s="21" t="n"/>
      <c r="BZ217" s="27">
        <f>SUM(BX217:BY217)</f>
        <v/>
      </c>
      <c r="CA217" s="28" t="n"/>
      <c r="CB217" s="31" t="n"/>
      <c r="CC217" s="29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1" t="n"/>
      <c r="CE217" s="21" t="n"/>
      <c r="CF217" s="27">
        <f>SUM(CD217:CE217)</f>
        <v/>
      </c>
      <c r="CG217" s="28" t="n"/>
      <c r="CH217" s="31" t="n"/>
      <c r="CI217" s="29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1" t="n"/>
      <c r="CK217" s="21" t="n"/>
      <c r="CL217" s="27">
        <f>SUM(CJ217:CK217)</f>
        <v/>
      </c>
      <c r="CM217" s="28" t="n"/>
      <c r="CN217" s="31" t="n"/>
      <c r="CO217" s="29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1" t="n"/>
      <c r="CQ217" s="21" t="n"/>
      <c r="CR217" s="27">
        <f>SUM(CP217:CQ217)</f>
        <v/>
      </c>
      <c r="CS217" s="28" t="n"/>
      <c r="CT217" s="31" t="n"/>
      <c r="CU217" s="29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1" t="n"/>
      <c r="CW217" s="21" t="n"/>
      <c r="CX217" s="27">
        <f>SUM(CV217:CW217)</f>
        <v/>
      </c>
      <c r="CY217" s="28" t="n"/>
      <c r="CZ217" s="31" t="n"/>
      <c r="DA217" s="29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1" t="n"/>
      <c r="DC217" s="21" t="n"/>
      <c r="DD217" s="27">
        <f>SUM(DB217:DC217)</f>
        <v/>
      </c>
      <c r="DE217" s="28" t="n"/>
      <c r="DF217" s="31" t="n"/>
      <c r="DG217" s="29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34">
        <f>SUM(O217,U217,AA217,AG217,AM217,AS217,AY217,BE217,BK217,BQ217,BW217,CC217,CI217,CO217,CU217,DA217,DG217)</f>
        <v/>
      </c>
      <c r="DI217" s="39">
        <f>RANK(DH217,DH$4:DH$503)</f>
        <v/>
      </c>
      <c r="DJ217" s="40" t="inlineStr">
        <is>
          <t>CHOOSE RATING</t>
        </is>
      </c>
      <c r="DK217" s="40" t="inlineStr">
        <is>
          <t>CHOOSE RATING</t>
        </is>
      </c>
      <c r="DL217" s="40" t="inlineStr">
        <is>
          <t>CHOOSE RATING</t>
        </is>
      </c>
      <c r="DM217" s="40" t="inlineStr">
        <is>
          <t>CHOOSE RATING</t>
        </is>
      </c>
      <c r="DN217" s="40" t="inlineStr">
        <is>
          <t>CHOOSE RATING</t>
        </is>
      </c>
      <c r="DO217" s="40" t="inlineStr">
        <is>
          <t>CHOOSE RATING</t>
        </is>
      </c>
      <c r="DP217" s="40" t="inlineStr">
        <is>
          <t>CHOOSE RATING</t>
        </is>
      </c>
      <c r="DQ217" s="40" t="inlineStr">
        <is>
          <t>CHOOSE RATING</t>
        </is>
      </c>
      <c r="DR217" s="43" t="inlineStr">
        <is>
          <t>2024/2025</t>
        </is>
      </c>
      <c r="DS217" s="45" t="inlineStr">
        <is>
          <t>THIRD</t>
        </is>
      </c>
      <c r="DT217" s="40" t="inlineStr">
        <is>
          <t>CHOOSE RATING</t>
        </is>
      </c>
      <c r="DU217" s="40" t="inlineStr">
        <is>
          <t>CHOOSE RATING</t>
        </is>
      </c>
      <c r="DV217" s="40" t="inlineStr">
        <is>
          <t>CHOOSE RATING</t>
        </is>
      </c>
      <c r="DW217" s="40" t="inlineStr">
        <is>
          <t>CHOOSE RATING</t>
        </is>
      </c>
      <c r="DX217" s="40" t="inlineStr">
        <is>
          <t>CHOOSE RATING</t>
        </is>
      </c>
      <c r="DY217" s="40" t="inlineStr">
        <is>
          <t>CHOOSE RATING</t>
        </is>
      </c>
      <c r="DZ217" s="53" t="inlineStr">
        <is>
          <t>CHOOSE RATING</t>
        </is>
      </c>
      <c r="EA217" s="54" t="inlineStr">
        <is>
          <t>Add the Tutor's Comment . . .</t>
        </is>
      </c>
      <c r="EB217" s="55" t="inlineStr">
        <is>
          <t>Choose Principals comment</t>
        </is>
      </c>
      <c r="EC217" s="56" t="n"/>
      <c r="ED217" s="57" t="inlineStr">
        <is>
          <t>Next Term Begins on Monday, 22nd September, 2025</t>
        </is>
      </c>
    </row>
    <row r="218" ht="30.6" customHeight="1" s="6">
      <c r="A218" s="18" t="n">
        <v>215</v>
      </c>
      <c r="B218" s="19" t="n"/>
      <c r="C218" s="20" t="n"/>
      <c r="D218" s="128" t="n"/>
      <c r="E218" s="21" t="n"/>
      <c r="F218" s="22" t="n"/>
      <c r="G218" s="22" t="n"/>
      <c r="H218" s="22" t="n"/>
      <c r="I218" s="26">
        <f>G218-H218</f>
        <v/>
      </c>
      <c r="J218" s="21" t="n"/>
      <c r="K218" s="21" t="n"/>
      <c r="L218" s="27">
        <f>SUM(J218:K218)</f>
        <v/>
      </c>
      <c r="M218" s="28" t="n"/>
      <c r="N218" s="28" t="n"/>
      <c r="O218" s="29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1" t="n"/>
      <c r="Q218" s="21" t="n"/>
      <c r="R218" s="27">
        <f>SUM(P218:Q218)</f>
        <v/>
      </c>
      <c r="S218" s="28" t="n"/>
      <c r="T218" s="28" t="n"/>
      <c r="U218" s="29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1" t="n"/>
      <c r="W218" s="21" t="n"/>
      <c r="X218" s="27">
        <f>SUM(V218:W218)</f>
        <v/>
      </c>
      <c r="Y218" s="28" t="n"/>
      <c r="Z218" s="28" t="n"/>
      <c r="AA218" s="29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1" t="n"/>
      <c r="AC218" s="21" t="n"/>
      <c r="AD218" s="27">
        <f>SUM(AB218:AC218)</f>
        <v/>
      </c>
      <c r="AE218" s="28" t="n"/>
      <c r="AF218" s="28" t="n"/>
      <c r="AG218" s="29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1" t="n"/>
      <c r="AI218" s="21" t="n"/>
      <c r="AJ218" s="27">
        <f>SUM(AH218:AI218)</f>
        <v/>
      </c>
      <c r="AK218" s="28" t="n"/>
      <c r="AL218" s="28" t="n"/>
      <c r="AM218" s="29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1" t="n"/>
      <c r="AO218" s="21" t="n"/>
      <c r="AP218" s="27">
        <f>SUM(AN218:AO218)</f>
        <v/>
      </c>
      <c r="AQ218" s="28" t="n"/>
      <c r="AR218" s="30" t="n"/>
      <c r="AS218" s="29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1" t="n"/>
      <c r="AU218" s="21" t="n"/>
      <c r="AV218" s="27">
        <f>SUM(AT218:AU218)</f>
        <v/>
      </c>
      <c r="AW218" s="28" t="n"/>
      <c r="AX218" s="30" t="n"/>
      <c r="AY218" s="29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1" t="n"/>
      <c r="BA218" s="21" t="n"/>
      <c r="BB218" s="27">
        <f>SUM(AZ218:BA218)</f>
        <v/>
      </c>
      <c r="BC218" s="28" t="n"/>
      <c r="BD218" s="28" t="n"/>
      <c r="BE218" s="29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1" t="n"/>
      <c r="BG218" s="21" t="n"/>
      <c r="BH218" s="27">
        <f>SUM(BF218:BG218)</f>
        <v/>
      </c>
      <c r="BI218" s="28" t="n"/>
      <c r="BJ218" s="28" t="n"/>
      <c r="BK218" s="29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1" t="n"/>
      <c r="BM218" s="21" t="n"/>
      <c r="BN218" s="27">
        <f>SUM(BL218:BM218)</f>
        <v/>
      </c>
      <c r="BO218" s="28" t="n"/>
      <c r="BP218" s="31" t="n"/>
      <c r="BQ218" s="29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1" t="n"/>
      <c r="BS218" s="21" t="n"/>
      <c r="BT218" s="27">
        <f>SUM(BR218:BS218)</f>
        <v/>
      </c>
      <c r="BU218" s="28" t="n"/>
      <c r="BV218" s="31" t="n"/>
      <c r="BW218" s="29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1" t="n"/>
      <c r="BY218" s="21" t="n"/>
      <c r="BZ218" s="27">
        <f>SUM(BX218:BY218)</f>
        <v/>
      </c>
      <c r="CA218" s="28" t="n"/>
      <c r="CB218" s="31" t="n"/>
      <c r="CC218" s="29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1" t="n"/>
      <c r="CE218" s="21" t="n"/>
      <c r="CF218" s="27">
        <f>SUM(CD218:CE218)</f>
        <v/>
      </c>
      <c r="CG218" s="28" t="n"/>
      <c r="CH218" s="31" t="n"/>
      <c r="CI218" s="29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1" t="n"/>
      <c r="CK218" s="21" t="n"/>
      <c r="CL218" s="27">
        <f>SUM(CJ218:CK218)</f>
        <v/>
      </c>
      <c r="CM218" s="28" t="n"/>
      <c r="CN218" s="31" t="n"/>
      <c r="CO218" s="29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1" t="n"/>
      <c r="CQ218" s="21" t="n"/>
      <c r="CR218" s="27">
        <f>SUM(CP218:CQ218)</f>
        <v/>
      </c>
      <c r="CS218" s="28" t="n"/>
      <c r="CT218" s="31" t="n"/>
      <c r="CU218" s="29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1" t="n"/>
      <c r="CW218" s="21" t="n"/>
      <c r="CX218" s="27">
        <f>SUM(CV218:CW218)</f>
        <v/>
      </c>
      <c r="CY218" s="28" t="n"/>
      <c r="CZ218" s="31" t="n"/>
      <c r="DA218" s="29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1" t="n"/>
      <c r="DC218" s="21" t="n"/>
      <c r="DD218" s="27">
        <f>SUM(DB218:DC218)</f>
        <v/>
      </c>
      <c r="DE218" s="28" t="n"/>
      <c r="DF218" s="31" t="n"/>
      <c r="DG218" s="29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34">
        <f>SUM(O218,U218,AA218,AG218,AM218,AS218,AY218,BE218,BK218,BQ218,BW218,CC218,CI218,CO218,CU218,DA218,DG218)</f>
        <v/>
      </c>
      <c r="DI218" s="39">
        <f>RANK(DH218,DH$4:DH$503)</f>
        <v/>
      </c>
      <c r="DJ218" s="40" t="inlineStr">
        <is>
          <t>CHOOSE RATING</t>
        </is>
      </c>
      <c r="DK218" s="40" t="inlineStr">
        <is>
          <t>CHOOSE RATING</t>
        </is>
      </c>
      <c r="DL218" s="40" t="inlineStr">
        <is>
          <t>CHOOSE RATING</t>
        </is>
      </c>
      <c r="DM218" s="40" t="inlineStr">
        <is>
          <t>CHOOSE RATING</t>
        </is>
      </c>
      <c r="DN218" s="40" t="inlineStr">
        <is>
          <t>CHOOSE RATING</t>
        </is>
      </c>
      <c r="DO218" s="40" t="inlineStr">
        <is>
          <t>CHOOSE RATING</t>
        </is>
      </c>
      <c r="DP218" s="40" t="inlineStr">
        <is>
          <t>CHOOSE RATING</t>
        </is>
      </c>
      <c r="DQ218" s="40" t="inlineStr">
        <is>
          <t>CHOOSE RATING</t>
        </is>
      </c>
      <c r="DR218" s="43" t="inlineStr">
        <is>
          <t>2024/2025</t>
        </is>
      </c>
      <c r="DS218" s="45" t="inlineStr">
        <is>
          <t>THIRD</t>
        </is>
      </c>
      <c r="DT218" s="40" t="inlineStr">
        <is>
          <t>CHOOSE RATING</t>
        </is>
      </c>
      <c r="DU218" s="40" t="inlineStr">
        <is>
          <t>CHOOSE RATING</t>
        </is>
      </c>
      <c r="DV218" s="40" t="inlineStr">
        <is>
          <t>CHOOSE RATING</t>
        </is>
      </c>
      <c r="DW218" s="40" t="inlineStr">
        <is>
          <t>CHOOSE RATING</t>
        </is>
      </c>
      <c r="DX218" s="40" t="inlineStr">
        <is>
          <t>CHOOSE RATING</t>
        </is>
      </c>
      <c r="DY218" s="40" t="inlineStr">
        <is>
          <t>CHOOSE RATING</t>
        </is>
      </c>
      <c r="DZ218" s="53" t="inlineStr">
        <is>
          <t>CHOOSE RATING</t>
        </is>
      </c>
      <c r="EA218" s="54" t="inlineStr">
        <is>
          <t>Add the Tutor's Comment . . .</t>
        </is>
      </c>
      <c r="EB218" s="55" t="inlineStr">
        <is>
          <t>Choose Principals comment</t>
        </is>
      </c>
      <c r="EC218" s="56" t="n"/>
      <c r="ED218" s="57" t="inlineStr">
        <is>
          <t>Next Term Begins on Monday, 22nd September, 2025</t>
        </is>
      </c>
    </row>
    <row r="219" ht="30.6" customHeight="1" s="6">
      <c r="A219" s="18" t="n">
        <v>216</v>
      </c>
      <c r="B219" s="19" t="n"/>
      <c r="C219" s="20" t="n"/>
      <c r="D219" s="128" t="n"/>
      <c r="E219" s="21" t="n"/>
      <c r="F219" s="22" t="n"/>
      <c r="G219" s="22" t="n"/>
      <c r="H219" s="22" t="n"/>
      <c r="I219" s="26">
        <f>G219-H219</f>
        <v/>
      </c>
      <c r="J219" s="21" t="n"/>
      <c r="K219" s="21" t="n"/>
      <c r="L219" s="27">
        <f>SUM(J219:K219)</f>
        <v/>
      </c>
      <c r="M219" s="28" t="n"/>
      <c r="N219" s="28" t="n"/>
      <c r="O219" s="29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1" t="n"/>
      <c r="Q219" s="21" t="n"/>
      <c r="R219" s="27">
        <f>SUM(P219:Q219)</f>
        <v/>
      </c>
      <c r="S219" s="28" t="n"/>
      <c r="T219" s="28" t="n"/>
      <c r="U219" s="29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1" t="n"/>
      <c r="W219" s="21" t="n"/>
      <c r="X219" s="27">
        <f>SUM(V219:W219)</f>
        <v/>
      </c>
      <c r="Y219" s="28" t="n"/>
      <c r="Z219" s="28" t="n"/>
      <c r="AA219" s="29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1" t="n"/>
      <c r="AC219" s="21" t="n"/>
      <c r="AD219" s="27">
        <f>SUM(AB219:AC219)</f>
        <v/>
      </c>
      <c r="AE219" s="28" t="n"/>
      <c r="AF219" s="28" t="n"/>
      <c r="AG219" s="29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1" t="n"/>
      <c r="AI219" s="21" t="n"/>
      <c r="AJ219" s="27">
        <f>SUM(AH219:AI219)</f>
        <v/>
      </c>
      <c r="AK219" s="28" t="n"/>
      <c r="AL219" s="28" t="n"/>
      <c r="AM219" s="29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1" t="n"/>
      <c r="AO219" s="21" t="n"/>
      <c r="AP219" s="27">
        <f>SUM(AN219:AO219)</f>
        <v/>
      </c>
      <c r="AQ219" s="28" t="n"/>
      <c r="AR219" s="30" t="n"/>
      <c r="AS219" s="29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1" t="n"/>
      <c r="AU219" s="21" t="n"/>
      <c r="AV219" s="27">
        <f>SUM(AT219:AU219)</f>
        <v/>
      </c>
      <c r="AW219" s="28" t="n"/>
      <c r="AX219" s="30" t="n"/>
      <c r="AY219" s="29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1" t="n"/>
      <c r="BA219" s="21" t="n"/>
      <c r="BB219" s="27">
        <f>SUM(AZ219:BA219)</f>
        <v/>
      </c>
      <c r="BC219" s="28" t="n"/>
      <c r="BD219" s="28" t="n"/>
      <c r="BE219" s="29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1" t="n"/>
      <c r="BG219" s="21" t="n"/>
      <c r="BH219" s="27">
        <f>SUM(BF219:BG219)</f>
        <v/>
      </c>
      <c r="BI219" s="28" t="n"/>
      <c r="BJ219" s="28" t="n"/>
      <c r="BK219" s="29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1" t="n"/>
      <c r="BM219" s="21" t="n"/>
      <c r="BN219" s="27">
        <f>SUM(BL219:BM219)</f>
        <v/>
      </c>
      <c r="BO219" s="28" t="n"/>
      <c r="BP219" s="31" t="n"/>
      <c r="BQ219" s="29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1" t="n"/>
      <c r="BS219" s="21" t="n"/>
      <c r="BT219" s="27">
        <f>SUM(BR219:BS219)</f>
        <v/>
      </c>
      <c r="BU219" s="28" t="n"/>
      <c r="BV219" s="31" t="n"/>
      <c r="BW219" s="29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1" t="n"/>
      <c r="BY219" s="21" t="n"/>
      <c r="BZ219" s="27">
        <f>SUM(BX219:BY219)</f>
        <v/>
      </c>
      <c r="CA219" s="28" t="n"/>
      <c r="CB219" s="31" t="n"/>
      <c r="CC219" s="29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1" t="n"/>
      <c r="CE219" s="21" t="n"/>
      <c r="CF219" s="27">
        <f>SUM(CD219:CE219)</f>
        <v/>
      </c>
      <c r="CG219" s="28" t="n"/>
      <c r="CH219" s="31" t="n"/>
      <c r="CI219" s="29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1" t="n"/>
      <c r="CK219" s="21" t="n"/>
      <c r="CL219" s="27">
        <f>SUM(CJ219:CK219)</f>
        <v/>
      </c>
      <c r="CM219" s="28" t="n"/>
      <c r="CN219" s="31" t="n"/>
      <c r="CO219" s="29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1" t="n"/>
      <c r="CQ219" s="21" t="n"/>
      <c r="CR219" s="27">
        <f>SUM(CP219:CQ219)</f>
        <v/>
      </c>
      <c r="CS219" s="28" t="n"/>
      <c r="CT219" s="31" t="n"/>
      <c r="CU219" s="29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1" t="n"/>
      <c r="CW219" s="21" t="n"/>
      <c r="CX219" s="27">
        <f>SUM(CV219:CW219)</f>
        <v/>
      </c>
      <c r="CY219" s="28" t="n"/>
      <c r="CZ219" s="31" t="n"/>
      <c r="DA219" s="29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1" t="n"/>
      <c r="DC219" s="21" t="n"/>
      <c r="DD219" s="27">
        <f>SUM(DB219:DC219)</f>
        <v/>
      </c>
      <c r="DE219" s="28" t="n"/>
      <c r="DF219" s="31" t="n"/>
      <c r="DG219" s="29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34">
        <f>SUM(O219,U219,AA219,AG219,AM219,AS219,AY219,BE219,BK219,BQ219,BW219,CC219,CI219,CO219,CU219,DA219,DG219)</f>
        <v/>
      </c>
      <c r="DI219" s="39">
        <f>RANK(DH219,DH$4:DH$503)</f>
        <v/>
      </c>
      <c r="DJ219" s="40" t="inlineStr">
        <is>
          <t>CHOOSE RATING</t>
        </is>
      </c>
      <c r="DK219" s="40" t="inlineStr">
        <is>
          <t>CHOOSE RATING</t>
        </is>
      </c>
      <c r="DL219" s="40" t="inlineStr">
        <is>
          <t>CHOOSE RATING</t>
        </is>
      </c>
      <c r="DM219" s="40" t="inlineStr">
        <is>
          <t>CHOOSE RATING</t>
        </is>
      </c>
      <c r="DN219" s="40" t="inlineStr">
        <is>
          <t>CHOOSE RATING</t>
        </is>
      </c>
      <c r="DO219" s="40" t="inlineStr">
        <is>
          <t>CHOOSE RATING</t>
        </is>
      </c>
      <c r="DP219" s="40" t="inlineStr">
        <is>
          <t>CHOOSE RATING</t>
        </is>
      </c>
      <c r="DQ219" s="40" t="inlineStr">
        <is>
          <t>CHOOSE RATING</t>
        </is>
      </c>
      <c r="DR219" s="43" t="inlineStr">
        <is>
          <t>2024/2025</t>
        </is>
      </c>
      <c r="DS219" s="45" t="inlineStr">
        <is>
          <t>THIRD</t>
        </is>
      </c>
      <c r="DT219" s="40" t="inlineStr">
        <is>
          <t>CHOOSE RATING</t>
        </is>
      </c>
      <c r="DU219" s="40" t="inlineStr">
        <is>
          <t>CHOOSE RATING</t>
        </is>
      </c>
      <c r="DV219" s="40" t="inlineStr">
        <is>
          <t>CHOOSE RATING</t>
        </is>
      </c>
      <c r="DW219" s="40" t="inlineStr">
        <is>
          <t>CHOOSE RATING</t>
        </is>
      </c>
      <c r="DX219" s="40" t="inlineStr">
        <is>
          <t>CHOOSE RATING</t>
        </is>
      </c>
      <c r="DY219" s="40" t="inlineStr">
        <is>
          <t>CHOOSE RATING</t>
        </is>
      </c>
      <c r="DZ219" s="53" t="inlineStr">
        <is>
          <t>CHOOSE RATING</t>
        </is>
      </c>
      <c r="EA219" s="54" t="inlineStr">
        <is>
          <t>Add the Tutor's Comment . . .</t>
        </is>
      </c>
      <c r="EB219" s="55" t="inlineStr">
        <is>
          <t>Choose Principals comment</t>
        </is>
      </c>
      <c r="EC219" s="56" t="n"/>
      <c r="ED219" s="57" t="inlineStr">
        <is>
          <t>Next Term Begins on Monday, 22nd September, 2025</t>
        </is>
      </c>
    </row>
    <row r="220" ht="30.6" customHeight="1" s="6">
      <c r="A220" s="18" t="n">
        <v>217</v>
      </c>
      <c r="B220" s="19" t="n"/>
      <c r="C220" s="20" t="n"/>
      <c r="D220" s="128" t="n"/>
      <c r="E220" s="21" t="n"/>
      <c r="F220" s="22" t="n"/>
      <c r="G220" s="22" t="n"/>
      <c r="H220" s="22" t="n"/>
      <c r="I220" s="26">
        <f>G220-H220</f>
        <v/>
      </c>
      <c r="J220" s="21" t="n"/>
      <c r="K220" s="21" t="n"/>
      <c r="L220" s="27">
        <f>SUM(J220:K220)</f>
        <v/>
      </c>
      <c r="M220" s="28" t="n"/>
      <c r="N220" s="28" t="n"/>
      <c r="O220" s="29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1" t="n"/>
      <c r="Q220" s="21" t="n"/>
      <c r="R220" s="27">
        <f>SUM(P220:Q220)</f>
        <v/>
      </c>
      <c r="S220" s="28" t="n"/>
      <c r="T220" s="28" t="n"/>
      <c r="U220" s="29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1" t="n"/>
      <c r="W220" s="21" t="n"/>
      <c r="X220" s="27">
        <f>SUM(V220:W220)</f>
        <v/>
      </c>
      <c r="Y220" s="28" t="n"/>
      <c r="Z220" s="28" t="n"/>
      <c r="AA220" s="29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1" t="n"/>
      <c r="AC220" s="21" t="n"/>
      <c r="AD220" s="27">
        <f>SUM(AB220:AC220)</f>
        <v/>
      </c>
      <c r="AE220" s="28" t="n"/>
      <c r="AF220" s="28" t="n"/>
      <c r="AG220" s="29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1" t="n"/>
      <c r="AI220" s="21" t="n"/>
      <c r="AJ220" s="27">
        <f>SUM(AH220:AI220)</f>
        <v/>
      </c>
      <c r="AK220" s="28" t="n"/>
      <c r="AL220" s="28" t="n"/>
      <c r="AM220" s="29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1" t="n"/>
      <c r="AO220" s="21" t="n"/>
      <c r="AP220" s="27">
        <f>SUM(AN220:AO220)</f>
        <v/>
      </c>
      <c r="AQ220" s="28" t="n"/>
      <c r="AR220" s="30" t="n"/>
      <c r="AS220" s="29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1" t="n"/>
      <c r="AU220" s="21" t="n"/>
      <c r="AV220" s="27">
        <f>SUM(AT220:AU220)</f>
        <v/>
      </c>
      <c r="AW220" s="28" t="n"/>
      <c r="AX220" s="30" t="n"/>
      <c r="AY220" s="29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1" t="n"/>
      <c r="BA220" s="21" t="n"/>
      <c r="BB220" s="27">
        <f>SUM(AZ220:BA220)</f>
        <v/>
      </c>
      <c r="BC220" s="28" t="n"/>
      <c r="BD220" s="28" t="n"/>
      <c r="BE220" s="29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1" t="n"/>
      <c r="BG220" s="21" t="n"/>
      <c r="BH220" s="27">
        <f>SUM(BF220:BG220)</f>
        <v/>
      </c>
      <c r="BI220" s="28" t="n"/>
      <c r="BJ220" s="28" t="n"/>
      <c r="BK220" s="29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1" t="n"/>
      <c r="BM220" s="21" t="n"/>
      <c r="BN220" s="27">
        <f>SUM(BL220:BM220)</f>
        <v/>
      </c>
      <c r="BO220" s="28" t="n"/>
      <c r="BP220" s="31" t="n"/>
      <c r="BQ220" s="29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1" t="n"/>
      <c r="BS220" s="21" t="n"/>
      <c r="BT220" s="27">
        <f>SUM(BR220:BS220)</f>
        <v/>
      </c>
      <c r="BU220" s="28" t="n"/>
      <c r="BV220" s="31" t="n"/>
      <c r="BW220" s="29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1" t="n"/>
      <c r="BY220" s="21" t="n"/>
      <c r="BZ220" s="27">
        <f>SUM(BX220:BY220)</f>
        <v/>
      </c>
      <c r="CA220" s="28" t="n"/>
      <c r="CB220" s="31" t="n"/>
      <c r="CC220" s="29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1" t="n"/>
      <c r="CE220" s="21" t="n"/>
      <c r="CF220" s="27">
        <f>SUM(CD220:CE220)</f>
        <v/>
      </c>
      <c r="CG220" s="28" t="n"/>
      <c r="CH220" s="31" t="n"/>
      <c r="CI220" s="29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1" t="n"/>
      <c r="CK220" s="21" t="n"/>
      <c r="CL220" s="27">
        <f>SUM(CJ220:CK220)</f>
        <v/>
      </c>
      <c r="CM220" s="28" t="n"/>
      <c r="CN220" s="31" t="n"/>
      <c r="CO220" s="29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1" t="n"/>
      <c r="CQ220" s="21" t="n"/>
      <c r="CR220" s="27">
        <f>SUM(CP220:CQ220)</f>
        <v/>
      </c>
      <c r="CS220" s="28" t="n"/>
      <c r="CT220" s="31" t="n"/>
      <c r="CU220" s="29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1" t="n"/>
      <c r="CW220" s="21" t="n"/>
      <c r="CX220" s="27">
        <f>SUM(CV220:CW220)</f>
        <v/>
      </c>
      <c r="CY220" s="28" t="n"/>
      <c r="CZ220" s="31" t="n"/>
      <c r="DA220" s="29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1" t="n"/>
      <c r="DC220" s="21" t="n"/>
      <c r="DD220" s="27">
        <f>SUM(DB220:DC220)</f>
        <v/>
      </c>
      <c r="DE220" s="28" t="n"/>
      <c r="DF220" s="31" t="n"/>
      <c r="DG220" s="29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34">
        <f>SUM(O220,U220,AA220,AG220,AM220,AS220,AY220,BE220,BK220,BQ220,BW220,CC220,CI220,CO220,CU220,DA220,DG220)</f>
        <v/>
      </c>
      <c r="DI220" s="39">
        <f>RANK(DH220,DH$4:DH$503)</f>
        <v/>
      </c>
      <c r="DJ220" s="40" t="inlineStr">
        <is>
          <t>CHOOSE RATING</t>
        </is>
      </c>
      <c r="DK220" s="40" t="inlineStr">
        <is>
          <t>CHOOSE RATING</t>
        </is>
      </c>
      <c r="DL220" s="40" t="inlineStr">
        <is>
          <t>CHOOSE RATING</t>
        </is>
      </c>
      <c r="DM220" s="40" t="inlineStr">
        <is>
          <t>CHOOSE RATING</t>
        </is>
      </c>
      <c r="DN220" s="40" t="inlineStr">
        <is>
          <t>CHOOSE RATING</t>
        </is>
      </c>
      <c r="DO220" s="40" t="inlineStr">
        <is>
          <t>CHOOSE RATING</t>
        </is>
      </c>
      <c r="DP220" s="40" t="inlineStr">
        <is>
          <t>CHOOSE RATING</t>
        </is>
      </c>
      <c r="DQ220" s="40" t="inlineStr">
        <is>
          <t>CHOOSE RATING</t>
        </is>
      </c>
      <c r="DR220" s="43" t="inlineStr">
        <is>
          <t>2024/2025</t>
        </is>
      </c>
      <c r="DS220" s="45" t="inlineStr">
        <is>
          <t>THIRD</t>
        </is>
      </c>
      <c r="DT220" s="40" t="inlineStr">
        <is>
          <t>CHOOSE RATING</t>
        </is>
      </c>
      <c r="DU220" s="40" t="inlineStr">
        <is>
          <t>CHOOSE RATING</t>
        </is>
      </c>
      <c r="DV220" s="40" t="inlineStr">
        <is>
          <t>CHOOSE RATING</t>
        </is>
      </c>
      <c r="DW220" s="40" t="inlineStr">
        <is>
          <t>CHOOSE RATING</t>
        </is>
      </c>
      <c r="DX220" s="40" t="inlineStr">
        <is>
          <t>CHOOSE RATING</t>
        </is>
      </c>
      <c r="DY220" s="40" t="inlineStr">
        <is>
          <t>CHOOSE RATING</t>
        </is>
      </c>
      <c r="DZ220" s="53" t="inlineStr">
        <is>
          <t>CHOOSE RATING</t>
        </is>
      </c>
      <c r="EA220" s="54" t="inlineStr">
        <is>
          <t>Add the Tutor's Comment . . .</t>
        </is>
      </c>
      <c r="EB220" s="55" t="inlineStr">
        <is>
          <t>Choose Principals comment</t>
        </is>
      </c>
      <c r="EC220" s="56" t="n"/>
      <c r="ED220" s="57" t="inlineStr">
        <is>
          <t>Next Term Begins on Monday, 22nd September, 2025</t>
        </is>
      </c>
    </row>
    <row r="221" ht="30.6" customHeight="1" s="6">
      <c r="A221" s="18" t="n">
        <v>218</v>
      </c>
      <c r="B221" s="19" t="n"/>
      <c r="C221" s="20" t="n"/>
      <c r="D221" s="128" t="n"/>
      <c r="E221" s="21" t="n"/>
      <c r="F221" s="22" t="n"/>
      <c r="G221" s="22" t="n"/>
      <c r="H221" s="22" t="n"/>
      <c r="I221" s="26">
        <f>G221-H221</f>
        <v/>
      </c>
      <c r="J221" s="21" t="n"/>
      <c r="K221" s="21" t="n"/>
      <c r="L221" s="27">
        <f>SUM(J221:K221)</f>
        <v/>
      </c>
      <c r="M221" s="28" t="n"/>
      <c r="N221" s="28" t="n"/>
      <c r="O221" s="29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1" t="n"/>
      <c r="Q221" s="21" t="n"/>
      <c r="R221" s="27">
        <f>SUM(P221:Q221)</f>
        <v/>
      </c>
      <c r="S221" s="28" t="n"/>
      <c r="T221" s="28" t="n"/>
      <c r="U221" s="29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1" t="n"/>
      <c r="W221" s="21" t="n"/>
      <c r="X221" s="27">
        <f>SUM(V221:W221)</f>
        <v/>
      </c>
      <c r="Y221" s="28" t="n"/>
      <c r="Z221" s="28" t="n"/>
      <c r="AA221" s="29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1" t="n"/>
      <c r="AC221" s="21" t="n"/>
      <c r="AD221" s="27">
        <f>SUM(AB221:AC221)</f>
        <v/>
      </c>
      <c r="AE221" s="28" t="n"/>
      <c r="AF221" s="28" t="n"/>
      <c r="AG221" s="29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1" t="n"/>
      <c r="AI221" s="21" t="n"/>
      <c r="AJ221" s="27">
        <f>SUM(AH221:AI221)</f>
        <v/>
      </c>
      <c r="AK221" s="28" t="n"/>
      <c r="AL221" s="28" t="n"/>
      <c r="AM221" s="29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1" t="n"/>
      <c r="AO221" s="21" t="n"/>
      <c r="AP221" s="27">
        <f>SUM(AN221:AO221)</f>
        <v/>
      </c>
      <c r="AQ221" s="28" t="n"/>
      <c r="AR221" s="30" t="n"/>
      <c r="AS221" s="29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1" t="n"/>
      <c r="AU221" s="21" t="n"/>
      <c r="AV221" s="27">
        <f>SUM(AT221:AU221)</f>
        <v/>
      </c>
      <c r="AW221" s="28" t="n"/>
      <c r="AX221" s="30" t="n"/>
      <c r="AY221" s="29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1" t="n"/>
      <c r="BA221" s="21" t="n"/>
      <c r="BB221" s="27">
        <f>SUM(AZ221:BA221)</f>
        <v/>
      </c>
      <c r="BC221" s="28" t="n"/>
      <c r="BD221" s="28" t="n"/>
      <c r="BE221" s="29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1" t="n"/>
      <c r="BG221" s="21" t="n"/>
      <c r="BH221" s="27">
        <f>SUM(BF221:BG221)</f>
        <v/>
      </c>
      <c r="BI221" s="28" t="n"/>
      <c r="BJ221" s="28" t="n"/>
      <c r="BK221" s="29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1" t="n"/>
      <c r="BM221" s="21" t="n"/>
      <c r="BN221" s="27">
        <f>SUM(BL221:BM221)</f>
        <v/>
      </c>
      <c r="BO221" s="28" t="n"/>
      <c r="BP221" s="31" t="n"/>
      <c r="BQ221" s="29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1" t="n"/>
      <c r="BS221" s="21" t="n"/>
      <c r="BT221" s="27">
        <f>SUM(BR221:BS221)</f>
        <v/>
      </c>
      <c r="BU221" s="28" t="n"/>
      <c r="BV221" s="31" t="n"/>
      <c r="BW221" s="29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1" t="n"/>
      <c r="BY221" s="21" t="n"/>
      <c r="BZ221" s="27">
        <f>SUM(BX221:BY221)</f>
        <v/>
      </c>
      <c r="CA221" s="28" t="n"/>
      <c r="CB221" s="31" t="n"/>
      <c r="CC221" s="29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1" t="n"/>
      <c r="CE221" s="21" t="n"/>
      <c r="CF221" s="27">
        <f>SUM(CD221:CE221)</f>
        <v/>
      </c>
      <c r="CG221" s="28" t="n"/>
      <c r="CH221" s="31" t="n"/>
      <c r="CI221" s="29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1" t="n"/>
      <c r="CK221" s="21" t="n"/>
      <c r="CL221" s="27">
        <f>SUM(CJ221:CK221)</f>
        <v/>
      </c>
      <c r="CM221" s="28" t="n"/>
      <c r="CN221" s="31" t="n"/>
      <c r="CO221" s="29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1" t="n"/>
      <c r="CQ221" s="21" t="n"/>
      <c r="CR221" s="27">
        <f>SUM(CP221:CQ221)</f>
        <v/>
      </c>
      <c r="CS221" s="28" t="n"/>
      <c r="CT221" s="31" t="n"/>
      <c r="CU221" s="29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1" t="n"/>
      <c r="CW221" s="21" t="n"/>
      <c r="CX221" s="27">
        <f>SUM(CV221:CW221)</f>
        <v/>
      </c>
      <c r="CY221" s="28" t="n"/>
      <c r="CZ221" s="31" t="n"/>
      <c r="DA221" s="29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1" t="n"/>
      <c r="DC221" s="21" t="n"/>
      <c r="DD221" s="27">
        <f>SUM(DB221:DC221)</f>
        <v/>
      </c>
      <c r="DE221" s="28" t="n"/>
      <c r="DF221" s="31" t="n"/>
      <c r="DG221" s="29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34">
        <f>SUM(O221,U221,AA221,AG221,AM221,AS221,AY221,BE221,BK221,BQ221,BW221,CC221,CI221,CO221,CU221,DA221,DG221)</f>
        <v/>
      </c>
      <c r="DI221" s="39">
        <f>RANK(DH221,DH$4:DH$503)</f>
        <v/>
      </c>
      <c r="DJ221" s="40" t="inlineStr">
        <is>
          <t>CHOOSE RATING</t>
        </is>
      </c>
      <c r="DK221" s="40" t="inlineStr">
        <is>
          <t>CHOOSE RATING</t>
        </is>
      </c>
      <c r="DL221" s="40" t="inlineStr">
        <is>
          <t>CHOOSE RATING</t>
        </is>
      </c>
      <c r="DM221" s="40" t="inlineStr">
        <is>
          <t>CHOOSE RATING</t>
        </is>
      </c>
      <c r="DN221" s="40" t="inlineStr">
        <is>
          <t>CHOOSE RATING</t>
        </is>
      </c>
      <c r="DO221" s="40" t="inlineStr">
        <is>
          <t>CHOOSE RATING</t>
        </is>
      </c>
      <c r="DP221" s="40" t="inlineStr">
        <is>
          <t>CHOOSE RATING</t>
        </is>
      </c>
      <c r="DQ221" s="40" t="inlineStr">
        <is>
          <t>CHOOSE RATING</t>
        </is>
      </c>
      <c r="DR221" s="43" t="inlineStr">
        <is>
          <t>2024/2025</t>
        </is>
      </c>
      <c r="DS221" s="45" t="inlineStr">
        <is>
          <t>THIRD</t>
        </is>
      </c>
      <c r="DT221" s="40" t="inlineStr">
        <is>
          <t>CHOOSE RATING</t>
        </is>
      </c>
      <c r="DU221" s="40" t="inlineStr">
        <is>
          <t>CHOOSE RATING</t>
        </is>
      </c>
      <c r="DV221" s="40" t="inlineStr">
        <is>
          <t>CHOOSE RATING</t>
        </is>
      </c>
      <c r="DW221" s="40" t="inlineStr">
        <is>
          <t>CHOOSE RATING</t>
        </is>
      </c>
      <c r="DX221" s="40" t="inlineStr">
        <is>
          <t>CHOOSE RATING</t>
        </is>
      </c>
      <c r="DY221" s="40" t="inlineStr">
        <is>
          <t>CHOOSE RATING</t>
        </is>
      </c>
      <c r="DZ221" s="53" t="inlineStr">
        <is>
          <t>CHOOSE RATING</t>
        </is>
      </c>
      <c r="EA221" s="54" t="inlineStr">
        <is>
          <t>Add the Tutor's Comment . . .</t>
        </is>
      </c>
      <c r="EB221" s="55" t="inlineStr">
        <is>
          <t>Choose Principals comment</t>
        </is>
      </c>
      <c r="EC221" s="56" t="n"/>
      <c r="ED221" s="57" t="inlineStr">
        <is>
          <t>Next Term Begins on Monday, 22nd September, 2025</t>
        </is>
      </c>
    </row>
    <row r="222" ht="30.6" customHeight="1" s="6">
      <c r="A222" s="18" t="n">
        <v>219</v>
      </c>
      <c r="B222" s="19" t="n"/>
      <c r="C222" s="20" t="n"/>
      <c r="D222" s="128" t="n"/>
      <c r="E222" s="21" t="n"/>
      <c r="F222" s="22" t="n"/>
      <c r="G222" s="22" t="n"/>
      <c r="H222" s="22" t="n"/>
      <c r="I222" s="26">
        <f>G222-H222</f>
        <v/>
      </c>
      <c r="J222" s="21" t="n"/>
      <c r="K222" s="21" t="n"/>
      <c r="L222" s="27">
        <f>SUM(J222:K222)</f>
        <v/>
      </c>
      <c r="M222" s="28" t="n"/>
      <c r="N222" s="28" t="n"/>
      <c r="O222" s="29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1" t="n"/>
      <c r="Q222" s="21" t="n"/>
      <c r="R222" s="27">
        <f>SUM(P222:Q222)</f>
        <v/>
      </c>
      <c r="S222" s="28" t="n"/>
      <c r="T222" s="28" t="n"/>
      <c r="U222" s="29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1" t="n"/>
      <c r="W222" s="21" t="n"/>
      <c r="X222" s="27">
        <f>SUM(V222:W222)</f>
        <v/>
      </c>
      <c r="Y222" s="28" t="n"/>
      <c r="Z222" s="28" t="n"/>
      <c r="AA222" s="29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1" t="n"/>
      <c r="AC222" s="21" t="n"/>
      <c r="AD222" s="27">
        <f>SUM(AB222:AC222)</f>
        <v/>
      </c>
      <c r="AE222" s="28" t="n"/>
      <c r="AF222" s="28" t="n"/>
      <c r="AG222" s="29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1" t="n"/>
      <c r="AI222" s="21" t="n"/>
      <c r="AJ222" s="27">
        <f>SUM(AH222:AI222)</f>
        <v/>
      </c>
      <c r="AK222" s="28" t="n"/>
      <c r="AL222" s="28" t="n"/>
      <c r="AM222" s="29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1" t="n"/>
      <c r="AO222" s="21" t="n"/>
      <c r="AP222" s="27">
        <f>SUM(AN222:AO222)</f>
        <v/>
      </c>
      <c r="AQ222" s="28" t="n"/>
      <c r="AR222" s="30" t="n"/>
      <c r="AS222" s="29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1" t="n"/>
      <c r="AU222" s="21" t="n"/>
      <c r="AV222" s="27">
        <f>SUM(AT222:AU222)</f>
        <v/>
      </c>
      <c r="AW222" s="28" t="n"/>
      <c r="AX222" s="30" t="n"/>
      <c r="AY222" s="29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1" t="n"/>
      <c r="BA222" s="21" t="n"/>
      <c r="BB222" s="27">
        <f>SUM(AZ222:BA222)</f>
        <v/>
      </c>
      <c r="BC222" s="28" t="n"/>
      <c r="BD222" s="28" t="n"/>
      <c r="BE222" s="29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1" t="n"/>
      <c r="BG222" s="21" t="n"/>
      <c r="BH222" s="27">
        <f>SUM(BF222:BG222)</f>
        <v/>
      </c>
      <c r="BI222" s="28" t="n"/>
      <c r="BJ222" s="28" t="n"/>
      <c r="BK222" s="29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1" t="n"/>
      <c r="BM222" s="21" t="n"/>
      <c r="BN222" s="27">
        <f>SUM(BL222:BM222)</f>
        <v/>
      </c>
      <c r="BO222" s="28" t="n"/>
      <c r="BP222" s="31" t="n"/>
      <c r="BQ222" s="29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1" t="n"/>
      <c r="BS222" s="21" t="n"/>
      <c r="BT222" s="27">
        <f>SUM(BR222:BS222)</f>
        <v/>
      </c>
      <c r="BU222" s="28" t="n"/>
      <c r="BV222" s="31" t="n"/>
      <c r="BW222" s="29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1" t="n"/>
      <c r="BY222" s="21" t="n"/>
      <c r="BZ222" s="27">
        <f>SUM(BX222:BY222)</f>
        <v/>
      </c>
      <c r="CA222" s="28" t="n"/>
      <c r="CB222" s="31" t="n"/>
      <c r="CC222" s="29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1" t="n"/>
      <c r="CE222" s="21" t="n"/>
      <c r="CF222" s="27">
        <f>SUM(CD222:CE222)</f>
        <v/>
      </c>
      <c r="CG222" s="28" t="n"/>
      <c r="CH222" s="31" t="n"/>
      <c r="CI222" s="29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1" t="n"/>
      <c r="CK222" s="21" t="n"/>
      <c r="CL222" s="27">
        <f>SUM(CJ222:CK222)</f>
        <v/>
      </c>
      <c r="CM222" s="28" t="n"/>
      <c r="CN222" s="31" t="n"/>
      <c r="CO222" s="29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1" t="n"/>
      <c r="CQ222" s="21" t="n"/>
      <c r="CR222" s="27">
        <f>SUM(CP222:CQ222)</f>
        <v/>
      </c>
      <c r="CS222" s="28" t="n"/>
      <c r="CT222" s="31" t="n"/>
      <c r="CU222" s="29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1" t="n"/>
      <c r="CW222" s="21" t="n"/>
      <c r="CX222" s="27">
        <f>SUM(CV222:CW222)</f>
        <v/>
      </c>
      <c r="CY222" s="28" t="n"/>
      <c r="CZ222" s="31" t="n"/>
      <c r="DA222" s="29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1" t="n"/>
      <c r="DC222" s="21" t="n"/>
      <c r="DD222" s="27">
        <f>SUM(DB222:DC222)</f>
        <v/>
      </c>
      <c r="DE222" s="28" t="n"/>
      <c r="DF222" s="31" t="n"/>
      <c r="DG222" s="29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34">
        <f>SUM(O222,U222,AA222,AG222,AM222,AS222,AY222,BE222,BK222,BQ222,BW222,CC222,CI222,CO222,CU222,DA222,DG222)</f>
        <v/>
      </c>
      <c r="DI222" s="39">
        <f>RANK(DH222,DH$4:DH$503)</f>
        <v/>
      </c>
      <c r="DJ222" s="40" t="inlineStr">
        <is>
          <t>CHOOSE RATING</t>
        </is>
      </c>
      <c r="DK222" s="40" t="inlineStr">
        <is>
          <t>CHOOSE RATING</t>
        </is>
      </c>
      <c r="DL222" s="40" t="inlineStr">
        <is>
          <t>CHOOSE RATING</t>
        </is>
      </c>
      <c r="DM222" s="40" t="inlineStr">
        <is>
          <t>CHOOSE RATING</t>
        </is>
      </c>
      <c r="DN222" s="40" t="inlineStr">
        <is>
          <t>CHOOSE RATING</t>
        </is>
      </c>
      <c r="DO222" s="40" t="inlineStr">
        <is>
          <t>CHOOSE RATING</t>
        </is>
      </c>
      <c r="DP222" s="40" t="inlineStr">
        <is>
          <t>CHOOSE RATING</t>
        </is>
      </c>
      <c r="DQ222" s="40" t="inlineStr">
        <is>
          <t>CHOOSE RATING</t>
        </is>
      </c>
      <c r="DR222" s="43" t="inlineStr">
        <is>
          <t>2024/2025</t>
        </is>
      </c>
      <c r="DS222" s="45" t="inlineStr">
        <is>
          <t>THIRD</t>
        </is>
      </c>
      <c r="DT222" s="40" t="inlineStr">
        <is>
          <t>CHOOSE RATING</t>
        </is>
      </c>
      <c r="DU222" s="40" t="inlineStr">
        <is>
          <t>CHOOSE RATING</t>
        </is>
      </c>
      <c r="DV222" s="40" t="inlineStr">
        <is>
          <t>CHOOSE RATING</t>
        </is>
      </c>
      <c r="DW222" s="40" t="inlineStr">
        <is>
          <t>CHOOSE RATING</t>
        </is>
      </c>
      <c r="DX222" s="40" t="inlineStr">
        <is>
          <t>CHOOSE RATING</t>
        </is>
      </c>
      <c r="DY222" s="40" t="inlineStr">
        <is>
          <t>CHOOSE RATING</t>
        </is>
      </c>
      <c r="DZ222" s="53" t="inlineStr">
        <is>
          <t>CHOOSE RATING</t>
        </is>
      </c>
      <c r="EA222" s="54" t="inlineStr">
        <is>
          <t>Add the Tutor's Comment . . .</t>
        </is>
      </c>
      <c r="EB222" s="55" t="inlineStr">
        <is>
          <t>Choose Principals comment</t>
        </is>
      </c>
      <c r="EC222" s="56" t="n"/>
      <c r="ED222" s="57" t="inlineStr">
        <is>
          <t>Next Term Begins on Monday, 22nd September, 2025</t>
        </is>
      </c>
    </row>
    <row r="223" ht="30.6" customHeight="1" s="6">
      <c r="A223" s="18" t="n">
        <v>220</v>
      </c>
      <c r="B223" s="19" t="n"/>
      <c r="C223" s="20" t="n"/>
      <c r="D223" s="128" t="n"/>
      <c r="E223" s="21" t="n"/>
      <c r="F223" s="22" t="n"/>
      <c r="G223" s="22" t="n"/>
      <c r="H223" s="22" t="n"/>
      <c r="I223" s="26">
        <f>G223-H223</f>
        <v/>
      </c>
      <c r="J223" s="21" t="n"/>
      <c r="K223" s="21" t="n"/>
      <c r="L223" s="27">
        <f>SUM(J223:K223)</f>
        <v/>
      </c>
      <c r="M223" s="28" t="n"/>
      <c r="N223" s="28" t="n"/>
      <c r="O223" s="29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1" t="n"/>
      <c r="Q223" s="21" t="n"/>
      <c r="R223" s="27">
        <f>SUM(P223:Q223)</f>
        <v/>
      </c>
      <c r="S223" s="28" t="n"/>
      <c r="T223" s="28" t="n"/>
      <c r="U223" s="29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1" t="n"/>
      <c r="W223" s="21" t="n"/>
      <c r="X223" s="27">
        <f>SUM(V223:W223)</f>
        <v/>
      </c>
      <c r="Y223" s="28" t="n"/>
      <c r="Z223" s="28" t="n"/>
      <c r="AA223" s="29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1" t="n"/>
      <c r="AC223" s="21" t="n"/>
      <c r="AD223" s="27">
        <f>SUM(AB223:AC223)</f>
        <v/>
      </c>
      <c r="AE223" s="28" t="n"/>
      <c r="AF223" s="28" t="n"/>
      <c r="AG223" s="29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1" t="n"/>
      <c r="AI223" s="21" t="n"/>
      <c r="AJ223" s="27">
        <f>SUM(AH223:AI223)</f>
        <v/>
      </c>
      <c r="AK223" s="28" t="n"/>
      <c r="AL223" s="28" t="n"/>
      <c r="AM223" s="29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1" t="n"/>
      <c r="AO223" s="21" t="n"/>
      <c r="AP223" s="27">
        <f>SUM(AN223:AO223)</f>
        <v/>
      </c>
      <c r="AQ223" s="28" t="n"/>
      <c r="AR223" s="30" t="n"/>
      <c r="AS223" s="29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1" t="n"/>
      <c r="AU223" s="21" t="n"/>
      <c r="AV223" s="27">
        <f>SUM(AT223:AU223)</f>
        <v/>
      </c>
      <c r="AW223" s="28" t="n"/>
      <c r="AX223" s="30" t="n"/>
      <c r="AY223" s="29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1" t="n"/>
      <c r="BA223" s="21" t="n"/>
      <c r="BB223" s="27">
        <f>SUM(AZ223:BA223)</f>
        <v/>
      </c>
      <c r="BC223" s="28" t="n"/>
      <c r="BD223" s="28" t="n"/>
      <c r="BE223" s="29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1" t="n"/>
      <c r="BG223" s="21" t="n"/>
      <c r="BH223" s="27">
        <f>SUM(BF223:BG223)</f>
        <v/>
      </c>
      <c r="BI223" s="28" t="n"/>
      <c r="BJ223" s="28" t="n"/>
      <c r="BK223" s="29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1" t="n"/>
      <c r="BM223" s="21" t="n"/>
      <c r="BN223" s="27">
        <f>SUM(BL223:BM223)</f>
        <v/>
      </c>
      <c r="BO223" s="28" t="n"/>
      <c r="BP223" s="31" t="n"/>
      <c r="BQ223" s="29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1" t="n"/>
      <c r="BS223" s="21" t="n"/>
      <c r="BT223" s="27">
        <f>SUM(BR223:BS223)</f>
        <v/>
      </c>
      <c r="BU223" s="28" t="n"/>
      <c r="BV223" s="31" t="n"/>
      <c r="BW223" s="29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1" t="n"/>
      <c r="BY223" s="21" t="n"/>
      <c r="BZ223" s="27">
        <f>SUM(BX223:BY223)</f>
        <v/>
      </c>
      <c r="CA223" s="28" t="n"/>
      <c r="CB223" s="31" t="n"/>
      <c r="CC223" s="29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1" t="n"/>
      <c r="CE223" s="21" t="n"/>
      <c r="CF223" s="27">
        <f>SUM(CD223:CE223)</f>
        <v/>
      </c>
      <c r="CG223" s="28" t="n"/>
      <c r="CH223" s="31" t="n"/>
      <c r="CI223" s="29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1" t="n"/>
      <c r="CK223" s="21" t="n"/>
      <c r="CL223" s="27">
        <f>SUM(CJ223:CK223)</f>
        <v/>
      </c>
      <c r="CM223" s="28" t="n"/>
      <c r="CN223" s="31" t="n"/>
      <c r="CO223" s="29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1" t="n"/>
      <c r="CQ223" s="21" t="n"/>
      <c r="CR223" s="27">
        <f>SUM(CP223:CQ223)</f>
        <v/>
      </c>
      <c r="CS223" s="28" t="n"/>
      <c r="CT223" s="31" t="n"/>
      <c r="CU223" s="29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1" t="n"/>
      <c r="CW223" s="21" t="n"/>
      <c r="CX223" s="27">
        <f>SUM(CV223:CW223)</f>
        <v/>
      </c>
      <c r="CY223" s="28" t="n"/>
      <c r="CZ223" s="31" t="n"/>
      <c r="DA223" s="29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1" t="n"/>
      <c r="DC223" s="21" t="n"/>
      <c r="DD223" s="27">
        <f>SUM(DB223:DC223)</f>
        <v/>
      </c>
      <c r="DE223" s="28" t="n"/>
      <c r="DF223" s="31" t="n"/>
      <c r="DG223" s="29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34">
        <f>SUM(O223,U223,AA223,AG223,AM223,AS223,AY223,BE223,BK223,BQ223,BW223,CC223,CI223,CO223,CU223,DA223,DG223)</f>
        <v/>
      </c>
      <c r="DI223" s="39">
        <f>RANK(DH223,DH$4:DH$503)</f>
        <v/>
      </c>
      <c r="DJ223" s="40" t="inlineStr">
        <is>
          <t>CHOOSE RATING</t>
        </is>
      </c>
      <c r="DK223" s="40" t="inlineStr">
        <is>
          <t>CHOOSE RATING</t>
        </is>
      </c>
      <c r="DL223" s="40" t="inlineStr">
        <is>
          <t>CHOOSE RATING</t>
        </is>
      </c>
      <c r="DM223" s="40" t="inlineStr">
        <is>
          <t>CHOOSE RATING</t>
        </is>
      </c>
      <c r="DN223" s="40" t="inlineStr">
        <is>
          <t>CHOOSE RATING</t>
        </is>
      </c>
      <c r="DO223" s="40" t="inlineStr">
        <is>
          <t>CHOOSE RATING</t>
        </is>
      </c>
      <c r="DP223" s="40" t="inlineStr">
        <is>
          <t>CHOOSE RATING</t>
        </is>
      </c>
      <c r="DQ223" s="40" t="inlineStr">
        <is>
          <t>CHOOSE RATING</t>
        </is>
      </c>
      <c r="DR223" s="43" t="inlineStr">
        <is>
          <t>2024/2025</t>
        </is>
      </c>
      <c r="DS223" s="45" t="inlineStr">
        <is>
          <t>THIRD</t>
        </is>
      </c>
      <c r="DT223" s="40" t="inlineStr">
        <is>
          <t>CHOOSE RATING</t>
        </is>
      </c>
      <c r="DU223" s="40" t="inlineStr">
        <is>
          <t>CHOOSE RATING</t>
        </is>
      </c>
      <c r="DV223" s="40" t="inlineStr">
        <is>
          <t>CHOOSE RATING</t>
        </is>
      </c>
      <c r="DW223" s="40" t="inlineStr">
        <is>
          <t>CHOOSE RATING</t>
        </is>
      </c>
      <c r="DX223" s="40" t="inlineStr">
        <is>
          <t>CHOOSE RATING</t>
        </is>
      </c>
      <c r="DY223" s="40" t="inlineStr">
        <is>
          <t>CHOOSE RATING</t>
        </is>
      </c>
      <c r="DZ223" s="53" t="inlineStr">
        <is>
          <t>CHOOSE RATING</t>
        </is>
      </c>
      <c r="EA223" s="54" t="inlineStr">
        <is>
          <t>Add the Tutor's Comment . . .</t>
        </is>
      </c>
      <c r="EB223" s="55" t="inlineStr">
        <is>
          <t>Choose Principals comment</t>
        </is>
      </c>
      <c r="EC223" s="56" t="n"/>
      <c r="ED223" s="57" t="inlineStr">
        <is>
          <t>Next Term Begins on Monday, 22nd September, 2025</t>
        </is>
      </c>
    </row>
    <row r="224" ht="30.6" customHeight="1" s="6">
      <c r="A224" s="18" t="n">
        <v>221</v>
      </c>
      <c r="B224" s="19" t="n"/>
      <c r="C224" s="20" t="n"/>
      <c r="D224" s="128" t="n"/>
      <c r="E224" s="21" t="n"/>
      <c r="F224" s="22" t="n"/>
      <c r="G224" s="22" t="n"/>
      <c r="H224" s="22" t="n"/>
      <c r="I224" s="26">
        <f>G224-H224</f>
        <v/>
      </c>
      <c r="J224" s="21" t="n"/>
      <c r="K224" s="21" t="n"/>
      <c r="L224" s="27">
        <f>SUM(J224:K224)</f>
        <v/>
      </c>
      <c r="M224" s="28" t="n"/>
      <c r="N224" s="28" t="n"/>
      <c r="O224" s="29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1" t="n"/>
      <c r="Q224" s="21" t="n"/>
      <c r="R224" s="27">
        <f>SUM(P224:Q224)</f>
        <v/>
      </c>
      <c r="S224" s="28" t="n"/>
      <c r="T224" s="28" t="n"/>
      <c r="U224" s="29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1" t="n"/>
      <c r="W224" s="21" t="n"/>
      <c r="X224" s="27">
        <f>SUM(V224:W224)</f>
        <v/>
      </c>
      <c r="Y224" s="28" t="n"/>
      <c r="Z224" s="28" t="n"/>
      <c r="AA224" s="29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1" t="n"/>
      <c r="AC224" s="21" t="n"/>
      <c r="AD224" s="27">
        <f>SUM(AB224:AC224)</f>
        <v/>
      </c>
      <c r="AE224" s="28" t="n"/>
      <c r="AF224" s="28" t="n"/>
      <c r="AG224" s="29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1" t="n"/>
      <c r="AI224" s="21" t="n"/>
      <c r="AJ224" s="27">
        <f>SUM(AH224:AI224)</f>
        <v/>
      </c>
      <c r="AK224" s="28" t="n"/>
      <c r="AL224" s="28" t="n"/>
      <c r="AM224" s="29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1" t="n"/>
      <c r="AO224" s="21" t="n"/>
      <c r="AP224" s="27">
        <f>SUM(AN224:AO224)</f>
        <v/>
      </c>
      <c r="AQ224" s="28" t="n"/>
      <c r="AR224" s="30" t="n"/>
      <c r="AS224" s="29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1" t="n"/>
      <c r="AU224" s="21" t="n"/>
      <c r="AV224" s="27">
        <f>SUM(AT224:AU224)</f>
        <v/>
      </c>
      <c r="AW224" s="28" t="n"/>
      <c r="AX224" s="30" t="n"/>
      <c r="AY224" s="29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1" t="n"/>
      <c r="BA224" s="21" t="n"/>
      <c r="BB224" s="27">
        <f>SUM(AZ224:BA224)</f>
        <v/>
      </c>
      <c r="BC224" s="28" t="n"/>
      <c r="BD224" s="28" t="n"/>
      <c r="BE224" s="29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1" t="n"/>
      <c r="BG224" s="21" t="n"/>
      <c r="BH224" s="27">
        <f>SUM(BF224:BG224)</f>
        <v/>
      </c>
      <c r="BI224" s="28" t="n"/>
      <c r="BJ224" s="28" t="n"/>
      <c r="BK224" s="29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1" t="n"/>
      <c r="BM224" s="21" t="n"/>
      <c r="BN224" s="27">
        <f>SUM(BL224:BM224)</f>
        <v/>
      </c>
      <c r="BO224" s="28" t="n"/>
      <c r="BP224" s="31" t="n"/>
      <c r="BQ224" s="29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1" t="n"/>
      <c r="BS224" s="21" t="n"/>
      <c r="BT224" s="27">
        <f>SUM(BR224:BS224)</f>
        <v/>
      </c>
      <c r="BU224" s="28" t="n"/>
      <c r="BV224" s="31" t="n"/>
      <c r="BW224" s="29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1" t="n"/>
      <c r="BY224" s="21" t="n"/>
      <c r="BZ224" s="27">
        <f>SUM(BX224:BY224)</f>
        <v/>
      </c>
      <c r="CA224" s="28" t="n"/>
      <c r="CB224" s="31" t="n"/>
      <c r="CC224" s="29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1" t="n"/>
      <c r="CE224" s="21" t="n"/>
      <c r="CF224" s="27">
        <f>SUM(CD224:CE224)</f>
        <v/>
      </c>
      <c r="CG224" s="28" t="n"/>
      <c r="CH224" s="31" t="n"/>
      <c r="CI224" s="29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1" t="n"/>
      <c r="CK224" s="21" t="n"/>
      <c r="CL224" s="27">
        <f>SUM(CJ224:CK224)</f>
        <v/>
      </c>
      <c r="CM224" s="28" t="n"/>
      <c r="CN224" s="31" t="n"/>
      <c r="CO224" s="29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1" t="n"/>
      <c r="CQ224" s="21" t="n"/>
      <c r="CR224" s="27">
        <f>SUM(CP224:CQ224)</f>
        <v/>
      </c>
      <c r="CS224" s="28" t="n"/>
      <c r="CT224" s="31" t="n"/>
      <c r="CU224" s="29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1" t="n"/>
      <c r="CW224" s="21" t="n"/>
      <c r="CX224" s="27">
        <f>SUM(CV224:CW224)</f>
        <v/>
      </c>
      <c r="CY224" s="28" t="n"/>
      <c r="CZ224" s="31" t="n"/>
      <c r="DA224" s="29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1" t="n"/>
      <c r="DC224" s="21" t="n"/>
      <c r="DD224" s="27">
        <f>SUM(DB224:DC224)</f>
        <v/>
      </c>
      <c r="DE224" s="28" t="n"/>
      <c r="DF224" s="31" t="n"/>
      <c r="DG224" s="29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34">
        <f>SUM(O224,U224,AA224,AG224,AM224,AS224,AY224,BE224,BK224,BQ224,BW224,CC224,CI224,CO224,CU224,DA224,DG224)</f>
        <v/>
      </c>
      <c r="DI224" s="39">
        <f>RANK(DH224,DH$4:DH$503)</f>
        <v/>
      </c>
      <c r="DJ224" s="40" t="inlineStr">
        <is>
          <t>CHOOSE RATING</t>
        </is>
      </c>
      <c r="DK224" s="40" t="inlineStr">
        <is>
          <t>CHOOSE RATING</t>
        </is>
      </c>
      <c r="DL224" s="40" t="inlineStr">
        <is>
          <t>CHOOSE RATING</t>
        </is>
      </c>
      <c r="DM224" s="40" t="inlineStr">
        <is>
          <t>CHOOSE RATING</t>
        </is>
      </c>
      <c r="DN224" s="40" t="inlineStr">
        <is>
          <t>CHOOSE RATING</t>
        </is>
      </c>
      <c r="DO224" s="40" t="inlineStr">
        <is>
          <t>CHOOSE RATING</t>
        </is>
      </c>
      <c r="DP224" s="40" t="inlineStr">
        <is>
          <t>CHOOSE RATING</t>
        </is>
      </c>
      <c r="DQ224" s="40" t="inlineStr">
        <is>
          <t>CHOOSE RATING</t>
        </is>
      </c>
      <c r="DR224" s="43" t="inlineStr">
        <is>
          <t>2024/2025</t>
        </is>
      </c>
      <c r="DS224" s="45" t="inlineStr">
        <is>
          <t>THIRD</t>
        </is>
      </c>
      <c r="DT224" s="40" t="inlineStr">
        <is>
          <t>CHOOSE RATING</t>
        </is>
      </c>
      <c r="DU224" s="40" t="inlineStr">
        <is>
          <t>CHOOSE RATING</t>
        </is>
      </c>
      <c r="DV224" s="40" t="inlineStr">
        <is>
          <t>CHOOSE RATING</t>
        </is>
      </c>
      <c r="DW224" s="40" t="inlineStr">
        <is>
          <t>CHOOSE RATING</t>
        </is>
      </c>
      <c r="DX224" s="40" t="inlineStr">
        <is>
          <t>CHOOSE RATING</t>
        </is>
      </c>
      <c r="DY224" s="40" t="inlineStr">
        <is>
          <t>CHOOSE RATING</t>
        </is>
      </c>
      <c r="DZ224" s="53" t="inlineStr">
        <is>
          <t>CHOOSE RATING</t>
        </is>
      </c>
      <c r="EA224" s="54" t="inlineStr">
        <is>
          <t>Add the Tutor's Comment . . .</t>
        </is>
      </c>
      <c r="EB224" s="55" t="inlineStr">
        <is>
          <t>Choose Principals comment</t>
        </is>
      </c>
      <c r="EC224" s="56" t="n"/>
      <c r="ED224" s="57" t="inlineStr">
        <is>
          <t>Next Term Begins on Monday, 22nd September, 2025</t>
        </is>
      </c>
    </row>
    <row r="225" ht="30.6" customHeight="1" s="6">
      <c r="A225" s="18" t="n">
        <v>222</v>
      </c>
      <c r="B225" s="19" t="n"/>
      <c r="C225" s="20" t="n"/>
      <c r="D225" s="128" t="n"/>
      <c r="E225" s="21" t="n"/>
      <c r="F225" s="22" t="n"/>
      <c r="G225" s="22" t="n"/>
      <c r="H225" s="22" t="n"/>
      <c r="I225" s="26">
        <f>G225-H225</f>
        <v/>
      </c>
      <c r="J225" s="21" t="n"/>
      <c r="K225" s="21" t="n"/>
      <c r="L225" s="27">
        <f>SUM(J225:K225)</f>
        <v/>
      </c>
      <c r="M225" s="28" t="n"/>
      <c r="N225" s="28" t="n"/>
      <c r="O225" s="29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1" t="n"/>
      <c r="Q225" s="21" t="n"/>
      <c r="R225" s="27">
        <f>SUM(P225:Q225)</f>
        <v/>
      </c>
      <c r="S225" s="28" t="n"/>
      <c r="T225" s="28" t="n"/>
      <c r="U225" s="29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1" t="n"/>
      <c r="W225" s="21" t="n"/>
      <c r="X225" s="27">
        <f>SUM(V225:W225)</f>
        <v/>
      </c>
      <c r="Y225" s="28" t="n"/>
      <c r="Z225" s="28" t="n"/>
      <c r="AA225" s="29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1" t="n"/>
      <c r="AC225" s="21" t="n"/>
      <c r="AD225" s="27">
        <f>SUM(AB225:AC225)</f>
        <v/>
      </c>
      <c r="AE225" s="28" t="n"/>
      <c r="AF225" s="28" t="n"/>
      <c r="AG225" s="29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1" t="n"/>
      <c r="AI225" s="21" t="n"/>
      <c r="AJ225" s="27">
        <f>SUM(AH225:AI225)</f>
        <v/>
      </c>
      <c r="AK225" s="28" t="n"/>
      <c r="AL225" s="28" t="n"/>
      <c r="AM225" s="29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1" t="n"/>
      <c r="AO225" s="21" t="n"/>
      <c r="AP225" s="27">
        <f>SUM(AN225:AO225)</f>
        <v/>
      </c>
      <c r="AQ225" s="28" t="n"/>
      <c r="AR225" s="30" t="n"/>
      <c r="AS225" s="29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1" t="n"/>
      <c r="AU225" s="21" t="n"/>
      <c r="AV225" s="27">
        <f>SUM(AT225:AU225)</f>
        <v/>
      </c>
      <c r="AW225" s="28" t="n"/>
      <c r="AX225" s="30" t="n"/>
      <c r="AY225" s="29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1" t="n"/>
      <c r="BA225" s="21" t="n"/>
      <c r="BB225" s="27">
        <f>SUM(AZ225:BA225)</f>
        <v/>
      </c>
      <c r="BC225" s="28" t="n"/>
      <c r="BD225" s="28" t="n"/>
      <c r="BE225" s="29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1" t="n"/>
      <c r="BG225" s="21" t="n"/>
      <c r="BH225" s="27">
        <f>SUM(BF225:BG225)</f>
        <v/>
      </c>
      <c r="BI225" s="28" t="n"/>
      <c r="BJ225" s="28" t="n"/>
      <c r="BK225" s="29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1" t="n"/>
      <c r="BM225" s="21" t="n"/>
      <c r="BN225" s="27">
        <f>SUM(BL225:BM225)</f>
        <v/>
      </c>
      <c r="BO225" s="28" t="n"/>
      <c r="BP225" s="31" t="n"/>
      <c r="BQ225" s="29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1" t="n"/>
      <c r="BS225" s="21" t="n"/>
      <c r="BT225" s="27">
        <f>SUM(BR225:BS225)</f>
        <v/>
      </c>
      <c r="BU225" s="28" t="n"/>
      <c r="BV225" s="31" t="n"/>
      <c r="BW225" s="29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1" t="n"/>
      <c r="BY225" s="21" t="n"/>
      <c r="BZ225" s="27">
        <f>SUM(BX225:BY225)</f>
        <v/>
      </c>
      <c r="CA225" s="28" t="n"/>
      <c r="CB225" s="31" t="n"/>
      <c r="CC225" s="29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1" t="n"/>
      <c r="CE225" s="21" t="n"/>
      <c r="CF225" s="27">
        <f>SUM(CD225:CE225)</f>
        <v/>
      </c>
      <c r="CG225" s="28" t="n"/>
      <c r="CH225" s="31" t="n"/>
      <c r="CI225" s="29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1" t="n"/>
      <c r="CK225" s="21" t="n"/>
      <c r="CL225" s="27">
        <f>SUM(CJ225:CK225)</f>
        <v/>
      </c>
      <c r="CM225" s="28" t="n"/>
      <c r="CN225" s="31" t="n"/>
      <c r="CO225" s="29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1" t="n"/>
      <c r="CQ225" s="21" t="n"/>
      <c r="CR225" s="27">
        <f>SUM(CP225:CQ225)</f>
        <v/>
      </c>
      <c r="CS225" s="28" t="n"/>
      <c r="CT225" s="31" t="n"/>
      <c r="CU225" s="29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1" t="n"/>
      <c r="CW225" s="21" t="n"/>
      <c r="CX225" s="27">
        <f>SUM(CV225:CW225)</f>
        <v/>
      </c>
      <c r="CY225" s="28" t="n"/>
      <c r="CZ225" s="31" t="n"/>
      <c r="DA225" s="29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1" t="n"/>
      <c r="DC225" s="21" t="n"/>
      <c r="DD225" s="27">
        <f>SUM(DB225:DC225)</f>
        <v/>
      </c>
      <c r="DE225" s="28" t="n"/>
      <c r="DF225" s="31" t="n"/>
      <c r="DG225" s="29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34">
        <f>SUM(O225,U225,AA225,AG225,AM225,AS225,AY225,BE225,BK225,BQ225,BW225,CC225,CI225,CO225,CU225,DA225,DG225)</f>
        <v/>
      </c>
      <c r="DI225" s="39">
        <f>RANK(DH225,DH$4:DH$503)</f>
        <v/>
      </c>
      <c r="DJ225" s="40" t="inlineStr">
        <is>
          <t>CHOOSE RATING</t>
        </is>
      </c>
      <c r="DK225" s="40" t="inlineStr">
        <is>
          <t>CHOOSE RATING</t>
        </is>
      </c>
      <c r="DL225" s="40" t="inlineStr">
        <is>
          <t>CHOOSE RATING</t>
        </is>
      </c>
      <c r="DM225" s="40" t="inlineStr">
        <is>
          <t>CHOOSE RATING</t>
        </is>
      </c>
      <c r="DN225" s="40" t="inlineStr">
        <is>
          <t>CHOOSE RATING</t>
        </is>
      </c>
      <c r="DO225" s="40" t="inlineStr">
        <is>
          <t>CHOOSE RATING</t>
        </is>
      </c>
      <c r="DP225" s="40" t="inlineStr">
        <is>
          <t>CHOOSE RATING</t>
        </is>
      </c>
      <c r="DQ225" s="40" t="inlineStr">
        <is>
          <t>CHOOSE RATING</t>
        </is>
      </c>
      <c r="DR225" s="43" t="inlineStr">
        <is>
          <t>2024/2025</t>
        </is>
      </c>
      <c r="DS225" s="45" t="inlineStr">
        <is>
          <t>THIRD</t>
        </is>
      </c>
      <c r="DT225" s="40" t="inlineStr">
        <is>
          <t>CHOOSE RATING</t>
        </is>
      </c>
      <c r="DU225" s="40" t="inlineStr">
        <is>
          <t>CHOOSE RATING</t>
        </is>
      </c>
      <c r="DV225" s="40" t="inlineStr">
        <is>
          <t>CHOOSE RATING</t>
        </is>
      </c>
      <c r="DW225" s="40" t="inlineStr">
        <is>
          <t>CHOOSE RATING</t>
        </is>
      </c>
      <c r="DX225" s="40" t="inlineStr">
        <is>
          <t>CHOOSE RATING</t>
        </is>
      </c>
      <c r="DY225" s="40" t="inlineStr">
        <is>
          <t>CHOOSE RATING</t>
        </is>
      </c>
      <c r="DZ225" s="53" t="inlineStr">
        <is>
          <t>CHOOSE RATING</t>
        </is>
      </c>
      <c r="EA225" s="54" t="inlineStr">
        <is>
          <t>Add the Tutor's Comment . . .</t>
        </is>
      </c>
      <c r="EB225" s="55" t="inlineStr">
        <is>
          <t>Choose Principals comment</t>
        </is>
      </c>
      <c r="EC225" s="56" t="n"/>
      <c r="ED225" s="57" t="inlineStr">
        <is>
          <t>Next Term Begins on Monday, 22nd September, 2025</t>
        </is>
      </c>
    </row>
    <row r="226" ht="30.6" customHeight="1" s="6">
      <c r="A226" s="18" t="n">
        <v>223</v>
      </c>
      <c r="B226" s="19" t="n"/>
      <c r="C226" s="20" t="n"/>
      <c r="D226" s="128" t="n"/>
      <c r="E226" s="21" t="n"/>
      <c r="F226" s="22" t="n"/>
      <c r="G226" s="22" t="n"/>
      <c r="H226" s="22" t="n"/>
      <c r="I226" s="26">
        <f>G226-H226</f>
        <v/>
      </c>
      <c r="J226" s="21" t="n"/>
      <c r="K226" s="21" t="n"/>
      <c r="L226" s="27">
        <f>SUM(J226:K226)</f>
        <v/>
      </c>
      <c r="M226" s="28" t="n"/>
      <c r="N226" s="28" t="n"/>
      <c r="O226" s="29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1" t="n"/>
      <c r="Q226" s="21" t="n"/>
      <c r="R226" s="27">
        <f>SUM(P226:Q226)</f>
        <v/>
      </c>
      <c r="S226" s="28" t="n"/>
      <c r="T226" s="28" t="n"/>
      <c r="U226" s="29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1" t="n"/>
      <c r="W226" s="21" t="n"/>
      <c r="X226" s="27">
        <f>SUM(V226:W226)</f>
        <v/>
      </c>
      <c r="Y226" s="28" t="n"/>
      <c r="Z226" s="28" t="n"/>
      <c r="AA226" s="29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1" t="n"/>
      <c r="AC226" s="21" t="n"/>
      <c r="AD226" s="27">
        <f>SUM(AB226:AC226)</f>
        <v/>
      </c>
      <c r="AE226" s="28" t="n"/>
      <c r="AF226" s="28" t="n"/>
      <c r="AG226" s="29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1" t="n"/>
      <c r="AI226" s="21" t="n"/>
      <c r="AJ226" s="27">
        <f>SUM(AH226:AI226)</f>
        <v/>
      </c>
      <c r="AK226" s="28" t="n"/>
      <c r="AL226" s="28" t="n"/>
      <c r="AM226" s="29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1" t="n"/>
      <c r="AO226" s="21" t="n"/>
      <c r="AP226" s="27">
        <f>SUM(AN226:AO226)</f>
        <v/>
      </c>
      <c r="AQ226" s="28" t="n"/>
      <c r="AR226" s="30" t="n"/>
      <c r="AS226" s="29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1" t="n"/>
      <c r="AU226" s="21" t="n"/>
      <c r="AV226" s="27">
        <f>SUM(AT226:AU226)</f>
        <v/>
      </c>
      <c r="AW226" s="28" t="n"/>
      <c r="AX226" s="30" t="n"/>
      <c r="AY226" s="29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1" t="n"/>
      <c r="BA226" s="21" t="n"/>
      <c r="BB226" s="27">
        <f>SUM(AZ226:BA226)</f>
        <v/>
      </c>
      <c r="BC226" s="28" t="n"/>
      <c r="BD226" s="28" t="n"/>
      <c r="BE226" s="29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1" t="n"/>
      <c r="BG226" s="21" t="n"/>
      <c r="BH226" s="27">
        <f>SUM(BF226:BG226)</f>
        <v/>
      </c>
      <c r="BI226" s="28" t="n"/>
      <c r="BJ226" s="28" t="n"/>
      <c r="BK226" s="29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1" t="n"/>
      <c r="BM226" s="21" t="n"/>
      <c r="BN226" s="27">
        <f>SUM(BL226:BM226)</f>
        <v/>
      </c>
      <c r="BO226" s="28" t="n"/>
      <c r="BP226" s="31" t="n"/>
      <c r="BQ226" s="29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1" t="n"/>
      <c r="BS226" s="21" t="n"/>
      <c r="BT226" s="27">
        <f>SUM(BR226:BS226)</f>
        <v/>
      </c>
      <c r="BU226" s="28" t="n"/>
      <c r="BV226" s="31" t="n"/>
      <c r="BW226" s="29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1" t="n"/>
      <c r="BY226" s="21" t="n"/>
      <c r="BZ226" s="27">
        <f>SUM(BX226:BY226)</f>
        <v/>
      </c>
      <c r="CA226" s="28" t="n"/>
      <c r="CB226" s="31" t="n"/>
      <c r="CC226" s="29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1" t="n"/>
      <c r="CE226" s="21" t="n"/>
      <c r="CF226" s="27">
        <f>SUM(CD226:CE226)</f>
        <v/>
      </c>
      <c r="CG226" s="28" t="n"/>
      <c r="CH226" s="31" t="n"/>
      <c r="CI226" s="29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1" t="n"/>
      <c r="CK226" s="21" t="n"/>
      <c r="CL226" s="27">
        <f>SUM(CJ226:CK226)</f>
        <v/>
      </c>
      <c r="CM226" s="28" t="n"/>
      <c r="CN226" s="31" t="n"/>
      <c r="CO226" s="29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1" t="n"/>
      <c r="CQ226" s="21" t="n"/>
      <c r="CR226" s="27">
        <f>SUM(CP226:CQ226)</f>
        <v/>
      </c>
      <c r="CS226" s="28" t="n"/>
      <c r="CT226" s="31" t="n"/>
      <c r="CU226" s="29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1" t="n"/>
      <c r="CW226" s="21" t="n"/>
      <c r="CX226" s="27">
        <f>SUM(CV226:CW226)</f>
        <v/>
      </c>
      <c r="CY226" s="28" t="n"/>
      <c r="CZ226" s="31" t="n"/>
      <c r="DA226" s="29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1" t="n"/>
      <c r="DC226" s="21" t="n"/>
      <c r="DD226" s="27">
        <f>SUM(DB226:DC226)</f>
        <v/>
      </c>
      <c r="DE226" s="28" t="n"/>
      <c r="DF226" s="31" t="n"/>
      <c r="DG226" s="29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34">
        <f>SUM(O226,U226,AA226,AG226,AM226,AS226,AY226,BE226,BK226,BQ226,BW226,CC226,CI226,CO226,CU226,DA226,DG226)</f>
        <v/>
      </c>
      <c r="DI226" s="39">
        <f>RANK(DH226,DH$4:DH$503)</f>
        <v/>
      </c>
      <c r="DJ226" s="40" t="inlineStr">
        <is>
          <t>CHOOSE RATING</t>
        </is>
      </c>
      <c r="DK226" s="40" t="inlineStr">
        <is>
          <t>CHOOSE RATING</t>
        </is>
      </c>
      <c r="DL226" s="40" t="inlineStr">
        <is>
          <t>CHOOSE RATING</t>
        </is>
      </c>
      <c r="DM226" s="40" t="inlineStr">
        <is>
          <t>CHOOSE RATING</t>
        </is>
      </c>
      <c r="DN226" s="40" t="inlineStr">
        <is>
          <t>CHOOSE RATING</t>
        </is>
      </c>
      <c r="DO226" s="40" t="inlineStr">
        <is>
          <t>CHOOSE RATING</t>
        </is>
      </c>
      <c r="DP226" s="40" t="inlineStr">
        <is>
          <t>CHOOSE RATING</t>
        </is>
      </c>
      <c r="DQ226" s="40" t="inlineStr">
        <is>
          <t>CHOOSE RATING</t>
        </is>
      </c>
      <c r="DR226" s="43" t="inlineStr">
        <is>
          <t>2024/2025</t>
        </is>
      </c>
      <c r="DS226" s="45" t="inlineStr">
        <is>
          <t>THIRD</t>
        </is>
      </c>
      <c r="DT226" s="40" t="inlineStr">
        <is>
          <t>CHOOSE RATING</t>
        </is>
      </c>
      <c r="DU226" s="40" t="inlineStr">
        <is>
          <t>CHOOSE RATING</t>
        </is>
      </c>
      <c r="DV226" s="40" t="inlineStr">
        <is>
          <t>CHOOSE RATING</t>
        </is>
      </c>
      <c r="DW226" s="40" t="inlineStr">
        <is>
          <t>CHOOSE RATING</t>
        </is>
      </c>
      <c r="DX226" s="40" t="inlineStr">
        <is>
          <t>CHOOSE RATING</t>
        </is>
      </c>
      <c r="DY226" s="40" t="inlineStr">
        <is>
          <t>CHOOSE RATING</t>
        </is>
      </c>
      <c r="DZ226" s="53" t="inlineStr">
        <is>
          <t>CHOOSE RATING</t>
        </is>
      </c>
      <c r="EA226" s="54" t="inlineStr">
        <is>
          <t>Add the Tutor's Comment . . .</t>
        </is>
      </c>
      <c r="EB226" s="55" t="inlineStr">
        <is>
          <t>Choose Principals comment</t>
        </is>
      </c>
      <c r="EC226" s="56" t="n"/>
      <c r="ED226" s="57" t="inlineStr">
        <is>
          <t>Next Term Begins on Monday, 22nd September, 2025</t>
        </is>
      </c>
    </row>
    <row r="227" ht="30.6" customHeight="1" s="6">
      <c r="A227" s="18" t="n">
        <v>224</v>
      </c>
      <c r="B227" s="19" t="n"/>
      <c r="C227" s="20" t="n"/>
      <c r="D227" s="128" t="n"/>
      <c r="E227" s="21" t="n"/>
      <c r="F227" s="22" t="n"/>
      <c r="G227" s="22" t="n"/>
      <c r="H227" s="22" t="n"/>
      <c r="I227" s="26">
        <f>G227-H227</f>
        <v/>
      </c>
      <c r="J227" s="21" t="n"/>
      <c r="K227" s="21" t="n"/>
      <c r="L227" s="27">
        <f>SUM(J227:K227)</f>
        <v/>
      </c>
      <c r="M227" s="28" t="n"/>
      <c r="N227" s="28" t="n"/>
      <c r="O227" s="29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1" t="n"/>
      <c r="Q227" s="21" t="n"/>
      <c r="R227" s="27">
        <f>SUM(P227:Q227)</f>
        <v/>
      </c>
      <c r="S227" s="28" t="n"/>
      <c r="T227" s="28" t="n"/>
      <c r="U227" s="29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1" t="n"/>
      <c r="W227" s="21" t="n"/>
      <c r="X227" s="27">
        <f>SUM(V227:W227)</f>
        <v/>
      </c>
      <c r="Y227" s="28" t="n"/>
      <c r="Z227" s="28" t="n"/>
      <c r="AA227" s="29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1" t="n"/>
      <c r="AC227" s="21" t="n"/>
      <c r="AD227" s="27">
        <f>SUM(AB227:AC227)</f>
        <v/>
      </c>
      <c r="AE227" s="28" t="n"/>
      <c r="AF227" s="28" t="n"/>
      <c r="AG227" s="29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1" t="n"/>
      <c r="AI227" s="21" t="n"/>
      <c r="AJ227" s="27">
        <f>SUM(AH227:AI227)</f>
        <v/>
      </c>
      <c r="AK227" s="28" t="n"/>
      <c r="AL227" s="28" t="n"/>
      <c r="AM227" s="29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1" t="n"/>
      <c r="AO227" s="21" t="n"/>
      <c r="AP227" s="27">
        <f>SUM(AN227:AO227)</f>
        <v/>
      </c>
      <c r="AQ227" s="28" t="n"/>
      <c r="AR227" s="30" t="n"/>
      <c r="AS227" s="29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1" t="n"/>
      <c r="AU227" s="21" t="n"/>
      <c r="AV227" s="27">
        <f>SUM(AT227:AU227)</f>
        <v/>
      </c>
      <c r="AW227" s="28" t="n"/>
      <c r="AX227" s="30" t="n"/>
      <c r="AY227" s="29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1" t="n"/>
      <c r="BA227" s="21" t="n"/>
      <c r="BB227" s="27">
        <f>SUM(AZ227:BA227)</f>
        <v/>
      </c>
      <c r="BC227" s="28" t="n"/>
      <c r="BD227" s="28" t="n"/>
      <c r="BE227" s="29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1" t="n"/>
      <c r="BG227" s="21" t="n"/>
      <c r="BH227" s="27">
        <f>SUM(BF227:BG227)</f>
        <v/>
      </c>
      <c r="BI227" s="28" t="n"/>
      <c r="BJ227" s="28" t="n"/>
      <c r="BK227" s="29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1" t="n"/>
      <c r="BM227" s="21" t="n"/>
      <c r="BN227" s="27">
        <f>SUM(BL227:BM227)</f>
        <v/>
      </c>
      <c r="BO227" s="28" t="n"/>
      <c r="BP227" s="31" t="n"/>
      <c r="BQ227" s="29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1" t="n"/>
      <c r="BS227" s="21" t="n"/>
      <c r="BT227" s="27">
        <f>SUM(BR227:BS227)</f>
        <v/>
      </c>
      <c r="BU227" s="28" t="n"/>
      <c r="BV227" s="31" t="n"/>
      <c r="BW227" s="29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1" t="n"/>
      <c r="BY227" s="21" t="n"/>
      <c r="BZ227" s="27">
        <f>SUM(BX227:BY227)</f>
        <v/>
      </c>
      <c r="CA227" s="28" t="n"/>
      <c r="CB227" s="31" t="n"/>
      <c r="CC227" s="29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1" t="n"/>
      <c r="CE227" s="21" t="n"/>
      <c r="CF227" s="27">
        <f>SUM(CD227:CE227)</f>
        <v/>
      </c>
      <c r="CG227" s="28" t="n"/>
      <c r="CH227" s="31" t="n"/>
      <c r="CI227" s="29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1" t="n"/>
      <c r="CK227" s="21" t="n"/>
      <c r="CL227" s="27">
        <f>SUM(CJ227:CK227)</f>
        <v/>
      </c>
      <c r="CM227" s="28" t="n"/>
      <c r="CN227" s="31" t="n"/>
      <c r="CO227" s="29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1" t="n"/>
      <c r="CQ227" s="21" t="n"/>
      <c r="CR227" s="27">
        <f>SUM(CP227:CQ227)</f>
        <v/>
      </c>
      <c r="CS227" s="28" t="n"/>
      <c r="CT227" s="31" t="n"/>
      <c r="CU227" s="29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1" t="n"/>
      <c r="CW227" s="21" t="n"/>
      <c r="CX227" s="27">
        <f>SUM(CV227:CW227)</f>
        <v/>
      </c>
      <c r="CY227" s="28" t="n"/>
      <c r="CZ227" s="31" t="n"/>
      <c r="DA227" s="29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1" t="n"/>
      <c r="DC227" s="21" t="n"/>
      <c r="DD227" s="27">
        <f>SUM(DB227:DC227)</f>
        <v/>
      </c>
      <c r="DE227" s="28" t="n"/>
      <c r="DF227" s="31" t="n"/>
      <c r="DG227" s="29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34">
        <f>SUM(O227,U227,AA227,AG227,AM227,AS227,AY227,BE227,BK227,BQ227,BW227,CC227,CI227,CO227,CU227,DA227,DG227)</f>
        <v/>
      </c>
      <c r="DI227" s="39">
        <f>RANK(DH227,DH$4:DH$503)</f>
        <v/>
      </c>
      <c r="DJ227" s="40" t="inlineStr">
        <is>
          <t>CHOOSE RATING</t>
        </is>
      </c>
      <c r="DK227" s="40" t="inlineStr">
        <is>
          <t>CHOOSE RATING</t>
        </is>
      </c>
      <c r="DL227" s="40" t="inlineStr">
        <is>
          <t>CHOOSE RATING</t>
        </is>
      </c>
      <c r="DM227" s="40" t="inlineStr">
        <is>
          <t>CHOOSE RATING</t>
        </is>
      </c>
      <c r="DN227" s="40" t="inlineStr">
        <is>
          <t>CHOOSE RATING</t>
        </is>
      </c>
      <c r="DO227" s="40" t="inlineStr">
        <is>
          <t>CHOOSE RATING</t>
        </is>
      </c>
      <c r="DP227" s="40" t="inlineStr">
        <is>
          <t>CHOOSE RATING</t>
        </is>
      </c>
      <c r="DQ227" s="40" t="inlineStr">
        <is>
          <t>CHOOSE RATING</t>
        </is>
      </c>
      <c r="DR227" s="43" t="inlineStr">
        <is>
          <t>2024/2025</t>
        </is>
      </c>
      <c r="DS227" s="45" t="inlineStr">
        <is>
          <t>THIRD</t>
        </is>
      </c>
      <c r="DT227" s="40" t="inlineStr">
        <is>
          <t>CHOOSE RATING</t>
        </is>
      </c>
      <c r="DU227" s="40" t="inlineStr">
        <is>
          <t>CHOOSE RATING</t>
        </is>
      </c>
      <c r="DV227" s="40" t="inlineStr">
        <is>
          <t>CHOOSE RATING</t>
        </is>
      </c>
      <c r="DW227" s="40" t="inlineStr">
        <is>
          <t>CHOOSE RATING</t>
        </is>
      </c>
      <c r="DX227" s="40" t="inlineStr">
        <is>
          <t>CHOOSE RATING</t>
        </is>
      </c>
      <c r="DY227" s="40" t="inlineStr">
        <is>
          <t>CHOOSE RATING</t>
        </is>
      </c>
      <c r="DZ227" s="53" t="inlineStr">
        <is>
          <t>CHOOSE RATING</t>
        </is>
      </c>
      <c r="EA227" s="54" t="inlineStr">
        <is>
          <t>Add the Tutor's Comment . . .</t>
        </is>
      </c>
      <c r="EB227" s="55" t="inlineStr">
        <is>
          <t>Choose Principals comment</t>
        </is>
      </c>
      <c r="EC227" s="56" t="n"/>
      <c r="ED227" s="57" t="inlineStr">
        <is>
          <t>Next Term Begins on Monday, 22nd September, 2025</t>
        </is>
      </c>
    </row>
    <row r="228" ht="30.6" customHeight="1" s="6">
      <c r="A228" s="18" t="n">
        <v>225</v>
      </c>
      <c r="B228" s="19" t="n"/>
      <c r="C228" s="20" t="n"/>
      <c r="D228" s="128" t="n"/>
      <c r="E228" s="21" t="n"/>
      <c r="F228" s="22" t="n"/>
      <c r="G228" s="22" t="n"/>
      <c r="H228" s="22" t="n"/>
      <c r="I228" s="26">
        <f>G228-H228</f>
        <v/>
      </c>
      <c r="J228" s="21" t="n"/>
      <c r="K228" s="21" t="n"/>
      <c r="L228" s="27">
        <f>SUM(J228:K228)</f>
        <v/>
      </c>
      <c r="M228" s="28" t="n"/>
      <c r="N228" s="28" t="n"/>
      <c r="O228" s="29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1" t="n"/>
      <c r="Q228" s="21" t="n"/>
      <c r="R228" s="27">
        <f>SUM(P228:Q228)</f>
        <v/>
      </c>
      <c r="S228" s="28" t="n"/>
      <c r="T228" s="28" t="n"/>
      <c r="U228" s="29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1" t="n"/>
      <c r="W228" s="21" t="n"/>
      <c r="X228" s="27">
        <f>SUM(V228:W228)</f>
        <v/>
      </c>
      <c r="Y228" s="28" t="n"/>
      <c r="Z228" s="28" t="n"/>
      <c r="AA228" s="29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1" t="n"/>
      <c r="AC228" s="21" t="n"/>
      <c r="AD228" s="27">
        <f>SUM(AB228:AC228)</f>
        <v/>
      </c>
      <c r="AE228" s="28" t="n"/>
      <c r="AF228" s="28" t="n"/>
      <c r="AG228" s="29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1" t="n"/>
      <c r="AI228" s="21" t="n"/>
      <c r="AJ228" s="27">
        <f>SUM(AH228:AI228)</f>
        <v/>
      </c>
      <c r="AK228" s="28" t="n"/>
      <c r="AL228" s="28" t="n"/>
      <c r="AM228" s="29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1" t="n"/>
      <c r="AO228" s="21" t="n"/>
      <c r="AP228" s="27">
        <f>SUM(AN228:AO228)</f>
        <v/>
      </c>
      <c r="AQ228" s="28" t="n"/>
      <c r="AR228" s="30" t="n"/>
      <c r="AS228" s="29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1" t="n"/>
      <c r="AU228" s="21" t="n"/>
      <c r="AV228" s="27">
        <f>SUM(AT228:AU228)</f>
        <v/>
      </c>
      <c r="AW228" s="28" t="n"/>
      <c r="AX228" s="30" t="n"/>
      <c r="AY228" s="29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1" t="n"/>
      <c r="BA228" s="21" t="n"/>
      <c r="BB228" s="27">
        <f>SUM(AZ228:BA228)</f>
        <v/>
      </c>
      <c r="BC228" s="28" t="n"/>
      <c r="BD228" s="28" t="n"/>
      <c r="BE228" s="29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1" t="n"/>
      <c r="BG228" s="21" t="n"/>
      <c r="BH228" s="27">
        <f>SUM(BF228:BG228)</f>
        <v/>
      </c>
      <c r="BI228" s="28" t="n"/>
      <c r="BJ228" s="28" t="n"/>
      <c r="BK228" s="29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1" t="n"/>
      <c r="BM228" s="21" t="n"/>
      <c r="BN228" s="27">
        <f>SUM(BL228:BM228)</f>
        <v/>
      </c>
      <c r="BO228" s="28" t="n"/>
      <c r="BP228" s="31" t="n"/>
      <c r="BQ228" s="29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1" t="n"/>
      <c r="BS228" s="21" t="n"/>
      <c r="BT228" s="27">
        <f>SUM(BR228:BS228)</f>
        <v/>
      </c>
      <c r="BU228" s="28" t="n"/>
      <c r="BV228" s="31" t="n"/>
      <c r="BW228" s="29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1" t="n"/>
      <c r="BY228" s="21" t="n"/>
      <c r="BZ228" s="27">
        <f>SUM(BX228:BY228)</f>
        <v/>
      </c>
      <c r="CA228" s="28" t="n"/>
      <c r="CB228" s="31" t="n"/>
      <c r="CC228" s="29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1" t="n"/>
      <c r="CE228" s="21" t="n"/>
      <c r="CF228" s="27">
        <f>SUM(CD228:CE228)</f>
        <v/>
      </c>
      <c r="CG228" s="28" t="n"/>
      <c r="CH228" s="31" t="n"/>
      <c r="CI228" s="29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1" t="n"/>
      <c r="CK228" s="21" t="n"/>
      <c r="CL228" s="27">
        <f>SUM(CJ228:CK228)</f>
        <v/>
      </c>
      <c r="CM228" s="28" t="n"/>
      <c r="CN228" s="31" t="n"/>
      <c r="CO228" s="29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1" t="n"/>
      <c r="CQ228" s="21" t="n"/>
      <c r="CR228" s="27">
        <f>SUM(CP228:CQ228)</f>
        <v/>
      </c>
      <c r="CS228" s="28" t="n"/>
      <c r="CT228" s="31" t="n"/>
      <c r="CU228" s="29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1" t="n"/>
      <c r="CW228" s="21" t="n"/>
      <c r="CX228" s="27">
        <f>SUM(CV228:CW228)</f>
        <v/>
      </c>
      <c r="CY228" s="28" t="n"/>
      <c r="CZ228" s="31" t="n"/>
      <c r="DA228" s="29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1" t="n"/>
      <c r="DC228" s="21" t="n"/>
      <c r="DD228" s="27">
        <f>SUM(DB228:DC228)</f>
        <v/>
      </c>
      <c r="DE228" s="28" t="n"/>
      <c r="DF228" s="31" t="n"/>
      <c r="DG228" s="29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34">
        <f>SUM(O228,U228,AA228,AG228,AM228,AS228,AY228,BE228,BK228,BQ228,BW228,CC228,CI228,CO228,CU228,DA228,DG228)</f>
        <v/>
      </c>
      <c r="DI228" s="39">
        <f>RANK(DH228,DH$4:DH$503)</f>
        <v/>
      </c>
      <c r="DJ228" s="40" t="inlineStr">
        <is>
          <t>CHOOSE RATING</t>
        </is>
      </c>
      <c r="DK228" s="40" t="inlineStr">
        <is>
          <t>CHOOSE RATING</t>
        </is>
      </c>
      <c r="DL228" s="40" t="inlineStr">
        <is>
          <t>CHOOSE RATING</t>
        </is>
      </c>
      <c r="DM228" s="40" t="inlineStr">
        <is>
          <t>CHOOSE RATING</t>
        </is>
      </c>
      <c r="DN228" s="40" t="inlineStr">
        <is>
          <t>CHOOSE RATING</t>
        </is>
      </c>
      <c r="DO228" s="40" t="inlineStr">
        <is>
          <t>CHOOSE RATING</t>
        </is>
      </c>
      <c r="DP228" s="40" t="inlineStr">
        <is>
          <t>CHOOSE RATING</t>
        </is>
      </c>
      <c r="DQ228" s="40" t="inlineStr">
        <is>
          <t>CHOOSE RATING</t>
        </is>
      </c>
      <c r="DR228" s="43" t="inlineStr">
        <is>
          <t>2024/2025</t>
        </is>
      </c>
      <c r="DS228" s="45" t="inlineStr">
        <is>
          <t>THIRD</t>
        </is>
      </c>
      <c r="DT228" s="40" t="inlineStr">
        <is>
          <t>CHOOSE RATING</t>
        </is>
      </c>
      <c r="DU228" s="40" t="inlineStr">
        <is>
          <t>CHOOSE RATING</t>
        </is>
      </c>
      <c r="DV228" s="40" t="inlineStr">
        <is>
          <t>CHOOSE RATING</t>
        </is>
      </c>
      <c r="DW228" s="40" t="inlineStr">
        <is>
          <t>CHOOSE RATING</t>
        </is>
      </c>
      <c r="DX228" s="40" t="inlineStr">
        <is>
          <t>CHOOSE RATING</t>
        </is>
      </c>
      <c r="DY228" s="40" t="inlineStr">
        <is>
          <t>CHOOSE RATING</t>
        </is>
      </c>
      <c r="DZ228" s="53" t="inlineStr">
        <is>
          <t>CHOOSE RATING</t>
        </is>
      </c>
      <c r="EA228" s="54" t="inlineStr">
        <is>
          <t>Add the Tutor's Comment . . .</t>
        </is>
      </c>
      <c r="EB228" s="55" t="inlineStr">
        <is>
          <t>Choose Principals comment</t>
        </is>
      </c>
      <c r="EC228" s="56" t="n"/>
      <c r="ED228" s="57" t="inlineStr">
        <is>
          <t>Next Term Begins on Monday, 22nd September, 2025</t>
        </is>
      </c>
    </row>
    <row r="229" ht="30.6" customHeight="1" s="6">
      <c r="A229" s="18" t="n">
        <v>226</v>
      </c>
      <c r="B229" s="19" t="n"/>
      <c r="C229" s="20" t="n"/>
      <c r="D229" s="128" t="n"/>
      <c r="E229" s="21" t="n"/>
      <c r="F229" s="22" t="n"/>
      <c r="G229" s="22" t="n"/>
      <c r="H229" s="22" t="n"/>
      <c r="I229" s="26">
        <f>G229-H229</f>
        <v/>
      </c>
      <c r="J229" s="21" t="n"/>
      <c r="K229" s="21" t="n"/>
      <c r="L229" s="27">
        <f>SUM(J229:K229)</f>
        <v/>
      </c>
      <c r="M229" s="28" t="n"/>
      <c r="N229" s="28" t="n"/>
      <c r="O229" s="29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1" t="n"/>
      <c r="Q229" s="21" t="n"/>
      <c r="R229" s="27">
        <f>SUM(P229:Q229)</f>
        <v/>
      </c>
      <c r="S229" s="28" t="n"/>
      <c r="T229" s="28" t="n"/>
      <c r="U229" s="29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1" t="n"/>
      <c r="W229" s="21" t="n"/>
      <c r="X229" s="27">
        <f>SUM(V229:W229)</f>
        <v/>
      </c>
      <c r="Y229" s="28" t="n"/>
      <c r="Z229" s="28" t="n"/>
      <c r="AA229" s="29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1" t="n"/>
      <c r="AC229" s="21" t="n"/>
      <c r="AD229" s="27">
        <f>SUM(AB229:AC229)</f>
        <v/>
      </c>
      <c r="AE229" s="28" t="n"/>
      <c r="AF229" s="28" t="n"/>
      <c r="AG229" s="29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1" t="n"/>
      <c r="AI229" s="21" t="n"/>
      <c r="AJ229" s="27">
        <f>SUM(AH229:AI229)</f>
        <v/>
      </c>
      <c r="AK229" s="28" t="n"/>
      <c r="AL229" s="28" t="n"/>
      <c r="AM229" s="29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1" t="n"/>
      <c r="AO229" s="21" t="n"/>
      <c r="AP229" s="27">
        <f>SUM(AN229:AO229)</f>
        <v/>
      </c>
      <c r="AQ229" s="28" t="n"/>
      <c r="AR229" s="30" t="n"/>
      <c r="AS229" s="29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1" t="n"/>
      <c r="AU229" s="21" t="n"/>
      <c r="AV229" s="27">
        <f>SUM(AT229:AU229)</f>
        <v/>
      </c>
      <c r="AW229" s="28" t="n"/>
      <c r="AX229" s="30" t="n"/>
      <c r="AY229" s="29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1" t="n"/>
      <c r="BA229" s="21" t="n"/>
      <c r="BB229" s="27">
        <f>SUM(AZ229:BA229)</f>
        <v/>
      </c>
      <c r="BC229" s="28" t="n"/>
      <c r="BD229" s="28" t="n"/>
      <c r="BE229" s="29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1" t="n"/>
      <c r="BG229" s="21" t="n"/>
      <c r="BH229" s="27">
        <f>SUM(BF229:BG229)</f>
        <v/>
      </c>
      <c r="BI229" s="28" t="n"/>
      <c r="BJ229" s="28" t="n"/>
      <c r="BK229" s="29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1" t="n"/>
      <c r="BM229" s="21" t="n"/>
      <c r="BN229" s="27">
        <f>SUM(BL229:BM229)</f>
        <v/>
      </c>
      <c r="BO229" s="28" t="n"/>
      <c r="BP229" s="31" t="n"/>
      <c r="BQ229" s="29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1" t="n"/>
      <c r="BS229" s="21" t="n"/>
      <c r="BT229" s="27">
        <f>SUM(BR229:BS229)</f>
        <v/>
      </c>
      <c r="BU229" s="28" t="n"/>
      <c r="BV229" s="31" t="n"/>
      <c r="BW229" s="29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1" t="n"/>
      <c r="BY229" s="21" t="n"/>
      <c r="BZ229" s="27">
        <f>SUM(BX229:BY229)</f>
        <v/>
      </c>
      <c r="CA229" s="28" t="n"/>
      <c r="CB229" s="31" t="n"/>
      <c r="CC229" s="29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1" t="n"/>
      <c r="CE229" s="21" t="n"/>
      <c r="CF229" s="27">
        <f>SUM(CD229:CE229)</f>
        <v/>
      </c>
      <c r="CG229" s="28" t="n"/>
      <c r="CH229" s="31" t="n"/>
      <c r="CI229" s="29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1" t="n"/>
      <c r="CK229" s="21" t="n"/>
      <c r="CL229" s="27">
        <f>SUM(CJ229:CK229)</f>
        <v/>
      </c>
      <c r="CM229" s="28" t="n"/>
      <c r="CN229" s="31" t="n"/>
      <c r="CO229" s="29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1" t="n"/>
      <c r="CQ229" s="21" t="n"/>
      <c r="CR229" s="27">
        <f>SUM(CP229:CQ229)</f>
        <v/>
      </c>
      <c r="CS229" s="28" t="n"/>
      <c r="CT229" s="31" t="n"/>
      <c r="CU229" s="29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1" t="n"/>
      <c r="CW229" s="21" t="n"/>
      <c r="CX229" s="27">
        <f>SUM(CV229:CW229)</f>
        <v/>
      </c>
      <c r="CY229" s="28" t="n"/>
      <c r="CZ229" s="31" t="n"/>
      <c r="DA229" s="29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1" t="n"/>
      <c r="DC229" s="21" t="n"/>
      <c r="DD229" s="27">
        <f>SUM(DB229:DC229)</f>
        <v/>
      </c>
      <c r="DE229" s="28" t="n"/>
      <c r="DF229" s="31" t="n"/>
      <c r="DG229" s="29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34">
        <f>SUM(O229,U229,AA229,AG229,AM229,AS229,AY229,BE229,BK229,BQ229,BW229,CC229,CI229,CO229,CU229,DA229,DG229)</f>
        <v/>
      </c>
      <c r="DI229" s="39">
        <f>RANK(DH229,DH$4:DH$503)</f>
        <v/>
      </c>
      <c r="DJ229" s="40" t="inlineStr">
        <is>
          <t>CHOOSE RATING</t>
        </is>
      </c>
      <c r="DK229" s="40" t="inlineStr">
        <is>
          <t>CHOOSE RATING</t>
        </is>
      </c>
      <c r="DL229" s="40" t="inlineStr">
        <is>
          <t>CHOOSE RATING</t>
        </is>
      </c>
      <c r="DM229" s="40" t="inlineStr">
        <is>
          <t>CHOOSE RATING</t>
        </is>
      </c>
      <c r="DN229" s="40" t="inlineStr">
        <is>
          <t>CHOOSE RATING</t>
        </is>
      </c>
      <c r="DO229" s="40" t="inlineStr">
        <is>
          <t>CHOOSE RATING</t>
        </is>
      </c>
      <c r="DP229" s="40" t="inlineStr">
        <is>
          <t>CHOOSE RATING</t>
        </is>
      </c>
      <c r="DQ229" s="40" t="inlineStr">
        <is>
          <t>CHOOSE RATING</t>
        </is>
      </c>
      <c r="DR229" s="43" t="inlineStr">
        <is>
          <t>2024/2025</t>
        </is>
      </c>
      <c r="DS229" s="45" t="inlineStr">
        <is>
          <t>THIRD</t>
        </is>
      </c>
      <c r="DT229" s="40" t="inlineStr">
        <is>
          <t>CHOOSE RATING</t>
        </is>
      </c>
      <c r="DU229" s="40" t="inlineStr">
        <is>
          <t>CHOOSE RATING</t>
        </is>
      </c>
      <c r="DV229" s="40" t="inlineStr">
        <is>
          <t>CHOOSE RATING</t>
        </is>
      </c>
      <c r="DW229" s="40" t="inlineStr">
        <is>
          <t>CHOOSE RATING</t>
        </is>
      </c>
      <c r="DX229" s="40" t="inlineStr">
        <is>
          <t>CHOOSE RATING</t>
        </is>
      </c>
      <c r="DY229" s="40" t="inlineStr">
        <is>
          <t>CHOOSE RATING</t>
        </is>
      </c>
      <c r="DZ229" s="53" t="inlineStr">
        <is>
          <t>CHOOSE RATING</t>
        </is>
      </c>
      <c r="EA229" s="54" t="inlineStr">
        <is>
          <t>Add the Tutor's Comment . . .</t>
        </is>
      </c>
      <c r="EB229" s="55" t="inlineStr">
        <is>
          <t>Choose Principals comment</t>
        </is>
      </c>
      <c r="EC229" s="56" t="n"/>
      <c r="ED229" s="57" t="inlineStr">
        <is>
          <t>Next Term Begins on Monday, 22nd September, 2025</t>
        </is>
      </c>
    </row>
    <row r="230" ht="30.6" customHeight="1" s="6">
      <c r="A230" s="18" t="n">
        <v>227</v>
      </c>
      <c r="B230" s="19" t="n"/>
      <c r="C230" s="20" t="n"/>
      <c r="D230" s="128" t="n"/>
      <c r="E230" s="21" t="n"/>
      <c r="F230" s="22" t="n"/>
      <c r="G230" s="22" t="n"/>
      <c r="H230" s="22" t="n"/>
      <c r="I230" s="26">
        <f>G230-H230</f>
        <v/>
      </c>
      <c r="J230" s="21" t="n"/>
      <c r="K230" s="21" t="n"/>
      <c r="L230" s="27">
        <f>SUM(J230:K230)</f>
        <v/>
      </c>
      <c r="M230" s="28" t="n"/>
      <c r="N230" s="28" t="n"/>
      <c r="O230" s="29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1" t="n"/>
      <c r="Q230" s="21" t="n"/>
      <c r="R230" s="27">
        <f>SUM(P230:Q230)</f>
        <v/>
      </c>
      <c r="S230" s="28" t="n"/>
      <c r="T230" s="28" t="n"/>
      <c r="U230" s="29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1" t="n"/>
      <c r="W230" s="21" t="n"/>
      <c r="X230" s="27">
        <f>SUM(V230:W230)</f>
        <v/>
      </c>
      <c r="Y230" s="28" t="n"/>
      <c r="Z230" s="28" t="n"/>
      <c r="AA230" s="29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1" t="n"/>
      <c r="AC230" s="21" t="n"/>
      <c r="AD230" s="27">
        <f>SUM(AB230:AC230)</f>
        <v/>
      </c>
      <c r="AE230" s="28" t="n"/>
      <c r="AF230" s="28" t="n"/>
      <c r="AG230" s="29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1" t="n"/>
      <c r="AI230" s="21" t="n"/>
      <c r="AJ230" s="27">
        <f>SUM(AH230:AI230)</f>
        <v/>
      </c>
      <c r="AK230" s="28" t="n"/>
      <c r="AL230" s="28" t="n"/>
      <c r="AM230" s="29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1" t="n"/>
      <c r="AO230" s="21" t="n"/>
      <c r="AP230" s="27">
        <f>SUM(AN230:AO230)</f>
        <v/>
      </c>
      <c r="AQ230" s="28" t="n"/>
      <c r="AR230" s="30" t="n"/>
      <c r="AS230" s="29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1" t="n"/>
      <c r="AU230" s="21" t="n"/>
      <c r="AV230" s="27">
        <f>SUM(AT230:AU230)</f>
        <v/>
      </c>
      <c r="AW230" s="28" t="n"/>
      <c r="AX230" s="30" t="n"/>
      <c r="AY230" s="29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1" t="n"/>
      <c r="BA230" s="21" t="n"/>
      <c r="BB230" s="27">
        <f>SUM(AZ230:BA230)</f>
        <v/>
      </c>
      <c r="BC230" s="28" t="n"/>
      <c r="BD230" s="28" t="n"/>
      <c r="BE230" s="29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1" t="n"/>
      <c r="BG230" s="21" t="n"/>
      <c r="BH230" s="27">
        <f>SUM(BF230:BG230)</f>
        <v/>
      </c>
      <c r="BI230" s="28" t="n"/>
      <c r="BJ230" s="28" t="n"/>
      <c r="BK230" s="29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1" t="n"/>
      <c r="BM230" s="21" t="n"/>
      <c r="BN230" s="27">
        <f>SUM(BL230:BM230)</f>
        <v/>
      </c>
      <c r="BO230" s="28" t="n"/>
      <c r="BP230" s="31" t="n"/>
      <c r="BQ230" s="29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1" t="n"/>
      <c r="BS230" s="21" t="n"/>
      <c r="BT230" s="27">
        <f>SUM(BR230:BS230)</f>
        <v/>
      </c>
      <c r="BU230" s="28" t="n"/>
      <c r="BV230" s="31" t="n"/>
      <c r="BW230" s="29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1" t="n"/>
      <c r="BY230" s="21" t="n"/>
      <c r="BZ230" s="27">
        <f>SUM(BX230:BY230)</f>
        <v/>
      </c>
      <c r="CA230" s="28" t="n"/>
      <c r="CB230" s="31" t="n"/>
      <c r="CC230" s="29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1" t="n"/>
      <c r="CE230" s="21" t="n"/>
      <c r="CF230" s="27">
        <f>SUM(CD230:CE230)</f>
        <v/>
      </c>
      <c r="CG230" s="28" t="n"/>
      <c r="CH230" s="31" t="n"/>
      <c r="CI230" s="29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1" t="n"/>
      <c r="CK230" s="21" t="n"/>
      <c r="CL230" s="27">
        <f>SUM(CJ230:CK230)</f>
        <v/>
      </c>
      <c r="CM230" s="28" t="n"/>
      <c r="CN230" s="31" t="n"/>
      <c r="CO230" s="29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1" t="n"/>
      <c r="CQ230" s="21" t="n"/>
      <c r="CR230" s="27">
        <f>SUM(CP230:CQ230)</f>
        <v/>
      </c>
      <c r="CS230" s="28" t="n"/>
      <c r="CT230" s="31" t="n"/>
      <c r="CU230" s="29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1" t="n"/>
      <c r="CW230" s="21" t="n"/>
      <c r="CX230" s="27">
        <f>SUM(CV230:CW230)</f>
        <v/>
      </c>
      <c r="CY230" s="28" t="n"/>
      <c r="CZ230" s="31" t="n"/>
      <c r="DA230" s="29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1" t="n"/>
      <c r="DC230" s="21" t="n"/>
      <c r="DD230" s="27">
        <f>SUM(DB230:DC230)</f>
        <v/>
      </c>
      <c r="DE230" s="28" t="n"/>
      <c r="DF230" s="31" t="n"/>
      <c r="DG230" s="29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34">
        <f>SUM(O230,U230,AA230,AG230,AM230,AS230,AY230,BE230,BK230,BQ230,BW230,CC230,CI230,CO230,CU230,DA230,DG230)</f>
        <v/>
      </c>
      <c r="DI230" s="39">
        <f>RANK(DH230,DH$4:DH$503)</f>
        <v/>
      </c>
      <c r="DJ230" s="40" t="inlineStr">
        <is>
          <t>CHOOSE RATING</t>
        </is>
      </c>
      <c r="DK230" s="40" t="inlineStr">
        <is>
          <t>CHOOSE RATING</t>
        </is>
      </c>
      <c r="DL230" s="40" t="inlineStr">
        <is>
          <t>CHOOSE RATING</t>
        </is>
      </c>
      <c r="DM230" s="40" t="inlineStr">
        <is>
          <t>CHOOSE RATING</t>
        </is>
      </c>
      <c r="DN230" s="40" t="inlineStr">
        <is>
          <t>CHOOSE RATING</t>
        </is>
      </c>
      <c r="DO230" s="40" t="inlineStr">
        <is>
          <t>CHOOSE RATING</t>
        </is>
      </c>
      <c r="DP230" s="40" t="inlineStr">
        <is>
          <t>CHOOSE RATING</t>
        </is>
      </c>
      <c r="DQ230" s="40" t="inlineStr">
        <is>
          <t>CHOOSE RATING</t>
        </is>
      </c>
      <c r="DR230" s="43" t="inlineStr">
        <is>
          <t>2024/2025</t>
        </is>
      </c>
      <c r="DS230" s="45" t="inlineStr">
        <is>
          <t>THIRD</t>
        </is>
      </c>
      <c r="DT230" s="40" t="inlineStr">
        <is>
          <t>CHOOSE RATING</t>
        </is>
      </c>
      <c r="DU230" s="40" t="inlineStr">
        <is>
          <t>CHOOSE RATING</t>
        </is>
      </c>
      <c r="DV230" s="40" t="inlineStr">
        <is>
          <t>CHOOSE RATING</t>
        </is>
      </c>
      <c r="DW230" s="40" t="inlineStr">
        <is>
          <t>CHOOSE RATING</t>
        </is>
      </c>
      <c r="DX230" s="40" t="inlineStr">
        <is>
          <t>CHOOSE RATING</t>
        </is>
      </c>
      <c r="DY230" s="40" t="inlineStr">
        <is>
          <t>CHOOSE RATING</t>
        </is>
      </c>
      <c r="DZ230" s="53" t="inlineStr">
        <is>
          <t>CHOOSE RATING</t>
        </is>
      </c>
      <c r="EA230" s="54" t="inlineStr">
        <is>
          <t>Add the Tutor's Comment . . .</t>
        </is>
      </c>
      <c r="EB230" s="55" t="inlineStr">
        <is>
          <t>Choose Principals comment</t>
        </is>
      </c>
      <c r="EC230" s="56" t="n"/>
      <c r="ED230" s="57" t="inlineStr">
        <is>
          <t>Next Term Begins on Monday, 22nd September, 2025</t>
        </is>
      </c>
    </row>
    <row r="231" ht="30.6" customHeight="1" s="6">
      <c r="A231" s="18" t="n">
        <v>228</v>
      </c>
      <c r="B231" s="19" t="n"/>
      <c r="C231" s="20" t="n"/>
      <c r="D231" s="128" t="n"/>
      <c r="E231" s="21" t="n"/>
      <c r="F231" s="22" t="n"/>
      <c r="G231" s="22" t="n"/>
      <c r="H231" s="22" t="n"/>
      <c r="I231" s="26">
        <f>G231-H231</f>
        <v/>
      </c>
      <c r="J231" s="21" t="n"/>
      <c r="K231" s="21" t="n"/>
      <c r="L231" s="27">
        <f>SUM(J231:K231)</f>
        <v/>
      </c>
      <c r="M231" s="28" t="n"/>
      <c r="N231" s="28" t="n"/>
      <c r="O231" s="29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1" t="n"/>
      <c r="Q231" s="21" t="n"/>
      <c r="R231" s="27">
        <f>SUM(P231:Q231)</f>
        <v/>
      </c>
      <c r="S231" s="28" t="n"/>
      <c r="T231" s="28" t="n"/>
      <c r="U231" s="29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1" t="n"/>
      <c r="W231" s="21" t="n"/>
      <c r="X231" s="27">
        <f>SUM(V231:W231)</f>
        <v/>
      </c>
      <c r="Y231" s="28" t="n"/>
      <c r="Z231" s="28" t="n"/>
      <c r="AA231" s="29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1" t="n"/>
      <c r="AC231" s="21" t="n"/>
      <c r="AD231" s="27">
        <f>SUM(AB231:AC231)</f>
        <v/>
      </c>
      <c r="AE231" s="28" t="n"/>
      <c r="AF231" s="28" t="n"/>
      <c r="AG231" s="29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1" t="n"/>
      <c r="AI231" s="21" t="n"/>
      <c r="AJ231" s="27">
        <f>SUM(AH231:AI231)</f>
        <v/>
      </c>
      <c r="AK231" s="28" t="n"/>
      <c r="AL231" s="28" t="n"/>
      <c r="AM231" s="29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1" t="n"/>
      <c r="AO231" s="21" t="n"/>
      <c r="AP231" s="27">
        <f>SUM(AN231:AO231)</f>
        <v/>
      </c>
      <c r="AQ231" s="28" t="n"/>
      <c r="AR231" s="30" t="n"/>
      <c r="AS231" s="29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1" t="n"/>
      <c r="AU231" s="21" t="n"/>
      <c r="AV231" s="27">
        <f>SUM(AT231:AU231)</f>
        <v/>
      </c>
      <c r="AW231" s="28" t="n"/>
      <c r="AX231" s="30" t="n"/>
      <c r="AY231" s="29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1" t="n"/>
      <c r="BA231" s="21" t="n"/>
      <c r="BB231" s="27">
        <f>SUM(AZ231:BA231)</f>
        <v/>
      </c>
      <c r="BC231" s="28" t="n"/>
      <c r="BD231" s="28" t="n"/>
      <c r="BE231" s="29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1" t="n"/>
      <c r="BG231" s="21" t="n"/>
      <c r="BH231" s="27">
        <f>SUM(BF231:BG231)</f>
        <v/>
      </c>
      <c r="BI231" s="28" t="n"/>
      <c r="BJ231" s="28" t="n"/>
      <c r="BK231" s="29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1" t="n"/>
      <c r="BM231" s="21" t="n"/>
      <c r="BN231" s="27">
        <f>SUM(BL231:BM231)</f>
        <v/>
      </c>
      <c r="BO231" s="28" t="n"/>
      <c r="BP231" s="31" t="n"/>
      <c r="BQ231" s="29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1" t="n"/>
      <c r="BS231" s="21" t="n"/>
      <c r="BT231" s="27">
        <f>SUM(BR231:BS231)</f>
        <v/>
      </c>
      <c r="BU231" s="28" t="n"/>
      <c r="BV231" s="31" t="n"/>
      <c r="BW231" s="29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1" t="n"/>
      <c r="BY231" s="21" t="n"/>
      <c r="BZ231" s="27">
        <f>SUM(BX231:BY231)</f>
        <v/>
      </c>
      <c r="CA231" s="28" t="n"/>
      <c r="CB231" s="31" t="n"/>
      <c r="CC231" s="29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1" t="n"/>
      <c r="CE231" s="21" t="n"/>
      <c r="CF231" s="27">
        <f>SUM(CD231:CE231)</f>
        <v/>
      </c>
      <c r="CG231" s="28" t="n"/>
      <c r="CH231" s="31" t="n"/>
      <c r="CI231" s="29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1" t="n"/>
      <c r="CK231" s="21" t="n"/>
      <c r="CL231" s="27">
        <f>SUM(CJ231:CK231)</f>
        <v/>
      </c>
      <c r="CM231" s="28" t="n"/>
      <c r="CN231" s="31" t="n"/>
      <c r="CO231" s="29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1" t="n"/>
      <c r="CQ231" s="21" t="n"/>
      <c r="CR231" s="27">
        <f>SUM(CP231:CQ231)</f>
        <v/>
      </c>
      <c r="CS231" s="28" t="n"/>
      <c r="CT231" s="31" t="n"/>
      <c r="CU231" s="29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1" t="n"/>
      <c r="CW231" s="21" t="n"/>
      <c r="CX231" s="27">
        <f>SUM(CV231:CW231)</f>
        <v/>
      </c>
      <c r="CY231" s="28" t="n"/>
      <c r="CZ231" s="31" t="n"/>
      <c r="DA231" s="29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1" t="n"/>
      <c r="DC231" s="21" t="n"/>
      <c r="DD231" s="27">
        <f>SUM(DB231:DC231)</f>
        <v/>
      </c>
      <c r="DE231" s="28" t="n"/>
      <c r="DF231" s="31" t="n"/>
      <c r="DG231" s="29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34">
        <f>SUM(O231,U231,AA231,AG231,AM231,AS231,AY231,BE231,BK231,BQ231,BW231,CC231,CI231,CO231,CU231,DA231,DG231)</f>
        <v/>
      </c>
      <c r="DI231" s="39">
        <f>RANK(DH231,DH$4:DH$503)</f>
        <v/>
      </c>
      <c r="DJ231" s="40" t="inlineStr">
        <is>
          <t>CHOOSE RATING</t>
        </is>
      </c>
      <c r="DK231" s="40" t="inlineStr">
        <is>
          <t>CHOOSE RATING</t>
        </is>
      </c>
      <c r="DL231" s="40" t="inlineStr">
        <is>
          <t>CHOOSE RATING</t>
        </is>
      </c>
      <c r="DM231" s="40" t="inlineStr">
        <is>
          <t>CHOOSE RATING</t>
        </is>
      </c>
      <c r="DN231" s="40" t="inlineStr">
        <is>
          <t>CHOOSE RATING</t>
        </is>
      </c>
      <c r="DO231" s="40" t="inlineStr">
        <is>
          <t>CHOOSE RATING</t>
        </is>
      </c>
      <c r="DP231" s="40" t="inlineStr">
        <is>
          <t>CHOOSE RATING</t>
        </is>
      </c>
      <c r="DQ231" s="40" t="inlineStr">
        <is>
          <t>CHOOSE RATING</t>
        </is>
      </c>
      <c r="DR231" s="43" t="inlineStr">
        <is>
          <t>2024/2025</t>
        </is>
      </c>
      <c r="DS231" s="45" t="inlineStr">
        <is>
          <t>THIRD</t>
        </is>
      </c>
      <c r="DT231" s="40" t="inlineStr">
        <is>
          <t>CHOOSE RATING</t>
        </is>
      </c>
      <c r="DU231" s="40" t="inlineStr">
        <is>
          <t>CHOOSE RATING</t>
        </is>
      </c>
      <c r="DV231" s="40" t="inlineStr">
        <is>
          <t>CHOOSE RATING</t>
        </is>
      </c>
      <c r="DW231" s="40" t="inlineStr">
        <is>
          <t>CHOOSE RATING</t>
        </is>
      </c>
      <c r="DX231" s="40" t="inlineStr">
        <is>
          <t>CHOOSE RATING</t>
        </is>
      </c>
      <c r="DY231" s="40" t="inlineStr">
        <is>
          <t>CHOOSE RATING</t>
        </is>
      </c>
      <c r="DZ231" s="53" t="inlineStr">
        <is>
          <t>CHOOSE RATING</t>
        </is>
      </c>
      <c r="EA231" s="54" t="inlineStr">
        <is>
          <t>Add the Tutor's Comment . . .</t>
        </is>
      </c>
      <c r="EB231" s="55" t="inlineStr">
        <is>
          <t>Choose Principals comment</t>
        </is>
      </c>
      <c r="EC231" s="56" t="n"/>
      <c r="ED231" s="57" t="inlineStr">
        <is>
          <t>Next Term Begins on Monday, 22nd September, 2025</t>
        </is>
      </c>
    </row>
    <row r="232" ht="30.6" customHeight="1" s="6">
      <c r="A232" s="18" t="n">
        <v>229</v>
      </c>
      <c r="B232" s="19" t="n"/>
      <c r="C232" s="20" t="n"/>
      <c r="D232" s="128" t="n"/>
      <c r="E232" s="21" t="n"/>
      <c r="F232" s="22" t="n"/>
      <c r="G232" s="22" t="n"/>
      <c r="H232" s="22" t="n"/>
      <c r="I232" s="26">
        <f>G232-H232</f>
        <v/>
      </c>
      <c r="J232" s="21" t="n"/>
      <c r="K232" s="21" t="n"/>
      <c r="L232" s="27">
        <f>SUM(J232:K232)</f>
        <v/>
      </c>
      <c r="M232" s="28" t="n"/>
      <c r="N232" s="28" t="n"/>
      <c r="O232" s="29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1" t="n"/>
      <c r="Q232" s="21" t="n"/>
      <c r="R232" s="27">
        <f>SUM(P232:Q232)</f>
        <v/>
      </c>
      <c r="S232" s="28" t="n"/>
      <c r="T232" s="28" t="n"/>
      <c r="U232" s="29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1" t="n"/>
      <c r="W232" s="21" t="n"/>
      <c r="X232" s="27">
        <f>SUM(V232:W232)</f>
        <v/>
      </c>
      <c r="Y232" s="28" t="n"/>
      <c r="Z232" s="28" t="n"/>
      <c r="AA232" s="29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1" t="n"/>
      <c r="AC232" s="21" t="n"/>
      <c r="AD232" s="27">
        <f>SUM(AB232:AC232)</f>
        <v/>
      </c>
      <c r="AE232" s="28" t="n"/>
      <c r="AF232" s="28" t="n"/>
      <c r="AG232" s="29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1" t="n"/>
      <c r="AI232" s="21" t="n"/>
      <c r="AJ232" s="27">
        <f>SUM(AH232:AI232)</f>
        <v/>
      </c>
      <c r="AK232" s="28" t="n"/>
      <c r="AL232" s="28" t="n"/>
      <c r="AM232" s="29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1" t="n"/>
      <c r="AO232" s="21" t="n"/>
      <c r="AP232" s="27">
        <f>SUM(AN232:AO232)</f>
        <v/>
      </c>
      <c r="AQ232" s="28" t="n"/>
      <c r="AR232" s="30" t="n"/>
      <c r="AS232" s="29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1" t="n"/>
      <c r="AU232" s="21" t="n"/>
      <c r="AV232" s="27">
        <f>SUM(AT232:AU232)</f>
        <v/>
      </c>
      <c r="AW232" s="28" t="n"/>
      <c r="AX232" s="30" t="n"/>
      <c r="AY232" s="29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1" t="n"/>
      <c r="BA232" s="21" t="n"/>
      <c r="BB232" s="27">
        <f>SUM(AZ232:BA232)</f>
        <v/>
      </c>
      <c r="BC232" s="28" t="n"/>
      <c r="BD232" s="28" t="n"/>
      <c r="BE232" s="29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1" t="n"/>
      <c r="BG232" s="21" t="n"/>
      <c r="BH232" s="27">
        <f>SUM(BF232:BG232)</f>
        <v/>
      </c>
      <c r="BI232" s="28" t="n"/>
      <c r="BJ232" s="28" t="n"/>
      <c r="BK232" s="29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1" t="n"/>
      <c r="BM232" s="21" t="n"/>
      <c r="BN232" s="27">
        <f>SUM(BL232:BM232)</f>
        <v/>
      </c>
      <c r="BO232" s="28" t="n"/>
      <c r="BP232" s="31" t="n"/>
      <c r="BQ232" s="29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1" t="n"/>
      <c r="BS232" s="21" t="n"/>
      <c r="BT232" s="27">
        <f>SUM(BR232:BS232)</f>
        <v/>
      </c>
      <c r="BU232" s="28" t="n"/>
      <c r="BV232" s="31" t="n"/>
      <c r="BW232" s="29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1" t="n"/>
      <c r="BY232" s="21" t="n"/>
      <c r="BZ232" s="27">
        <f>SUM(BX232:BY232)</f>
        <v/>
      </c>
      <c r="CA232" s="28" t="n"/>
      <c r="CB232" s="31" t="n"/>
      <c r="CC232" s="29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1" t="n"/>
      <c r="CE232" s="21" t="n"/>
      <c r="CF232" s="27">
        <f>SUM(CD232:CE232)</f>
        <v/>
      </c>
      <c r="CG232" s="28" t="n"/>
      <c r="CH232" s="31" t="n"/>
      <c r="CI232" s="29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1" t="n"/>
      <c r="CK232" s="21" t="n"/>
      <c r="CL232" s="27">
        <f>SUM(CJ232:CK232)</f>
        <v/>
      </c>
      <c r="CM232" s="28" t="n"/>
      <c r="CN232" s="31" t="n"/>
      <c r="CO232" s="29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1" t="n"/>
      <c r="CQ232" s="21" t="n"/>
      <c r="CR232" s="27">
        <f>SUM(CP232:CQ232)</f>
        <v/>
      </c>
      <c r="CS232" s="28" t="n"/>
      <c r="CT232" s="31" t="n"/>
      <c r="CU232" s="29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1" t="n"/>
      <c r="CW232" s="21" t="n"/>
      <c r="CX232" s="27">
        <f>SUM(CV232:CW232)</f>
        <v/>
      </c>
      <c r="CY232" s="28" t="n"/>
      <c r="CZ232" s="31" t="n"/>
      <c r="DA232" s="29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1" t="n"/>
      <c r="DC232" s="21" t="n"/>
      <c r="DD232" s="27">
        <f>SUM(DB232:DC232)</f>
        <v/>
      </c>
      <c r="DE232" s="28" t="n"/>
      <c r="DF232" s="31" t="n"/>
      <c r="DG232" s="29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34">
        <f>SUM(O232,U232,AA232,AG232,AM232,AS232,AY232,BE232,BK232,BQ232,BW232,CC232,CI232,CO232,CU232,DA232,DG232)</f>
        <v/>
      </c>
      <c r="DI232" s="39">
        <f>RANK(DH232,DH$4:DH$503)</f>
        <v/>
      </c>
      <c r="DJ232" s="40" t="inlineStr">
        <is>
          <t>CHOOSE RATING</t>
        </is>
      </c>
      <c r="DK232" s="40" t="inlineStr">
        <is>
          <t>CHOOSE RATING</t>
        </is>
      </c>
      <c r="DL232" s="40" t="inlineStr">
        <is>
          <t>CHOOSE RATING</t>
        </is>
      </c>
      <c r="DM232" s="40" t="inlineStr">
        <is>
          <t>CHOOSE RATING</t>
        </is>
      </c>
      <c r="DN232" s="40" t="inlineStr">
        <is>
          <t>CHOOSE RATING</t>
        </is>
      </c>
      <c r="DO232" s="40" t="inlineStr">
        <is>
          <t>CHOOSE RATING</t>
        </is>
      </c>
      <c r="DP232" s="40" t="inlineStr">
        <is>
          <t>CHOOSE RATING</t>
        </is>
      </c>
      <c r="DQ232" s="40" t="inlineStr">
        <is>
          <t>CHOOSE RATING</t>
        </is>
      </c>
      <c r="DR232" s="43" t="inlineStr">
        <is>
          <t>2024/2025</t>
        </is>
      </c>
      <c r="DS232" s="45" t="inlineStr">
        <is>
          <t>THIRD</t>
        </is>
      </c>
      <c r="DT232" s="40" t="inlineStr">
        <is>
          <t>CHOOSE RATING</t>
        </is>
      </c>
      <c r="DU232" s="40" t="inlineStr">
        <is>
          <t>CHOOSE RATING</t>
        </is>
      </c>
      <c r="DV232" s="40" t="inlineStr">
        <is>
          <t>CHOOSE RATING</t>
        </is>
      </c>
      <c r="DW232" s="40" t="inlineStr">
        <is>
          <t>CHOOSE RATING</t>
        </is>
      </c>
      <c r="DX232" s="40" t="inlineStr">
        <is>
          <t>CHOOSE RATING</t>
        </is>
      </c>
      <c r="DY232" s="40" t="inlineStr">
        <is>
          <t>CHOOSE RATING</t>
        </is>
      </c>
      <c r="DZ232" s="53" t="inlineStr">
        <is>
          <t>CHOOSE RATING</t>
        </is>
      </c>
      <c r="EA232" s="54" t="inlineStr">
        <is>
          <t>Add the Tutor's Comment . . .</t>
        </is>
      </c>
      <c r="EB232" s="55" t="inlineStr">
        <is>
          <t>Choose Principals comment</t>
        </is>
      </c>
      <c r="EC232" s="56" t="n"/>
      <c r="ED232" s="57" t="inlineStr">
        <is>
          <t>Next Term Begins on Monday, 22nd September, 2025</t>
        </is>
      </c>
    </row>
    <row r="233" ht="30.6" customHeight="1" s="6">
      <c r="A233" s="18" t="n">
        <v>230</v>
      </c>
      <c r="B233" s="19" t="n"/>
      <c r="C233" s="20" t="n"/>
      <c r="D233" s="128" t="n"/>
      <c r="E233" s="21" t="n"/>
      <c r="F233" s="22" t="n"/>
      <c r="G233" s="22" t="n"/>
      <c r="H233" s="22" t="n"/>
      <c r="I233" s="26">
        <f>G233-H233</f>
        <v/>
      </c>
      <c r="J233" s="21" t="n"/>
      <c r="K233" s="21" t="n"/>
      <c r="L233" s="27">
        <f>SUM(J233:K233)</f>
        <v/>
      </c>
      <c r="M233" s="28" t="n"/>
      <c r="N233" s="28" t="n"/>
      <c r="O233" s="29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1" t="n"/>
      <c r="Q233" s="21" t="n"/>
      <c r="R233" s="27">
        <f>SUM(P233:Q233)</f>
        <v/>
      </c>
      <c r="S233" s="28" t="n"/>
      <c r="T233" s="28" t="n"/>
      <c r="U233" s="29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1" t="n"/>
      <c r="W233" s="21" t="n"/>
      <c r="X233" s="27">
        <f>SUM(V233:W233)</f>
        <v/>
      </c>
      <c r="Y233" s="28" t="n"/>
      <c r="Z233" s="28" t="n"/>
      <c r="AA233" s="29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1" t="n"/>
      <c r="AC233" s="21" t="n"/>
      <c r="AD233" s="27">
        <f>SUM(AB233:AC233)</f>
        <v/>
      </c>
      <c r="AE233" s="28" t="n"/>
      <c r="AF233" s="28" t="n"/>
      <c r="AG233" s="29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1" t="n"/>
      <c r="AI233" s="21" t="n"/>
      <c r="AJ233" s="27">
        <f>SUM(AH233:AI233)</f>
        <v/>
      </c>
      <c r="AK233" s="28" t="n"/>
      <c r="AL233" s="28" t="n"/>
      <c r="AM233" s="29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1" t="n"/>
      <c r="AO233" s="21" t="n"/>
      <c r="AP233" s="27">
        <f>SUM(AN233:AO233)</f>
        <v/>
      </c>
      <c r="AQ233" s="28" t="n"/>
      <c r="AR233" s="30" t="n"/>
      <c r="AS233" s="29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1" t="n"/>
      <c r="AU233" s="21" t="n"/>
      <c r="AV233" s="27">
        <f>SUM(AT233:AU233)</f>
        <v/>
      </c>
      <c r="AW233" s="28" t="n"/>
      <c r="AX233" s="30" t="n"/>
      <c r="AY233" s="29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1" t="n"/>
      <c r="BA233" s="21" t="n"/>
      <c r="BB233" s="27">
        <f>SUM(AZ233:BA233)</f>
        <v/>
      </c>
      <c r="BC233" s="28" t="n"/>
      <c r="BD233" s="28" t="n"/>
      <c r="BE233" s="29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1" t="n"/>
      <c r="BG233" s="21" t="n"/>
      <c r="BH233" s="27">
        <f>SUM(BF233:BG233)</f>
        <v/>
      </c>
      <c r="BI233" s="28" t="n"/>
      <c r="BJ233" s="28" t="n"/>
      <c r="BK233" s="29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1" t="n"/>
      <c r="BM233" s="21" t="n"/>
      <c r="BN233" s="27">
        <f>SUM(BL233:BM233)</f>
        <v/>
      </c>
      <c r="BO233" s="28" t="n"/>
      <c r="BP233" s="31" t="n"/>
      <c r="BQ233" s="29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1" t="n"/>
      <c r="BS233" s="21" t="n"/>
      <c r="BT233" s="27">
        <f>SUM(BR233:BS233)</f>
        <v/>
      </c>
      <c r="BU233" s="28" t="n"/>
      <c r="BV233" s="31" t="n"/>
      <c r="BW233" s="29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1" t="n"/>
      <c r="BY233" s="21" t="n"/>
      <c r="BZ233" s="27">
        <f>SUM(BX233:BY233)</f>
        <v/>
      </c>
      <c r="CA233" s="28" t="n"/>
      <c r="CB233" s="31" t="n"/>
      <c r="CC233" s="29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1" t="n"/>
      <c r="CE233" s="21" t="n"/>
      <c r="CF233" s="27">
        <f>SUM(CD233:CE233)</f>
        <v/>
      </c>
      <c r="CG233" s="28" t="n"/>
      <c r="CH233" s="31" t="n"/>
      <c r="CI233" s="29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1" t="n"/>
      <c r="CK233" s="21" t="n"/>
      <c r="CL233" s="27">
        <f>SUM(CJ233:CK233)</f>
        <v/>
      </c>
      <c r="CM233" s="28" t="n"/>
      <c r="CN233" s="31" t="n"/>
      <c r="CO233" s="29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1" t="n"/>
      <c r="CQ233" s="21" t="n"/>
      <c r="CR233" s="27">
        <f>SUM(CP233:CQ233)</f>
        <v/>
      </c>
      <c r="CS233" s="28" t="n"/>
      <c r="CT233" s="31" t="n"/>
      <c r="CU233" s="29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1" t="n"/>
      <c r="CW233" s="21" t="n"/>
      <c r="CX233" s="27">
        <f>SUM(CV233:CW233)</f>
        <v/>
      </c>
      <c r="CY233" s="28" t="n"/>
      <c r="CZ233" s="31" t="n"/>
      <c r="DA233" s="29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1" t="n"/>
      <c r="DC233" s="21" t="n"/>
      <c r="DD233" s="27">
        <f>SUM(DB233:DC233)</f>
        <v/>
      </c>
      <c r="DE233" s="28" t="n"/>
      <c r="DF233" s="31" t="n"/>
      <c r="DG233" s="29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34">
        <f>SUM(O233,U233,AA233,AG233,AM233,AS233,AY233,BE233,BK233,BQ233,BW233,CC233,CI233,CO233,CU233,DA233,DG233)</f>
        <v/>
      </c>
      <c r="DI233" s="39">
        <f>RANK(DH233,DH$4:DH$503)</f>
        <v/>
      </c>
      <c r="DJ233" s="40" t="inlineStr">
        <is>
          <t>CHOOSE RATING</t>
        </is>
      </c>
      <c r="DK233" s="40" t="inlineStr">
        <is>
          <t>CHOOSE RATING</t>
        </is>
      </c>
      <c r="DL233" s="40" t="inlineStr">
        <is>
          <t>CHOOSE RATING</t>
        </is>
      </c>
      <c r="DM233" s="40" t="inlineStr">
        <is>
          <t>CHOOSE RATING</t>
        </is>
      </c>
      <c r="DN233" s="40" t="inlineStr">
        <is>
          <t>CHOOSE RATING</t>
        </is>
      </c>
      <c r="DO233" s="40" t="inlineStr">
        <is>
          <t>CHOOSE RATING</t>
        </is>
      </c>
      <c r="DP233" s="40" t="inlineStr">
        <is>
          <t>CHOOSE RATING</t>
        </is>
      </c>
      <c r="DQ233" s="40" t="inlineStr">
        <is>
          <t>CHOOSE RATING</t>
        </is>
      </c>
      <c r="DR233" s="43" t="inlineStr">
        <is>
          <t>2024/2025</t>
        </is>
      </c>
      <c r="DS233" s="45" t="inlineStr">
        <is>
          <t>THIRD</t>
        </is>
      </c>
      <c r="DT233" s="40" t="inlineStr">
        <is>
          <t>CHOOSE RATING</t>
        </is>
      </c>
      <c r="DU233" s="40" t="inlineStr">
        <is>
          <t>CHOOSE RATING</t>
        </is>
      </c>
      <c r="DV233" s="40" t="inlineStr">
        <is>
          <t>CHOOSE RATING</t>
        </is>
      </c>
      <c r="DW233" s="40" t="inlineStr">
        <is>
          <t>CHOOSE RATING</t>
        </is>
      </c>
      <c r="DX233" s="40" t="inlineStr">
        <is>
          <t>CHOOSE RATING</t>
        </is>
      </c>
      <c r="DY233" s="40" t="inlineStr">
        <is>
          <t>CHOOSE RATING</t>
        </is>
      </c>
      <c r="DZ233" s="53" t="inlineStr">
        <is>
          <t>CHOOSE RATING</t>
        </is>
      </c>
      <c r="EA233" s="54" t="inlineStr">
        <is>
          <t>Add the Tutor's Comment . . .</t>
        </is>
      </c>
      <c r="EB233" s="55" t="inlineStr">
        <is>
          <t>Choose Principals comment</t>
        </is>
      </c>
      <c r="EC233" s="56" t="n"/>
      <c r="ED233" s="57" t="inlineStr">
        <is>
          <t>Next Term Begins on Monday, 22nd September, 2025</t>
        </is>
      </c>
    </row>
    <row r="234" ht="30.6" customHeight="1" s="6">
      <c r="A234" s="18" t="n">
        <v>231</v>
      </c>
      <c r="B234" s="19" t="n"/>
      <c r="C234" s="20" t="n"/>
      <c r="D234" s="128" t="n"/>
      <c r="E234" s="21" t="n"/>
      <c r="F234" s="22" t="n"/>
      <c r="G234" s="22" t="n"/>
      <c r="H234" s="22" t="n"/>
      <c r="I234" s="26">
        <f>G234-H234</f>
        <v/>
      </c>
      <c r="J234" s="21" t="n"/>
      <c r="K234" s="21" t="n"/>
      <c r="L234" s="27">
        <f>SUM(J234:K234)</f>
        <v/>
      </c>
      <c r="M234" s="28" t="n"/>
      <c r="N234" s="28" t="n"/>
      <c r="O234" s="29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1" t="n"/>
      <c r="Q234" s="21" t="n"/>
      <c r="R234" s="27">
        <f>SUM(P234:Q234)</f>
        <v/>
      </c>
      <c r="S234" s="28" t="n"/>
      <c r="T234" s="28" t="n"/>
      <c r="U234" s="29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1" t="n"/>
      <c r="W234" s="21" t="n"/>
      <c r="X234" s="27">
        <f>SUM(V234:W234)</f>
        <v/>
      </c>
      <c r="Y234" s="28" t="n"/>
      <c r="Z234" s="28" t="n"/>
      <c r="AA234" s="29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1" t="n"/>
      <c r="AC234" s="21" t="n"/>
      <c r="AD234" s="27">
        <f>SUM(AB234:AC234)</f>
        <v/>
      </c>
      <c r="AE234" s="28" t="n"/>
      <c r="AF234" s="28" t="n"/>
      <c r="AG234" s="29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1" t="n"/>
      <c r="AI234" s="21" t="n"/>
      <c r="AJ234" s="27">
        <f>SUM(AH234:AI234)</f>
        <v/>
      </c>
      <c r="AK234" s="28" t="n"/>
      <c r="AL234" s="28" t="n"/>
      <c r="AM234" s="29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1" t="n"/>
      <c r="AO234" s="21" t="n"/>
      <c r="AP234" s="27">
        <f>SUM(AN234:AO234)</f>
        <v/>
      </c>
      <c r="AQ234" s="28" t="n"/>
      <c r="AR234" s="30" t="n"/>
      <c r="AS234" s="29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1" t="n"/>
      <c r="AU234" s="21" t="n"/>
      <c r="AV234" s="27">
        <f>SUM(AT234:AU234)</f>
        <v/>
      </c>
      <c r="AW234" s="28" t="n"/>
      <c r="AX234" s="30" t="n"/>
      <c r="AY234" s="29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1" t="n"/>
      <c r="BA234" s="21" t="n"/>
      <c r="BB234" s="27">
        <f>SUM(AZ234:BA234)</f>
        <v/>
      </c>
      <c r="BC234" s="28" t="n"/>
      <c r="BD234" s="28" t="n"/>
      <c r="BE234" s="29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1" t="n"/>
      <c r="BG234" s="21" t="n"/>
      <c r="BH234" s="27">
        <f>SUM(BF234:BG234)</f>
        <v/>
      </c>
      <c r="BI234" s="28" t="n"/>
      <c r="BJ234" s="28" t="n"/>
      <c r="BK234" s="29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1" t="n"/>
      <c r="BM234" s="21" t="n"/>
      <c r="BN234" s="27">
        <f>SUM(BL234:BM234)</f>
        <v/>
      </c>
      <c r="BO234" s="28" t="n"/>
      <c r="BP234" s="31" t="n"/>
      <c r="BQ234" s="29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1" t="n"/>
      <c r="BS234" s="21" t="n"/>
      <c r="BT234" s="27">
        <f>SUM(BR234:BS234)</f>
        <v/>
      </c>
      <c r="BU234" s="28" t="n"/>
      <c r="BV234" s="31" t="n"/>
      <c r="BW234" s="29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1" t="n"/>
      <c r="BY234" s="21" t="n"/>
      <c r="BZ234" s="27">
        <f>SUM(BX234:BY234)</f>
        <v/>
      </c>
      <c r="CA234" s="28" t="n"/>
      <c r="CB234" s="31" t="n"/>
      <c r="CC234" s="29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1" t="n"/>
      <c r="CE234" s="21" t="n"/>
      <c r="CF234" s="27">
        <f>SUM(CD234:CE234)</f>
        <v/>
      </c>
      <c r="CG234" s="28" t="n"/>
      <c r="CH234" s="31" t="n"/>
      <c r="CI234" s="29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1" t="n"/>
      <c r="CK234" s="21" t="n"/>
      <c r="CL234" s="27">
        <f>SUM(CJ234:CK234)</f>
        <v/>
      </c>
      <c r="CM234" s="28" t="n"/>
      <c r="CN234" s="31" t="n"/>
      <c r="CO234" s="29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1" t="n"/>
      <c r="CQ234" s="21" t="n"/>
      <c r="CR234" s="27">
        <f>SUM(CP234:CQ234)</f>
        <v/>
      </c>
      <c r="CS234" s="28" t="n"/>
      <c r="CT234" s="31" t="n"/>
      <c r="CU234" s="29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1" t="n"/>
      <c r="CW234" s="21" t="n"/>
      <c r="CX234" s="27">
        <f>SUM(CV234:CW234)</f>
        <v/>
      </c>
      <c r="CY234" s="28" t="n"/>
      <c r="CZ234" s="31" t="n"/>
      <c r="DA234" s="29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1" t="n"/>
      <c r="DC234" s="21" t="n"/>
      <c r="DD234" s="27">
        <f>SUM(DB234:DC234)</f>
        <v/>
      </c>
      <c r="DE234" s="28" t="n"/>
      <c r="DF234" s="31" t="n"/>
      <c r="DG234" s="29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34">
        <f>SUM(O234,U234,AA234,AG234,AM234,AS234,AY234,BE234,BK234,BQ234,BW234,CC234,CI234,CO234,CU234,DA234,DG234)</f>
        <v/>
      </c>
      <c r="DI234" s="39">
        <f>RANK(DH234,DH$4:DH$503)</f>
        <v/>
      </c>
      <c r="DJ234" s="40" t="inlineStr">
        <is>
          <t>CHOOSE RATING</t>
        </is>
      </c>
      <c r="DK234" s="40" t="inlineStr">
        <is>
          <t>CHOOSE RATING</t>
        </is>
      </c>
      <c r="DL234" s="40" t="inlineStr">
        <is>
          <t>CHOOSE RATING</t>
        </is>
      </c>
      <c r="DM234" s="40" t="inlineStr">
        <is>
          <t>CHOOSE RATING</t>
        </is>
      </c>
      <c r="DN234" s="40" t="inlineStr">
        <is>
          <t>CHOOSE RATING</t>
        </is>
      </c>
      <c r="DO234" s="40" t="inlineStr">
        <is>
          <t>CHOOSE RATING</t>
        </is>
      </c>
      <c r="DP234" s="40" t="inlineStr">
        <is>
          <t>CHOOSE RATING</t>
        </is>
      </c>
      <c r="DQ234" s="40" t="inlineStr">
        <is>
          <t>CHOOSE RATING</t>
        </is>
      </c>
      <c r="DR234" s="43" t="inlineStr">
        <is>
          <t>2024/2025</t>
        </is>
      </c>
      <c r="DS234" s="45" t="inlineStr">
        <is>
          <t>THIRD</t>
        </is>
      </c>
      <c r="DT234" s="40" t="inlineStr">
        <is>
          <t>CHOOSE RATING</t>
        </is>
      </c>
      <c r="DU234" s="40" t="inlineStr">
        <is>
          <t>CHOOSE RATING</t>
        </is>
      </c>
      <c r="DV234" s="40" t="inlineStr">
        <is>
          <t>CHOOSE RATING</t>
        </is>
      </c>
      <c r="DW234" s="40" t="inlineStr">
        <is>
          <t>CHOOSE RATING</t>
        </is>
      </c>
      <c r="DX234" s="40" t="inlineStr">
        <is>
          <t>CHOOSE RATING</t>
        </is>
      </c>
      <c r="DY234" s="40" t="inlineStr">
        <is>
          <t>CHOOSE RATING</t>
        </is>
      </c>
      <c r="DZ234" s="53" t="inlineStr">
        <is>
          <t>CHOOSE RATING</t>
        </is>
      </c>
      <c r="EA234" s="54" t="inlineStr">
        <is>
          <t>Add the Tutor's Comment . . .</t>
        </is>
      </c>
      <c r="EB234" s="55" t="inlineStr">
        <is>
          <t>Choose Principals comment</t>
        </is>
      </c>
      <c r="EC234" s="56" t="n"/>
      <c r="ED234" s="57" t="inlineStr">
        <is>
          <t>Next Term Begins on Monday, 22nd September, 2025</t>
        </is>
      </c>
    </row>
    <row r="235" ht="30.6" customHeight="1" s="6">
      <c r="A235" s="18" t="n">
        <v>232</v>
      </c>
      <c r="B235" s="19" t="n"/>
      <c r="C235" s="20" t="n"/>
      <c r="D235" s="128" t="n"/>
      <c r="E235" s="21" t="n"/>
      <c r="F235" s="22" t="n"/>
      <c r="G235" s="22" t="n"/>
      <c r="H235" s="22" t="n"/>
      <c r="I235" s="26">
        <f>G235-H235</f>
        <v/>
      </c>
      <c r="J235" s="21" t="n"/>
      <c r="K235" s="21" t="n"/>
      <c r="L235" s="27">
        <f>SUM(J235:K235)</f>
        <v/>
      </c>
      <c r="M235" s="28" t="n"/>
      <c r="N235" s="28" t="n"/>
      <c r="O235" s="29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1" t="n"/>
      <c r="Q235" s="21" t="n"/>
      <c r="R235" s="27">
        <f>SUM(P235:Q235)</f>
        <v/>
      </c>
      <c r="S235" s="28" t="n"/>
      <c r="T235" s="28" t="n"/>
      <c r="U235" s="29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1" t="n"/>
      <c r="W235" s="21" t="n"/>
      <c r="X235" s="27">
        <f>SUM(V235:W235)</f>
        <v/>
      </c>
      <c r="Y235" s="28" t="n"/>
      <c r="Z235" s="28" t="n"/>
      <c r="AA235" s="29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1" t="n"/>
      <c r="AC235" s="21" t="n"/>
      <c r="AD235" s="27">
        <f>SUM(AB235:AC235)</f>
        <v/>
      </c>
      <c r="AE235" s="28" t="n"/>
      <c r="AF235" s="28" t="n"/>
      <c r="AG235" s="29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1" t="n"/>
      <c r="AI235" s="21" t="n"/>
      <c r="AJ235" s="27">
        <f>SUM(AH235:AI235)</f>
        <v/>
      </c>
      <c r="AK235" s="28" t="n"/>
      <c r="AL235" s="28" t="n"/>
      <c r="AM235" s="29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1" t="n"/>
      <c r="AO235" s="21" t="n"/>
      <c r="AP235" s="27">
        <f>SUM(AN235:AO235)</f>
        <v/>
      </c>
      <c r="AQ235" s="28" t="n"/>
      <c r="AR235" s="30" t="n"/>
      <c r="AS235" s="29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1" t="n"/>
      <c r="AU235" s="21" t="n"/>
      <c r="AV235" s="27">
        <f>SUM(AT235:AU235)</f>
        <v/>
      </c>
      <c r="AW235" s="28" t="n"/>
      <c r="AX235" s="30" t="n"/>
      <c r="AY235" s="29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1" t="n"/>
      <c r="BA235" s="21" t="n"/>
      <c r="BB235" s="27">
        <f>SUM(AZ235:BA235)</f>
        <v/>
      </c>
      <c r="BC235" s="28" t="n"/>
      <c r="BD235" s="28" t="n"/>
      <c r="BE235" s="29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1" t="n"/>
      <c r="BG235" s="21" t="n"/>
      <c r="BH235" s="27">
        <f>SUM(BF235:BG235)</f>
        <v/>
      </c>
      <c r="BI235" s="28" t="n"/>
      <c r="BJ235" s="28" t="n"/>
      <c r="BK235" s="29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1" t="n"/>
      <c r="BM235" s="21" t="n"/>
      <c r="BN235" s="27">
        <f>SUM(BL235:BM235)</f>
        <v/>
      </c>
      <c r="BO235" s="28" t="n"/>
      <c r="BP235" s="31" t="n"/>
      <c r="BQ235" s="29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1" t="n"/>
      <c r="BS235" s="21" t="n"/>
      <c r="BT235" s="27">
        <f>SUM(BR235:BS235)</f>
        <v/>
      </c>
      <c r="BU235" s="28" t="n"/>
      <c r="BV235" s="31" t="n"/>
      <c r="BW235" s="29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1" t="n"/>
      <c r="BY235" s="21" t="n"/>
      <c r="BZ235" s="27">
        <f>SUM(BX235:BY235)</f>
        <v/>
      </c>
      <c r="CA235" s="28" t="n"/>
      <c r="CB235" s="31" t="n"/>
      <c r="CC235" s="29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1" t="n"/>
      <c r="CE235" s="21" t="n"/>
      <c r="CF235" s="27">
        <f>SUM(CD235:CE235)</f>
        <v/>
      </c>
      <c r="CG235" s="28" t="n"/>
      <c r="CH235" s="31" t="n"/>
      <c r="CI235" s="29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1" t="n"/>
      <c r="CK235" s="21" t="n"/>
      <c r="CL235" s="27">
        <f>SUM(CJ235:CK235)</f>
        <v/>
      </c>
      <c r="CM235" s="28" t="n"/>
      <c r="CN235" s="31" t="n"/>
      <c r="CO235" s="29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1" t="n"/>
      <c r="CQ235" s="21" t="n"/>
      <c r="CR235" s="27">
        <f>SUM(CP235:CQ235)</f>
        <v/>
      </c>
      <c r="CS235" s="28" t="n"/>
      <c r="CT235" s="31" t="n"/>
      <c r="CU235" s="29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1" t="n"/>
      <c r="CW235" s="21" t="n"/>
      <c r="CX235" s="27">
        <f>SUM(CV235:CW235)</f>
        <v/>
      </c>
      <c r="CY235" s="28" t="n"/>
      <c r="CZ235" s="31" t="n"/>
      <c r="DA235" s="29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1" t="n"/>
      <c r="DC235" s="21" t="n"/>
      <c r="DD235" s="27">
        <f>SUM(DB235:DC235)</f>
        <v/>
      </c>
      <c r="DE235" s="28" t="n"/>
      <c r="DF235" s="31" t="n"/>
      <c r="DG235" s="29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34">
        <f>SUM(O235,U235,AA235,AG235,AM235,AS235,AY235,BE235,BK235,BQ235,BW235,CC235,CI235,CO235,CU235,DA235,DG235)</f>
        <v/>
      </c>
      <c r="DI235" s="39">
        <f>RANK(DH235,DH$4:DH$503)</f>
        <v/>
      </c>
      <c r="DJ235" s="40" t="inlineStr">
        <is>
          <t>CHOOSE RATING</t>
        </is>
      </c>
      <c r="DK235" s="40" t="inlineStr">
        <is>
          <t>CHOOSE RATING</t>
        </is>
      </c>
      <c r="DL235" s="40" t="inlineStr">
        <is>
          <t>CHOOSE RATING</t>
        </is>
      </c>
      <c r="DM235" s="40" t="inlineStr">
        <is>
          <t>CHOOSE RATING</t>
        </is>
      </c>
      <c r="DN235" s="40" t="inlineStr">
        <is>
          <t>CHOOSE RATING</t>
        </is>
      </c>
      <c r="DO235" s="40" t="inlineStr">
        <is>
          <t>CHOOSE RATING</t>
        </is>
      </c>
      <c r="DP235" s="40" t="inlineStr">
        <is>
          <t>CHOOSE RATING</t>
        </is>
      </c>
      <c r="DQ235" s="40" t="inlineStr">
        <is>
          <t>CHOOSE RATING</t>
        </is>
      </c>
      <c r="DR235" s="43" t="inlineStr">
        <is>
          <t>2024/2025</t>
        </is>
      </c>
      <c r="DS235" s="45" t="inlineStr">
        <is>
          <t>THIRD</t>
        </is>
      </c>
      <c r="DT235" s="40" t="inlineStr">
        <is>
          <t>CHOOSE RATING</t>
        </is>
      </c>
      <c r="DU235" s="40" t="inlineStr">
        <is>
          <t>CHOOSE RATING</t>
        </is>
      </c>
      <c r="DV235" s="40" t="inlineStr">
        <is>
          <t>CHOOSE RATING</t>
        </is>
      </c>
      <c r="DW235" s="40" t="inlineStr">
        <is>
          <t>CHOOSE RATING</t>
        </is>
      </c>
      <c r="DX235" s="40" t="inlineStr">
        <is>
          <t>CHOOSE RATING</t>
        </is>
      </c>
      <c r="DY235" s="40" t="inlineStr">
        <is>
          <t>CHOOSE RATING</t>
        </is>
      </c>
      <c r="DZ235" s="53" t="inlineStr">
        <is>
          <t>CHOOSE RATING</t>
        </is>
      </c>
      <c r="EA235" s="54" t="inlineStr">
        <is>
          <t>Add the Tutor's Comment . . .</t>
        </is>
      </c>
      <c r="EB235" s="55" t="inlineStr">
        <is>
          <t>Choose Principals comment</t>
        </is>
      </c>
      <c r="EC235" s="56" t="n"/>
      <c r="ED235" s="57" t="inlineStr">
        <is>
          <t>Next Term Begins on Monday, 22nd September, 2025</t>
        </is>
      </c>
    </row>
    <row r="236" ht="30.6" customHeight="1" s="6">
      <c r="A236" s="18" t="n">
        <v>233</v>
      </c>
      <c r="B236" s="19" t="n"/>
      <c r="C236" s="20" t="n"/>
      <c r="D236" s="128" t="n"/>
      <c r="E236" s="21" t="n"/>
      <c r="F236" s="22" t="n"/>
      <c r="G236" s="22" t="n"/>
      <c r="H236" s="22" t="n"/>
      <c r="I236" s="26">
        <f>G236-H236</f>
        <v/>
      </c>
      <c r="J236" s="21" t="n"/>
      <c r="K236" s="21" t="n"/>
      <c r="L236" s="27">
        <f>SUM(J236:K236)</f>
        <v/>
      </c>
      <c r="M236" s="28" t="n"/>
      <c r="N236" s="28" t="n"/>
      <c r="O236" s="29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1" t="n"/>
      <c r="Q236" s="21" t="n"/>
      <c r="R236" s="27">
        <f>SUM(P236:Q236)</f>
        <v/>
      </c>
      <c r="S236" s="28" t="n"/>
      <c r="T236" s="28" t="n"/>
      <c r="U236" s="29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1" t="n"/>
      <c r="W236" s="21" t="n"/>
      <c r="X236" s="27">
        <f>SUM(V236:W236)</f>
        <v/>
      </c>
      <c r="Y236" s="28" t="n"/>
      <c r="Z236" s="28" t="n"/>
      <c r="AA236" s="29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1" t="n"/>
      <c r="AC236" s="21" t="n"/>
      <c r="AD236" s="27">
        <f>SUM(AB236:AC236)</f>
        <v/>
      </c>
      <c r="AE236" s="28" t="n"/>
      <c r="AF236" s="28" t="n"/>
      <c r="AG236" s="29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1" t="n"/>
      <c r="AI236" s="21" t="n"/>
      <c r="AJ236" s="27">
        <f>SUM(AH236:AI236)</f>
        <v/>
      </c>
      <c r="AK236" s="28" t="n"/>
      <c r="AL236" s="28" t="n"/>
      <c r="AM236" s="29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1" t="n"/>
      <c r="AO236" s="21" t="n"/>
      <c r="AP236" s="27">
        <f>SUM(AN236:AO236)</f>
        <v/>
      </c>
      <c r="AQ236" s="28" t="n"/>
      <c r="AR236" s="30" t="n"/>
      <c r="AS236" s="29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1" t="n"/>
      <c r="AU236" s="21" t="n"/>
      <c r="AV236" s="27">
        <f>SUM(AT236:AU236)</f>
        <v/>
      </c>
      <c r="AW236" s="28" t="n"/>
      <c r="AX236" s="30" t="n"/>
      <c r="AY236" s="29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1" t="n"/>
      <c r="BA236" s="21" t="n"/>
      <c r="BB236" s="27">
        <f>SUM(AZ236:BA236)</f>
        <v/>
      </c>
      <c r="BC236" s="28" t="n"/>
      <c r="BD236" s="28" t="n"/>
      <c r="BE236" s="29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1" t="n"/>
      <c r="BG236" s="21" t="n"/>
      <c r="BH236" s="27">
        <f>SUM(BF236:BG236)</f>
        <v/>
      </c>
      <c r="BI236" s="28" t="n"/>
      <c r="BJ236" s="28" t="n"/>
      <c r="BK236" s="29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1" t="n"/>
      <c r="BM236" s="21" t="n"/>
      <c r="BN236" s="27">
        <f>SUM(BL236:BM236)</f>
        <v/>
      </c>
      <c r="BO236" s="28" t="n"/>
      <c r="BP236" s="31" t="n"/>
      <c r="BQ236" s="29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1" t="n"/>
      <c r="BS236" s="21" t="n"/>
      <c r="BT236" s="27">
        <f>SUM(BR236:BS236)</f>
        <v/>
      </c>
      <c r="BU236" s="28" t="n"/>
      <c r="BV236" s="31" t="n"/>
      <c r="BW236" s="29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1" t="n"/>
      <c r="BY236" s="21" t="n"/>
      <c r="BZ236" s="27">
        <f>SUM(BX236:BY236)</f>
        <v/>
      </c>
      <c r="CA236" s="28" t="n"/>
      <c r="CB236" s="31" t="n"/>
      <c r="CC236" s="29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1" t="n"/>
      <c r="CE236" s="21" t="n"/>
      <c r="CF236" s="27">
        <f>SUM(CD236:CE236)</f>
        <v/>
      </c>
      <c r="CG236" s="28" t="n"/>
      <c r="CH236" s="31" t="n"/>
      <c r="CI236" s="29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1" t="n"/>
      <c r="CK236" s="21" t="n"/>
      <c r="CL236" s="27">
        <f>SUM(CJ236:CK236)</f>
        <v/>
      </c>
      <c r="CM236" s="28" t="n"/>
      <c r="CN236" s="31" t="n"/>
      <c r="CO236" s="29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1" t="n"/>
      <c r="CQ236" s="21" t="n"/>
      <c r="CR236" s="27">
        <f>SUM(CP236:CQ236)</f>
        <v/>
      </c>
      <c r="CS236" s="28" t="n"/>
      <c r="CT236" s="31" t="n"/>
      <c r="CU236" s="29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1" t="n"/>
      <c r="CW236" s="21" t="n"/>
      <c r="CX236" s="27">
        <f>SUM(CV236:CW236)</f>
        <v/>
      </c>
      <c r="CY236" s="28" t="n"/>
      <c r="CZ236" s="31" t="n"/>
      <c r="DA236" s="29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1" t="n"/>
      <c r="DC236" s="21" t="n"/>
      <c r="DD236" s="27">
        <f>SUM(DB236:DC236)</f>
        <v/>
      </c>
      <c r="DE236" s="28" t="n"/>
      <c r="DF236" s="31" t="n"/>
      <c r="DG236" s="29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34">
        <f>SUM(O236,U236,AA236,AG236,AM236,AS236,AY236,BE236,BK236,BQ236,BW236,CC236,CI236,CO236,CU236,DA236,DG236)</f>
        <v/>
      </c>
      <c r="DI236" s="39">
        <f>RANK(DH236,DH$4:DH$503)</f>
        <v/>
      </c>
      <c r="DJ236" s="40" t="inlineStr">
        <is>
          <t>CHOOSE RATING</t>
        </is>
      </c>
      <c r="DK236" s="40" t="inlineStr">
        <is>
          <t>CHOOSE RATING</t>
        </is>
      </c>
      <c r="DL236" s="40" t="inlineStr">
        <is>
          <t>CHOOSE RATING</t>
        </is>
      </c>
      <c r="DM236" s="40" t="inlineStr">
        <is>
          <t>CHOOSE RATING</t>
        </is>
      </c>
      <c r="DN236" s="40" t="inlineStr">
        <is>
          <t>CHOOSE RATING</t>
        </is>
      </c>
      <c r="DO236" s="40" t="inlineStr">
        <is>
          <t>CHOOSE RATING</t>
        </is>
      </c>
      <c r="DP236" s="40" t="inlineStr">
        <is>
          <t>CHOOSE RATING</t>
        </is>
      </c>
      <c r="DQ236" s="40" t="inlineStr">
        <is>
          <t>CHOOSE RATING</t>
        </is>
      </c>
      <c r="DR236" s="43" t="inlineStr">
        <is>
          <t>2024/2025</t>
        </is>
      </c>
      <c r="DS236" s="45" t="inlineStr">
        <is>
          <t>THIRD</t>
        </is>
      </c>
      <c r="DT236" s="40" t="inlineStr">
        <is>
          <t>CHOOSE RATING</t>
        </is>
      </c>
      <c r="DU236" s="40" t="inlineStr">
        <is>
          <t>CHOOSE RATING</t>
        </is>
      </c>
      <c r="DV236" s="40" t="inlineStr">
        <is>
          <t>CHOOSE RATING</t>
        </is>
      </c>
      <c r="DW236" s="40" t="inlineStr">
        <is>
          <t>CHOOSE RATING</t>
        </is>
      </c>
      <c r="DX236" s="40" t="inlineStr">
        <is>
          <t>CHOOSE RATING</t>
        </is>
      </c>
      <c r="DY236" s="40" t="inlineStr">
        <is>
          <t>CHOOSE RATING</t>
        </is>
      </c>
      <c r="DZ236" s="53" t="inlineStr">
        <is>
          <t>CHOOSE RATING</t>
        </is>
      </c>
      <c r="EA236" s="54" t="inlineStr">
        <is>
          <t>Add the Tutor's Comment . . .</t>
        </is>
      </c>
      <c r="EB236" s="55" t="inlineStr">
        <is>
          <t>Choose Principals comment</t>
        </is>
      </c>
      <c r="EC236" s="56" t="n"/>
      <c r="ED236" s="57" t="inlineStr">
        <is>
          <t>Next Term Begins on Monday, 22nd September, 2025</t>
        </is>
      </c>
    </row>
    <row r="237" ht="30.6" customHeight="1" s="6">
      <c r="A237" s="18" t="n">
        <v>234</v>
      </c>
      <c r="B237" s="19" t="n"/>
      <c r="C237" s="20" t="n"/>
      <c r="D237" s="128" t="n"/>
      <c r="E237" s="21" t="n"/>
      <c r="F237" s="22" t="n"/>
      <c r="G237" s="22" t="n"/>
      <c r="H237" s="22" t="n"/>
      <c r="I237" s="26">
        <f>G237-H237</f>
        <v/>
      </c>
      <c r="J237" s="21" t="n"/>
      <c r="K237" s="21" t="n"/>
      <c r="L237" s="27">
        <f>SUM(J237:K237)</f>
        <v/>
      </c>
      <c r="M237" s="28" t="n"/>
      <c r="N237" s="28" t="n"/>
      <c r="O237" s="29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1" t="n"/>
      <c r="Q237" s="21" t="n"/>
      <c r="R237" s="27">
        <f>SUM(P237:Q237)</f>
        <v/>
      </c>
      <c r="S237" s="28" t="n"/>
      <c r="T237" s="28" t="n"/>
      <c r="U237" s="29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1" t="n"/>
      <c r="W237" s="21" t="n"/>
      <c r="X237" s="27">
        <f>SUM(V237:W237)</f>
        <v/>
      </c>
      <c r="Y237" s="28" t="n"/>
      <c r="Z237" s="28" t="n"/>
      <c r="AA237" s="29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1" t="n"/>
      <c r="AC237" s="21" t="n"/>
      <c r="AD237" s="27">
        <f>SUM(AB237:AC237)</f>
        <v/>
      </c>
      <c r="AE237" s="28" t="n"/>
      <c r="AF237" s="28" t="n"/>
      <c r="AG237" s="29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1" t="n"/>
      <c r="AI237" s="21" t="n"/>
      <c r="AJ237" s="27">
        <f>SUM(AH237:AI237)</f>
        <v/>
      </c>
      <c r="AK237" s="28" t="n"/>
      <c r="AL237" s="28" t="n"/>
      <c r="AM237" s="29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1" t="n"/>
      <c r="AO237" s="21" t="n"/>
      <c r="AP237" s="27">
        <f>SUM(AN237:AO237)</f>
        <v/>
      </c>
      <c r="AQ237" s="28" t="n"/>
      <c r="AR237" s="30" t="n"/>
      <c r="AS237" s="29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1" t="n"/>
      <c r="AU237" s="21" t="n"/>
      <c r="AV237" s="27">
        <f>SUM(AT237:AU237)</f>
        <v/>
      </c>
      <c r="AW237" s="28" t="n"/>
      <c r="AX237" s="30" t="n"/>
      <c r="AY237" s="29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1" t="n"/>
      <c r="BA237" s="21" t="n"/>
      <c r="BB237" s="27">
        <f>SUM(AZ237:BA237)</f>
        <v/>
      </c>
      <c r="BC237" s="28" t="n"/>
      <c r="BD237" s="28" t="n"/>
      <c r="BE237" s="29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1" t="n"/>
      <c r="BG237" s="21" t="n"/>
      <c r="BH237" s="27">
        <f>SUM(BF237:BG237)</f>
        <v/>
      </c>
      <c r="BI237" s="28" t="n"/>
      <c r="BJ237" s="28" t="n"/>
      <c r="BK237" s="29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1" t="n"/>
      <c r="BM237" s="21" t="n"/>
      <c r="BN237" s="27">
        <f>SUM(BL237:BM237)</f>
        <v/>
      </c>
      <c r="BO237" s="28" t="n"/>
      <c r="BP237" s="31" t="n"/>
      <c r="BQ237" s="29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1" t="n"/>
      <c r="BS237" s="21" t="n"/>
      <c r="BT237" s="27">
        <f>SUM(BR237:BS237)</f>
        <v/>
      </c>
      <c r="BU237" s="28" t="n"/>
      <c r="BV237" s="31" t="n"/>
      <c r="BW237" s="29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1" t="n"/>
      <c r="BY237" s="21" t="n"/>
      <c r="BZ237" s="27">
        <f>SUM(BX237:BY237)</f>
        <v/>
      </c>
      <c r="CA237" s="28" t="n"/>
      <c r="CB237" s="31" t="n"/>
      <c r="CC237" s="29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1" t="n"/>
      <c r="CE237" s="21" t="n"/>
      <c r="CF237" s="27">
        <f>SUM(CD237:CE237)</f>
        <v/>
      </c>
      <c r="CG237" s="28" t="n"/>
      <c r="CH237" s="31" t="n"/>
      <c r="CI237" s="29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1" t="n"/>
      <c r="CK237" s="21" t="n"/>
      <c r="CL237" s="27">
        <f>SUM(CJ237:CK237)</f>
        <v/>
      </c>
      <c r="CM237" s="28" t="n"/>
      <c r="CN237" s="31" t="n"/>
      <c r="CO237" s="29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1" t="n"/>
      <c r="CQ237" s="21" t="n"/>
      <c r="CR237" s="27">
        <f>SUM(CP237:CQ237)</f>
        <v/>
      </c>
      <c r="CS237" s="28" t="n"/>
      <c r="CT237" s="31" t="n"/>
      <c r="CU237" s="29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1" t="n"/>
      <c r="CW237" s="21" t="n"/>
      <c r="CX237" s="27">
        <f>SUM(CV237:CW237)</f>
        <v/>
      </c>
      <c r="CY237" s="28" t="n"/>
      <c r="CZ237" s="31" t="n"/>
      <c r="DA237" s="29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1" t="n"/>
      <c r="DC237" s="21" t="n"/>
      <c r="DD237" s="27">
        <f>SUM(DB237:DC237)</f>
        <v/>
      </c>
      <c r="DE237" s="28" t="n"/>
      <c r="DF237" s="31" t="n"/>
      <c r="DG237" s="29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34">
        <f>SUM(O237,U237,AA237,AG237,AM237,AS237,AY237,BE237,BK237,BQ237,BW237,CC237,CI237,CO237,CU237,DA237,DG237)</f>
        <v/>
      </c>
      <c r="DI237" s="39">
        <f>RANK(DH237,DH$4:DH$503)</f>
        <v/>
      </c>
      <c r="DJ237" s="40" t="inlineStr">
        <is>
          <t>CHOOSE RATING</t>
        </is>
      </c>
      <c r="DK237" s="40" t="inlineStr">
        <is>
          <t>CHOOSE RATING</t>
        </is>
      </c>
      <c r="DL237" s="40" t="inlineStr">
        <is>
          <t>CHOOSE RATING</t>
        </is>
      </c>
      <c r="DM237" s="40" t="inlineStr">
        <is>
          <t>CHOOSE RATING</t>
        </is>
      </c>
      <c r="DN237" s="40" t="inlineStr">
        <is>
          <t>CHOOSE RATING</t>
        </is>
      </c>
      <c r="DO237" s="40" t="inlineStr">
        <is>
          <t>CHOOSE RATING</t>
        </is>
      </c>
      <c r="DP237" s="40" t="inlineStr">
        <is>
          <t>CHOOSE RATING</t>
        </is>
      </c>
      <c r="DQ237" s="40" t="inlineStr">
        <is>
          <t>CHOOSE RATING</t>
        </is>
      </c>
      <c r="DR237" s="43" t="inlineStr">
        <is>
          <t>2024/2025</t>
        </is>
      </c>
      <c r="DS237" s="45" t="inlineStr">
        <is>
          <t>THIRD</t>
        </is>
      </c>
      <c r="DT237" s="40" t="inlineStr">
        <is>
          <t>CHOOSE RATING</t>
        </is>
      </c>
      <c r="DU237" s="40" t="inlineStr">
        <is>
          <t>CHOOSE RATING</t>
        </is>
      </c>
      <c r="DV237" s="40" t="inlineStr">
        <is>
          <t>CHOOSE RATING</t>
        </is>
      </c>
      <c r="DW237" s="40" t="inlineStr">
        <is>
          <t>CHOOSE RATING</t>
        </is>
      </c>
      <c r="DX237" s="40" t="inlineStr">
        <is>
          <t>CHOOSE RATING</t>
        </is>
      </c>
      <c r="DY237" s="40" t="inlineStr">
        <is>
          <t>CHOOSE RATING</t>
        </is>
      </c>
      <c r="DZ237" s="53" t="inlineStr">
        <is>
          <t>CHOOSE RATING</t>
        </is>
      </c>
      <c r="EA237" s="54" t="inlineStr">
        <is>
          <t>Add the Tutor's Comment . . .</t>
        </is>
      </c>
      <c r="EB237" s="55" t="inlineStr">
        <is>
          <t>Choose Principals comment</t>
        </is>
      </c>
      <c r="EC237" s="56" t="n"/>
      <c r="ED237" s="57" t="inlineStr">
        <is>
          <t>Next Term Begins on Monday, 22nd September, 2025</t>
        </is>
      </c>
    </row>
    <row r="238" ht="30.6" customHeight="1" s="6">
      <c r="A238" s="18" t="n">
        <v>235</v>
      </c>
      <c r="B238" s="19" t="n"/>
      <c r="C238" s="20" t="n"/>
      <c r="D238" s="128" t="n"/>
      <c r="E238" s="21" t="n"/>
      <c r="F238" s="22" t="n"/>
      <c r="G238" s="22" t="n"/>
      <c r="H238" s="22" t="n"/>
      <c r="I238" s="26">
        <f>G238-H238</f>
        <v/>
      </c>
      <c r="J238" s="21" t="n"/>
      <c r="K238" s="21" t="n"/>
      <c r="L238" s="27">
        <f>SUM(J238:K238)</f>
        <v/>
      </c>
      <c r="M238" s="28" t="n"/>
      <c r="N238" s="28" t="n"/>
      <c r="O238" s="29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1" t="n"/>
      <c r="Q238" s="21" t="n"/>
      <c r="R238" s="27">
        <f>SUM(P238:Q238)</f>
        <v/>
      </c>
      <c r="S238" s="28" t="n"/>
      <c r="T238" s="28" t="n"/>
      <c r="U238" s="29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1" t="n"/>
      <c r="W238" s="21" t="n"/>
      <c r="X238" s="27">
        <f>SUM(V238:W238)</f>
        <v/>
      </c>
      <c r="Y238" s="28" t="n"/>
      <c r="Z238" s="28" t="n"/>
      <c r="AA238" s="29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1" t="n"/>
      <c r="AC238" s="21" t="n"/>
      <c r="AD238" s="27">
        <f>SUM(AB238:AC238)</f>
        <v/>
      </c>
      <c r="AE238" s="28" t="n"/>
      <c r="AF238" s="28" t="n"/>
      <c r="AG238" s="29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1" t="n"/>
      <c r="AI238" s="21" t="n"/>
      <c r="AJ238" s="27">
        <f>SUM(AH238:AI238)</f>
        <v/>
      </c>
      <c r="AK238" s="28" t="n"/>
      <c r="AL238" s="28" t="n"/>
      <c r="AM238" s="29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1" t="n"/>
      <c r="AO238" s="21" t="n"/>
      <c r="AP238" s="27">
        <f>SUM(AN238:AO238)</f>
        <v/>
      </c>
      <c r="AQ238" s="28" t="n"/>
      <c r="AR238" s="30" t="n"/>
      <c r="AS238" s="29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1" t="n"/>
      <c r="AU238" s="21" t="n"/>
      <c r="AV238" s="27">
        <f>SUM(AT238:AU238)</f>
        <v/>
      </c>
      <c r="AW238" s="28" t="n"/>
      <c r="AX238" s="30" t="n"/>
      <c r="AY238" s="29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1" t="n"/>
      <c r="BA238" s="21" t="n"/>
      <c r="BB238" s="27">
        <f>SUM(AZ238:BA238)</f>
        <v/>
      </c>
      <c r="BC238" s="28" t="n"/>
      <c r="BD238" s="28" t="n"/>
      <c r="BE238" s="29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1" t="n"/>
      <c r="BG238" s="21" t="n"/>
      <c r="BH238" s="27">
        <f>SUM(BF238:BG238)</f>
        <v/>
      </c>
      <c r="BI238" s="28" t="n"/>
      <c r="BJ238" s="28" t="n"/>
      <c r="BK238" s="29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1" t="n"/>
      <c r="BM238" s="21" t="n"/>
      <c r="BN238" s="27">
        <f>SUM(BL238:BM238)</f>
        <v/>
      </c>
      <c r="BO238" s="28" t="n"/>
      <c r="BP238" s="31" t="n"/>
      <c r="BQ238" s="29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1" t="n"/>
      <c r="BS238" s="21" t="n"/>
      <c r="BT238" s="27">
        <f>SUM(BR238:BS238)</f>
        <v/>
      </c>
      <c r="BU238" s="28" t="n"/>
      <c r="BV238" s="31" t="n"/>
      <c r="BW238" s="29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1" t="n"/>
      <c r="BY238" s="21" t="n"/>
      <c r="BZ238" s="27">
        <f>SUM(BX238:BY238)</f>
        <v/>
      </c>
      <c r="CA238" s="28" t="n"/>
      <c r="CB238" s="31" t="n"/>
      <c r="CC238" s="29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1" t="n"/>
      <c r="CE238" s="21" t="n"/>
      <c r="CF238" s="27">
        <f>SUM(CD238:CE238)</f>
        <v/>
      </c>
      <c r="CG238" s="28" t="n"/>
      <c r="CH238" s="31" t="n"/>
      <c r="CI238" s="29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1" t="n"/>
      <c r="CK238" s="21" t="n"/>
      <c r="CL238" s="27">
        <f>SUM(CJ238:CK238)</f>
        <v/>
      </c>
      <c r="CM238" s="28" t="n"/>
      <c r="CN238" s="31" t="n"/>
      <c r="CO238" s="29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1" t="n"/>
      <c r="CQ238" s="21" t="n"/>
      <c r="CR238" s="27">
        <f>SUM(CP238:CQ238)</f>
        <v/>
      </c>
      <c r="CS238" s="28" t="n"/>
      <c r="CT238" s="31" t="n"/>
      <c r="CU238" s="29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1" t="n"/>
      <c r="CW238" s="21" t="n"/>
      <c r="CX238" s="27">
        <f>SUM(CV238:CW238)</f>
        <v/>
      </c>
      <c r="CY238" s="28" t="n"/>
      <c r="CZ238" s="31" t="n"/>
      <c r="DA238" s="29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1" t="n"/>
      <c r="DC238" s="21" t="n"/>
      <c r="DD238" s="27">
        <f>SUM(DB238:DC238)</f>
        <v/>
      </c>
      <c r="DE238" s="28" t="n"/>
      <c r="DF238" s="31" t="n"/>
      <c r="DG238" s="29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34">
        <f>SUM(O238,U238,AA238,AG238,AM238,AS238,AY238,BE238,BK238,BQ238,BW238,CC238,CI238,CO238,CU238,DA238,DG238)</f>
        <v/>
      </c>
      <c r="DI238" s="39">
        <f>RANK(DH238,DH$4:DH$503)</f>
        <v/>
      </c>
      <c r="DJ238" s="40" t="inlineStr">
        <is>
          <t>CHOOSE RATING</t>
        </is>
      </c>
      <c r="DK238" s="40" t="inlineStr">
        <is>
          <t>CHOOSE RATING</t>
        </is>
      </c>
      <c r="DL238" s="40" t="inlineStr">
        <is>
          <t>CHOOSE RATING</t>
        </is>
      </c>
      <c r="DM238" s="40" t="inlineStr">
        <is>
          <t>CHOOSE RATING</t>
        </is>
      </c>
      <c r="DN238" s="40" t="inlineStr">
        <is>
          <t>CHOOSE RATING</t>
        </is>
      </c>
      <c r="DO238" s="40" t="inlineStr">
        <is>
          <t>CHOOSE RATING</t>
        </is>
      </c>
      <c r="DP238" s="40" t="inlineStr">
        <is>
          <t>CHOOSE RATING</t>
        </is>
      </c>
      <c r="DQ238" s="40" t="inlineStr">
        <is>
          <t>CHOOSE RATING</t>
        </is>
      </c>
      <c r="DR238" s="43" t="inlineStr">
        <is>
          <t>2024/2025</t>
        </is>
      </c>
      <c r="DS238" s="45" t="inlineStr">
        <is>
          <t>THIRD</t>
        </is>
      </c>
      <c r="DT238" s="40" t="inlineStr">
        <is>
          <t>CHOOSE RATING</t>
        </is>
      </c>
      <c r="DU238" s="40" t="inlineStr">
        <is>
          <t>CHOOSE RATING</t>
        </is>
      </c>
      <c r="DV238" s="40" t="inlineStr">
        <is>
          <t>CHOOSE RATING</t>
        </is>
      </c>
      <c r="DW238" s="40" t="inlineStr">
        <is>
          <t>CHOOSE RATING</t>
        </is>
      </c>
      <c r="DX238" s="40" t="inlineStr">
        <is>
          <t>CHOOSE RATING</t>
        </is>
      </c>
      <c r="DY238" s="40" t="inlineStr">
        <is>
          <t>CHOOSE RATING</t>
        </is>
      </c>
      <c r="DZ238" s="53" t="inlineStr">
        <is>
          <t>CHOOSE RATING</t>
        </is>
      </c>
      <c r="EA238" s="54" t="inlineStr">
        <is>
          <t>Add the Tutor's Comment . . .</t>
        </is>
      </c>
      <c r="EB238" s="55" t="inlineStr">
        <is>
          <t>Choose Principals comment</t>
        </is>
      </c>
      <c r="EC238" s="56" t="n"/>
      <c r="ED238" s="57" t="inlineStr">
        <is>
          <t>Next Term Begins on Monday, 22nd September, 2025</t>
        </is>
      </c>
    </row>
    <row r="239" ht="30.6" customHeight="1" s="6">
      <c r="A239" s="18" t="n">
        <v>236</v>
      </c>
      <c r="B239" s="19" t="n"/>
      <c r="C239" s="20" t="n"/>
      <c r="D239" s="128" t="n"/>
      <c r="E239" s="21" t="n"/>
      <c r="F239" s="22" t="n"/>
      <c r="G239" s="22" t="n"/>
      <c r="H239" s="22" t="n"/>
      <c r="I239" s="26">
        <f>G239-H239</f>
        <v/>
      </c>
      <c r="J239" s="21" t="n"/>
      <c r="K239" s="21" t="n"/>
      <c r="L239" s="27">
        <f>SUM(J239:K239)</f>
        <v/>
      </c>
      <c r="M239" s="28" t="n"/>
      <c r="N239" s="28" t="n"/>
      <c r="O239" s="29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1" t="n"/>
      <c r="Q239" s="21" t="n"/>
      <c r="R239" s="27">
        <f>SUM(P239:Q239)</f>
        <v/>
      </c>
      <c r="S239" s="28" t="n"/>
      <c r="T239" s="28" t="n"/>
      <c r="U239" s="29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1" t="n"/>
      <c r="W239" s="21" t="n"/>
      <c r="X239" s="27">
        <f>SUM(V239:W239)</f>
        <v/>
      </c>
      <c r="Y239" s="28" t="n"/>
      <c r="Z239" s="28" t="n"/>
      <c r="AA239" s="29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1" t="n"/>
      <c r="AC239" s="21" t="n"/>
      <c r="AD239" s="27">
        <f>SUM(AB239:AC239)</f>
        <v/>
      </c>
      <c r="AE239" s="28" t="n"/>
      <c r="AF239" s="28" t="n"/>
      <c r="AG239" s="29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1" t="n"/>
      <c r="AI239" s="21" t="n"/>
      <c r="AJ239" s="27">
        <f>SUM(AH239:AI239)</f>
        <v/>
      </c>
      <c r="AK239" s="28" t="n"/>
      <c r="AL239" s="28" t="n"/>
      <c r="AM239" s="29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1" t="n"/>
      <c r="AO239" s="21" t="n"/>
      <c r="AP239" s="27">
        <f>SUM(AN239:AO239)</f>
        <v/>
      </c>
      <c r="AQ239" s="28" t="n"/>
      <c r="AR239" s="30" t="n"/>
      <c r="AS239" s="29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1" t="n"/>
      <c r="AU239" s="21" t="n"/>
      <c r="AV239" s="27">
        <f>SUM(AT239:AU239)</f>
        <v/>
      </c>
      <c r="AW239" s="28" t="n"/>
      <c r="AX239" s="30" t="n"/>
      <c r="AY239" s="29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1" t="n"/>
      <c r="BA239" s="21" t="n"/>
      <c r="BB239" s="27">
        <f>SUM(AZ239:BA239)</f>
        <v/>
      </c>
      <c r="BC239" s="28" t="n"/>
      <c r="BD239" s="28" t="n"/>
      <c r="BE239" s="29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1" t="n"/>
      <c r="BG239" s="21" t="n"/>
      <c r="BH239" s="27">
        <f>SUM(BF239:BG239)</f>
        <v/>
      </c>
      <c r="BI239" s="28" t="n"/>
      <c r="BJ239" s="28" t="n"/>
      <c r="BK239" s="29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1" t="n"/>
      <c r="BM239" s="21" t="n"/>
      <c r="BN239" s="27">
        <f>SUM(BL239:BM239)</f>
        <v/>
      </c>
      <c r="BO239" s="28" t="n"/>
      <c r="BP239" s="31" t="n"/>
      <c r="BQ239" s="29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1" t="n"/>
      <c r="BS239" s="21" t="n"/>
      <c r="BT239" s="27">
        <f>SUM(BR239:BS239)</f>
        <v/>
      </c>
      <c r="BU239" s="28" t="n"/>
      <c r="BV239" s="31" t="n"/>
      <c r="BW239" s="29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1" t="n"/>
      <c r="BY239" s="21" t="n"/>
      <c r="BZ239" s="27">
        <f>SUM(BX239:BY239)</f>
        <v/>
      </c>
      <c r="CA239" s="28" t="n"/>
      <c r="CB239" s="31" t="n"/>
      <c r="CC239" s="29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1" t="n"/>
      <c r="CE239" s="21" t="n"/>
      <c r="CF239" s="27">
        <f>SUM(CD239:CE239)</f>
        <v/>
      </c>
      <c r="CG239" s="28" t="n"/>
      <c r="CH239" s="31" t="n"/>
      <c r="CI239" s="29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1" t="n"/>
      <c r="CK239" s="21" t="n"/>
      <c r="CL239" s="27">
        <f>SUM(CJ239:CK239)</f>
        <v/>
      </c>
      <c r="CM239" s="28" t="n"/>
      <c r="CN239" s="31" t="n"/>
      <c r="CO239" s="29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1" t="n"/>
      <c r="CQ239" s="21" t="n"/>
      <c r="CR239" s="27">
        <f>SUM(CP239:CQ239)</f>
        <v/>
      </c>
      <c r="CS239" s="28" t="n"/>
      <c r="CT239" s="31" t="n"/>
      <c r="CU239" s="29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1" t="n"/>
      <c r="CW239" s="21" t="n"/>
      <c r="CX239" s="27">
        <f>SUM(CV239:CW239)</f>
        <v/>
      </c>
      <c r="CY239" s="28" t="n"/>
      <c r="CZ239" s="31" t="n"/>
      <c r="DA239" s="29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1" t="n"/>
      <c r="DC239" s="21" t="n"/>
      <c r="DD239" s="27">
        <f>SUM(DB239:DC239)</f>
        <v/>
      </c>
      <c r="DE239" s="28" t="n"/>
      <c r="DF239" s="31" t="n"/>
      <c r="DG239" s="29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34">
        <f>SUM(O239,U239,AA239,AG239,AM239,AS239,AY239,BE239,BK239,BQ239,BW239,CC239,CI239,CO239,CU239,DA239,DG239)</f>
        <v/>
      </c>
      <c r="DI239" s="39">
        <f>RANK(DH239,DH$4:DH$503)</f>
        <v/>
      </c>
      <c r="DJ239" s="40" t="inlineStr">
        <is>
          <t>CHOOSE RATING</t>
        </is>
      </c>
      <c r="DK239" s="40" t="inlineStr">
        <is>
          <t>CHOOSE RATING</t>
        </is>
      </c>
      <c r="DL239" s="40" t="inlineStr">
        <is>
          <t>CHOOSE RATING</t>
        </is>
      </c>
      <c r="DM239" s="40" t="inlineStr">
        <is>
          <t>CHOOSE RATING</t>
        </is>
      </c>
      <c r="DN239" s="40" t="inlineStr">
        <is>
          <t>CHOOSE RATING</t>
        </is>
      </c>
      <c r="DO239" s="40" t="inlineStr">
        <is>
          <t>CHOOSE RATING</t>
        </is>
      </c>
      <c r="DP239" s="40" t="inlineStr">
        <is>
          <t>CHOOSE RATING</t>
        </is>
      </c>
      <c r="DQ239" s="40" t="inlineStr">
        <is>
          <t>CHOOSE RATING</t>
        </is>
      </c>
      <c r="DR239" s="43" t="inlineStr">
        <is>
          <t>2024/2025</t>
        </is>
      </c>
      <c r="DS239" s="45" t="inlineStr">
        <is>
          <t>THIRD</t>
        </is>
      </c>
      <c r="DT239" s="40" t="inlineStr">
        <is>
          <t>CHOOSE RATING</t>
        </is>
      </c>
      <c r="DU239" s="40" t="inlineStr">
        <is>
          <t>CHOOSE RATING</t>
        </is>
      </c>
      <c r="DV239" s="40" t="inlineStr">
        <is>
          <t>CHOOSE RATING</t>
        </is>
      </c>
      <c r="DW239" s="40" t="inlineStr">
        <is>
          <t>CHOOSE RATING</t>
        </is>
      </c>
      <c r="DX239" s="40" t="inlineStr">
        <is>
          <t>CHOOSE RATING</t>
        </is>
      </c>
      <c r="DY239" s="40" t="inlineStr">
        <is>
          <t>CHOOSE RATING</t>
        </is>
      </c>
      <c r="DZ239" s="53" t="inlineStr">
        <is>
          <t>CHOOSE RATING</t>
        </is>
      </c>
      <c r="EA239" s="54" t="inlineStr">
        <is>
          <t>Add the Tutor's Comment . . .</t>
        </is>
      </c>
      <c r="EB239" s="55" t="inlineStr">
        <is>
          <t>Choose Principals comment</t>
        </is>
      </c>
      <c r="EC239" s="56" t="n"/>
      <c r="ED239" s="57" t="inlineStr">
        <is>
          <t>Next Term Begins on Monday, 22nd September, 2025</t>
        </is>
      </c>
    </row>
    <row r="240" ht="30.6" customHeight="1" s="6">
      <c r="A240" s="18" t="n">
        <v>237</v>
      </c>
      <c r="B240" s="19" t="n"/>
      <c r="C240" s="20" t="n"/>
      <c r="D240" s="128" t="n"/>
      <c r="E240" s="21" t="n"/>
      <c r="F240" s="22" t="n"/>
      <c r="G240" s="22" t="n"/>
      <c r="H240" s="22" t="n"/>
      <c r="I240" s="26">
        <f>G240-H240</f>
        <v/>
      </c>
      <c r="J240" s="21" t="n"/>
      <c r="K240" s="21" t="n"/>
      <c r="L240" s="27">
        <f>SUM(J240:K240)</f>
        <v/>
      </c>
      <c r="M240" s="28" t="n"/>
      <c r="N240" s="28" t="n"/>
      <c r="O240" s="29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1" t="n"/>
      <c r="Q240" s="21" t="n"/>
      <c r="R240" s="27">
        <f>SUM(P240:Q240)</f>
        <v/>
      </c>
      <c r="S240" s="28" t="n"/>
      <c r="T240" s="28" t="n"/>
      <c r="U240" s="29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1" t="n"/>
      <c r="W240" s="21" t="n"/>
      <c r="X240" s="27">
        <f>SUM(V240:W240)</f>
        <v/>
      </c>
      <c r="Y240" s="28" t="n"/>
      <c r="Z240" s="28" t="n"/>
      <c r="AA240" s="29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1" t="n"/>
      <c r="AC240" s="21" t="n"/>
      <c r="AD240" s="27">
        <f>SUM(AB240:AC240)</f>
        <v/>
      </c>
      <c r="AE240" s="28" t="n"/>
      <c r="AF240" s="28" t="n"/>
      <c r="AG240" s="29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1" t="n"/>
      <c r="AI240" s="21" t="n"/>
      <c r="AJ240" s="27">
        <f>SUM(AH240:AI240)</f>
        <v/>
      </c>
      <c r="AK240" s="28" t="n"/>
      <c r="AL240" s="28" t="n"/>
      <c r="AM240" s="29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1" t="n"/>
      <c r="AO240" s="21" t="n"/>
      <c r="AP240" s="27">
        <f>SUM(AN240:AO240)</f>
        <v/>
      </c>
      <c r="AQ240" s="28" t="n"/>
      <c r="AR240" s="30" t="n"/>
      <c r="AS240" s="29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1" t="n"/>
      <c r="AU240" s="21" t="n"/>
      <c r="AV240" s="27">
        <f>SUM(AT240:AU240)</f>
        <v/>
      </c>
      <c r="AW240" s="28" t="n"/>
      <c r="AX240" s="30" t="n"/>
      <c r="AY240" s="29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1" t="n"/>
      <c r="BA240" s="21" t="n"/>
      <c r="BB240" s="27">
        <f>SUM(AZ240:BA240)</f>
        <v/>
      </c>
      <c r="BC240" s="28" t="n"/>
      <c r="BD240" s="28" t="n"/>
      <c r="BE240" s="29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1" t="n"/>
      <c r="BG240" s="21" t="n"/>
      <c r="BH240" s="27">
        <f>SUM(BF240:BG240)</f>
        <v/>
      </c>
      <c r="BI240" s="28" t="n"/>
      <c r="BJ240" s="28" t="n"/>
      <c r="BK240" s="29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1" t="n"/>
      <c r="BM240" s="21" t="n"/>
      <c r="BN240" s="27">
        <f>SUM(BL240:BM240)</f>
        <v/>
      </c>
      <c r="BO240" s="28" t="n"/>
      <c r="BP240" s="31" t="n"/>
      <c r="BQ240" s="29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1" t="n"/>
      <c r="BS240" s="21" t="n"/>
      <c r="BT240" s="27">
        <f>SUM(BR240:BS240)</f>
        <v/>
      </c>
      <c r="BU240" s="28" t="n"/>
      <c r="BV240" s="31" t="n"/>
      <c r="BW240" s="29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1" t="n"/>
      <c r="BY240" s="21" t="n"/>
      <c r="BZ240" s="27">
        <f>SUM(BX240:BY240)</f>
        <v/>
      </c>
      <c r="CA240" s="28" t="n"/>
      <c r="CB240" s="31" t="n"/>
      <c r="CC240" s="29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1" t="n"/>
      <c r="CE240" s="21" t="n"/>
      <c r="CF240" s="27">
        <f>SUM(CD240:CE240)</f>
        <v/>
      </c>
      <c r="CG240" s="28" t="n"/>
      <c r="CH240" s="31" t="n"/>
      <c r="CI240" s="29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1" t="n"/>
      <c r="CK240" s="21" t="n"/>
      <c r="CL240" s="27">
        <f>SUM(CJ240:CK240)</f>
        <v/>
      </c>
      <c r="CM240" s="28" t="n"/>
      <c r="CN240" s="31" t="n"/>
      <c r="CO240" s="29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1" t="n"/>
      <c r="CQ240" s="21" t="n"/>
      <c r="CR240" s="27">
        <f>SUM(CP240:CQ240)</f>
        <v/>
      </c>
      <c r="CS240" s="28" t="n"/>
      <c r="CT240" s="31" t="n"/>
      <c r="CU240" s="29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1" t="n"/>
      <c r="CW240" s="21" t="n"/>
      <c r="CX240" s="27">
        <f>SUM(CV240:CW240)</f>
        <v/>
      </c>
      <c r="CY240" s="28" t="n"/>
      <c r="CZ240" s="31" t="n"/>
      <c r="DA240" s="29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1" t="n"/>
      <c r="DC240" s="21" t="n"/>
      <c r="DD240" s="27">
        <f>SUM(DB240:DC240)</f>
        <v/>
      </c>
      <c r="DE240" s="28" t="n"/>
      <c r="DF240" s="31" t="n"/>
      <c r="DG240" s="29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34">
        <f>SUM(O240,U240,AA240,AG240,AM240,AS240,AY240,BE240,BK240,BQ240,BW240,CC240,CI240,CO240,CU240,DA240,DG240)</f>
        <v/>
      </c>
      <c r="DI240" s="39">
        <f>RANK(DH240,DH$4:DH$503)</f>
        <v/>
      </c>
      <c r="DJ240" s="40" t="inlineStr">
        <is>
          <t>CHOOSE RATING</t>
        </is>
      </c>
      <c r="DK240" s="40" t="inlineStr">
        <is>
          <t>CHOOSE RATING</t>
        </is>
      </c>
      <c r="DL240" s="40" t="inlineStr">
        <is>
          <t>CHOOSE RATING</t>
        </is>
      </c>
      <c r="DM240" s="40" t="inlineStr">
        <is>
          <t>CHOOSE RATING</t>
        </is>
      </c>
      <c r="DN240" s="40" t="inlineStr">
        <is>
          <t>CHOOSE RATING</t>
        </is>
      </c>
      <c r="DO240" s="40" t="inlineStr">
        <is>
          <t>CHOOSE RATING</t>
        </is>
      </c>
      <c r="DP240" s="40" t="inlineStr">
        <is>
          <t>CHOOSE RATING</t>
        </is>
      </c>
      <c r="DQ240" s="40" t="inlineStr">
        <is>
          <t>CHOOSE RATING</t>
        </is>
      </c>
      <c r="DR240" s="43" t="inlineStr">
        <is>
          <t>2024/2025</t>
        </is>
      </c>
      <c r="DS240" s="45" t="inlineStr">
        <is>
          <t>THIRD</t>
        </is>
      </c>
      <c r="DT240" s="40" t="inlineStr">
        <is>
          <t>CHOOSE RATING</t>
        </is>
      </c>
      <c r="DU240" s="40" t="inlineStr">
        <is>
          <t>CHOOSE RATING</t>
        </is>
      </c>
      <c r="DV240" s="40" t="inlineStr">
        <is>
          <t>CHOOSE RATING</t>
        </is>
      </c>
      <c r="DW240" s="40" t="inlineStr">
        <is>
          <t>CHOOSE RATING</t>
        </is>
      </c>
      <c r="DX240" s="40" t="inlineStr">
        <is>
          <t>CHOOSE RATING</t>
        </is>
      </c>
      <c r="DY240" s="40" t="inlineStr">
        <is>
          <t>CHOOSE RATING</t>
        </is>
      </c>
      <c r="DZ240" s="53" t="inlineStr">
        <is>
          <t>CHOOSE RATING</t>
        </is>
      </c>
      <c r="EA240" s="54" t="inlineStr">
        <is>
          <t>Add the Tutor's Comment . . .</t>
        </is>
      </c>
      <c r="EB240" s="55" t="inlineStr">
        <is>
          <t>Choose Principals comment</t>
        </is>
      </c>
      <c r="EC240" s="56" t="n"/>
      <c r="ED240" s="57" t="inlineStr">
        <is>
          <t>Next Term Begins on Monday, 22nd September, 2025</t>
        </is>
      </c>
    </row>
    <row r="241" ht="30.6" customHeight="1" s="6">
      <c r="A241" s="18" t="n">
        <v>238</v>
      </c>
      <c r="B241" s="19" t="n"/>
      <c r="C241" s="20" t="n"/>
      <c r="D241" s="128" t="n"/>
      <c r="E241" s="21" t="n"/>
      <c r="F241" s="22" t="n"/>
      <c r="G241" s="22" t="n"/>
      <c r="H241" s="22" t="n"/>
      <c r="I241" s="26">
        <f>G241-H241</f>
        <v/>
      </c>
      <c r="J241" s="21" t="n"/>
      <c r="K241" s="21" t="n"/>
      <c r="L241" s="27">
        <f>SUM(J241:K241)</f>
        <v/>
      </c>
      <c r="M241" s="28" t="n"/>
      <c r="N241" s="28" t="n"/>
      <c r="O241" s="29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1" t="n"/>
      <c r="Q241" s="21" t="n"/>
      <c r="R241" s="27">
        <f>SUM(P241:Q241)</f>
        <v/>
      </c>
      <c r="S241" s="28" t="n"/>
      <c r="T241" s="28" t="n"/>
      <c r="U241" s="29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1" t="n"/>
      <c r="W241" s="21" t="n"/>
      <c r="X241" s="27">
        <f>SUM(V241:W241)</f>
        <v/>
      </c>
      <c r="Y241" s="28" t="n"/>
      <c r="Z241" s="28" t="n"/>
      <c r="AA241" s="29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1" t="n"/>
      <c r="AC241" s="21" t="n"/>
      <c r="AD241" s="27">
        <f>SUM(AB241:AC241)</f>
        <v/>
      </c>
      <c r="AE241" s="28" t="n"/>
      <c r="AF241" s="28" t="n"/>
      <c r="AG241" s="29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1" t="n"/>
      <c r="AI241" s="21" t="n"/>
      <c r="AJ241" s="27">
        <f>SUM(AH241:AI241)</f>
        <v/>
      </c>
      <c r="AK241" s="28" t="n"/>
      <c r="AL241" s="28" t="n"/>
      <c r="AM241" s="29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1" t="n"/>
      <c r="AO241" s="21" t="n"/>
      <c r="AP241" s="27">
        <f>SUM(AN241:AO241)</f>
        <v/>
      </c>
      <c r="AQ241" s="28" t="n"/>
      <c r="AR241" s="30" t="n"/>
      <c r="AS241" s="29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1" t="n"/>
      <c r="AU241" s="21" t="n"/>
      <c r="AV241" s="27">
        <f>SUM(AT241:AU241)</f>
        <v/>
      </c>
      <c r="AW241" s="28" t="n"/>
      <c r="AX241" s="30" t="n"/>
      <c r="AY241" s="29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1" t="n"/>
      <c r="BA241" s="21" t="n"/>
      <c r="BB241" s="27">
        <f>SUM(AZ241:BA241)</f>
        <v/>
      </c>
      <c r="BC241" s="28" t="n"/>
      <c r="BD241" s="28" t="n"/>
      <c r="BE241" s="29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1" t="n"/>
      <c r="BG241" s="21" t="n"/>
      <c r="BH241" s="27">
        <f>SUM(BF241:BG241)</f>
        <v/>
      </c>
      <c r="BI241" s="28" t="n"/>
      <c r="BJ241" s="28" t="n"/>
      <c r="BK241" s="29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1" t="n"/>
      <c r="BM241" s="21" t="n"/>
      <c r="BN241" s="27">
        <f>SUM(BL241:BM241)</f>
        <v/>
      </c>
      <c r="BO241" s="28" t="n"/>
      <c r="BP241" s="31" t="n"/>
      <c r="BQ241" s="29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1" t="n"/>
      <c r="BS241" s="21" t="n"/>
      <c r="BT241" s="27">
        <f>SUM(BR241:BS241)</f>
        <v/>
      </c>
      <c r="BU241" s="28" t="n"/>
      <c r="BV241" s="31" t="n"/>
      <c r="BW241" s="29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1" t="n"/>
      <c r="BY241" s="21" t="n"/>
      <c r="BZ241" s="27">
        <f>SUM(BX241:BY241)</f>
        <v/>
      </c>
      <c r="CA241" s="28" t="n"/>
      <c r="CB241" s="31" t="n"/>
      <c r="CC241" s="29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1" t="n"/>
      <c r="CE241" s="21" t="n"/>
      <c r="CF241" s="27">
        <f>SUM(CD241:CE241)</f>
        <v/>
      </c>
      <c r="CG241" s="28" t="n"/>
      <c r="CH241" s="31" t="n"/>
      <c r="CI241" s="29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1" t="n"/>
      <c r="CK241" s="21" t="n"/>
      <c r="CL241" s="27">
        <f>SUM(CJ241:CK241)</f>
        <v/>
      </c>
      <c r="CM241" s="28" t="n"/>
      <c r="CN241" s="31" t="n"/>
      <c r="CO241" s="29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1" t="n"/>
      <c r="CQ241" s="21" t="n"/>
      <c r="CR241" s="27">
        <f>SUM(CP241:CQ241)</f>
        <v/>
      </c>
      <c r="CS241" s="28" t="n"/>
      <c r="CT241" s="31" t="n"/>
      <c r="CU241" s="29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1" t="n"/>
      <c r="CW241" s="21" t="n"/>
      <c r="CX241" s="27">
        <f>SUM(CV241:CW241)</f>
        <v/>
      </c>
      <c r="CY241" s="28" t="n"/>
      <c r="CZ241" s="31" t="n"/>
      <c r="DA241" s="29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1" t="n"/>
      <c r="DC241" s="21" t="n"/>
      <c r="DD241" s="27">
        <f>SUM(DB241:DC241)</f>
        <v/>
      </c>
      <c r="DE241" s="28" t="n"/>
      <c r="DF241" s="31" t="n"/>
      <c r="DG241" s="29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34">
        <f>SUM(O241,U241,AA241,AG241,AM241,AS241,AY241,BE241,BK241,BQ241,BW241,CC241,CI241,CO241,CU241,DA241,DG241)</f>
        <v/>
      </c>
      <c r="DI241" s="39">
        <f>RANK(DH241,DH$4:DH$503)</f>
        <v/>
      </c>
      <c r="DJ241" s="40" t="inlineStr">
        <is>
          <t>CHOOSE RATING</t>
        </is>
      </c>
      <c r="DK241" s="40" t="inlineStr">
        <is>
          <t>CHOOSE RATING</t>
        </is>
      </c>
      <c r="DL241" s="40" t="inlineStr">
        <is>
          <t>CHOOSE RATING</t>
        </is>
      </c>
      <c r="DM241" s="40" t="inlineStr">
        <is>
          <t>CHOOSE RATING</t>
        </is>
      </c>
      <c r="DN241" s="40" t="inlineStr">
        <is>
          <t>CHOOSE RATING</t>
        </is>
      </c>
      <c r="DO241" s="40" t="inlineStr">
        <is>
          <t>CHOOSE RATING</t>
        </is>
      </c>
      <c r="DP241" s="40" t="inlineStr">
        <is>
          <t>CHOOSE RATING</t>
        </is>
      </c>
      <c r="DQ241" s="40" t="inlineStr">
        <is>
          <t>CHOOSE RATING</t>
        </is>
      </c>
      <c r="DR241" s="43" t="inlineStr">
        <is>
          <t>2024/2025</t>
        </is>
      </c>
      <c r="DS241" s="45" t="inlineStr">
        <is>
          <t>THIRD</t>
        </is>
      </c>
      <c r="DT241" s="40" t="inlineStr">
        <is>
          <t>CHOOSE RATING</t>
        </is>
      </c>
      <c r="DU241" s="40" t="inlineStr">
        <is>
          <t>CHOOSE RATING</t>
        </is>
      </c>
      <c r="DV241" s="40" t="inlineStr">
        <is>
          <t>CHOOSE RATING</t>
        </is>
      </c>
      <c r="DW241" s="40" t="inlineStr">
        <is>
          <t>CHOOSE RATING</t>
        </is>
      </c>
      <c r="DX241" s="40" t="inlineStr">
        <is>
          <t>CHOOSE RATING</t>
        </is>
      </c>
      <c r="DY241" s="40" t="inlineStr">
        <is>
          <t>CHOOSE RATING</t>
        </is>
      </c>
      <c r="DZ241" s="53" t="inlineStr">
        <is>
          <t>CHOOSE RATING</t>
        </is>
      </c>
      <c r="EA241" s="54" t="inlineStr">
        <is>
          <t>Add the Tutor's Comment . . .</t>
        </is>
      </c>
      <c r="EB241" s="55" t="inlineStr">
        <is>
          <t>Choose Principals comment</t>
        </is>
      </c>
      <c r="EC241" s="56" t="n"/>
      <c r="ED241" s="57" t="inlineStr">
        <is>
          <t>Next Term Begins on Monday, 22nd September, 2025</t>
        </is>
      </c>
    </row>
    <row r="242" ht="30.6" customHeight="1" s="6">
      <c r="A242" s="18" t="n">
        <v>239</v>
      </c>
      <c r="B242" s="19" t="n"/>
      <c r="C242" s="20" t="n"/>
      <c r="D242" s="128" t="n"/>
      <c r="E242" s="21" t="n"/>
      <c r="F242" s="22" t="n"/>
      <c r="G242" s="22" t="n"/>
      <c r="H242" s="22" t="n"/>
      <c r="I242" s="26">
        <f>G242-H242</f>
        <v/>
      </c>
      <c r="J242" s="21" t="n"/>
      <c r="K242" s="21" t="n"/>
      <c r="L242" s="27">
        <f>SUM(J242:K242)</f>
        <v/>
      </c>
      <c r="M242" s="28" t="n"/>
      <c r="N242" s="28" t="n"/>
      <c r="O242" s="29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1" t="n"/>
      <c r="Q242" s="21" t="n"/>
      <c r="R242" s="27">
        <f>SUM(P242:Q242)</f>
        <v/>
      </c>
      <c r="S242" s="28" t="n"/>
      <c r="T242" s="28" t="n"/>
      <c r="U242" s="29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1" t="n"/>
      <c r="W242" s="21" t="n"/>
      <c r="X242" s="27">
        <f>SUM(V242:W242)</f>
        <v/>
      </c>
      <c r="Y242" s="28" t="n"/>
      <c r="Z242" s="28" t="n"/>
      <c r="AA242" s="29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1" t="n"/>
      <c r="AC242" s="21" t="n"/>
      <c r="AD242" s="27">
        <f>SUM(AB242:AC242)</f>
        <v/>
      </c>
      <c r="AE242" s="28" t="n"/>
      <c r="AF242" s="28" t="n"/>
      <c r="AG242" s="29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1" t="n"/>
      <c r="AI242" s="21" t="n"/>
      <c r="AJ242" s="27">
        <f>SUM(AH242:AI242)</f>
        <v/>
      </c>
      <c r="AK242" s="28" t="n"/>
      <c r="AL242" s="28" t="n"/>
      <c r="AM242" s="29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1" t="n"/>
      <c r="AO242" s="21" t="n"/>
      <c r="AP242" s="27">
        <f>SUM(AN242:AO242)</f>
        <v/>
      </c>
      <c r="AQ242" s="28" t="n"/>
      <c r="AR242" s="30" t="n"/>
      <c r="AS242" s="29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1" t="n"/>
      <c r="AU242" s="21" t="n"/>
      <c r="AV242" s="27">
        <f>SUM(AT242:AU242)</f>
        <v/>
      </c>
      <c r="AW242" s="28" t="n"/>
      <c r="AX242" s="30" t="n"/>
      <c r="AY242" s="29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1" t="n"/>
      <c r="BA242" s="21" t="n"/>
      <c r="BB242" s="27">
        <f>SUM(AZ242:BA242)</f>
        <v/>
      </c>
      <c r="BC242" s="28" t="n"/>
      <c r="BD242" s="28" t="n"/>
      <c r="BE242" s="29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1" t="n"/>
      <c r="BG242" s="21" t="n"/>
      <c r="BH242" s="27">
        <f>SUM(BF242:BG242)</f>
        <v/>
      </c>
      <c r="BI242" s="28" t="n"/>
      <c r="BJ242" s="28" t="n"/>
      <c r="BK242" s="29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1" t="n"/>
      <c r="BM242" s="21" t="n"/>
      <c r="BN242" s="27">
        <f>SUM(BL242:BM242)</f>
        <v/>
      </c>
      <c r="BO242" s="28" t="n"/>
      <c r="BP242" s="31" t="n"/>
      <c r="BQ242" s="29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1" t="n"/>
      <c r="BS242" s="21" t="n"/>
      <c r="BT242" s="27">
        <f>SUM(BR242:BS242)</f>
        <v/>
      </c>
      <c r="BU242" s="28" t="n"/>
      <c r="BV242" s="31" t="n"/>
      <c r="BW242" s="29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1" t="n"/>
      <c r="BY242" s="21" t="n"/>
      <c r="BZ242" s="27">
        <f>SUM(BX242:BY242)</f>
        <v/>
      </c>
      <c r="CA242" s="28" t="n"/>
      <c r="CB242" s="31" t="n"/>
      <c r="CC242" s="29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1" t="n"/>
      <c r="CE242" s="21" t="n"/>
      <c r="CF242" s="27">
        <f>SUM(CD242:CE242)</f>
        <v/>
      </c>
      <c r="CG242" s="28" t="n"/>
      <c r="CH242" s="31" t="n"/>
      <c r="CI242" s="29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1" t="n"/>
      <c r="CK242" s="21" t="n"/>
      <c r="CL242" s="27">
        <f>SUM(CJ242:CK242)</f>
        <v/>
      </c>
      <c r="CM242" s="28" t="n"/>
      <c r="CN242" s="31" t="n"/>
      <c r="CO242" s="29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1" t="n"/>
      <c r="CQ242" s="21" t="n"/>
      <c r="CR242" s="27">
        <f>SUM(CP242:CQ242)</f>
        <v/>
      </c>
      <c r="CS242" s="28" t="n"/>
      <c r="CT242" s="31" t="n"/>
      <c r="CU242" s="29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1" t="n"/>
      <c r="CW242" s="21" t="n"/>
      <c r="CX242" s="27">
        <f>SUM(CV242:CW242)</f>
        <v/>
      </c>
      <c r="CY242" s="28" t="n"/>
      <c r="CZ242" s="31" t="n"/>
      <c r="DA242" s="29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1" t="n"/>
      <c r="DC242" s="21" t="n"/>
      <c r="DD242" s="27">
        <f>SUM(DB242:DC242)</f>
        <v/>
      </c>
      <c r="DE242" s="28" t="n"/>
      <c r="DF242" s="31" t="n"/>
      <c r="DG242" s="29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34">
        <f>SUM(O242,U242,AA242,AG242,AM242,AS242,AY242,BE242,BK242,BQ242,BW242,CC242,CI242,CO242,CU242,DA242,DG242)</f>
        <v/>
      </c>
      <c r="DI242" s="39">
        <f>RANK(DH242,DH$4:DH$503)</f>
        <v/>
      </c>
      <c r="DJ242" s="40" t="inlineStr">
        <is>
          <t>CHOOSE RATING</t>
        </is>
      </c>
      <c r="DK242" s="40" t="inlineStr">
        <is>
          <t>CHOOSE RATING</t>
        </is>
      </c>
      <c r="DL242" s="40" t="inlineStr">
        <is>
          <t>CHOOSE RATING</t>
        </is>
      </c>
      <c r="DM242" s="40" t="inlineStr">
        <is>
          <t>CHOOSE RATING</t>
        </is>
      </c>
      <c r="DN242" s="40" t="inlineStr">
        <is>
          <t>CHOOSE RATING</t>
        </is>
      </c>
      <c r="DO242" s="40" t="inlineStr">
        <is>
          <t>CHOOSE RATING</t>
        </is>
      </c>
      <c r="DP242" s="40" t="inlineStr">
        <is>
          <t>CHOOSE RATING</t>
        </is>
      </c>
      <c r="DQ242" s="40" t="inlineStr">
        <is>
          <t>CHOOSE RATING</t>
        </is>
      </c>
      <c r="DR242" s="43" t="inlineStr">
        <is>
          <t>2024/2025</t>
        </is>
      </c>
      <c r="DS242" s="45" t="inlineStr">
        <is>
          <t>THIRD</t>
        </is>
      </c>
      <c r="DT242" s="40" t="inlineStr">
        <is>
          <t>CHOOSE RATING</t>
        </is>
      </c>
      <c r="DU242" s="40" t="inlineStr">
        <is>
          <t>CHOOSE RATING</t>
        </is>
      </c>
      <c r="DV242" s="40" t="inlineStr">
        <is>
          <t>CHOOSE RATING</t>
        </is>
      </c>
      <c r="DW242" s="40" t="inlineStr">
        <is>
          <t>CHOOSE RATING</t>
        </is>
      </c>
      <c r="DX242" s="40" t="inlineStr">
        <is>
          <t>CHOOSE RATING</t>
        </is>
      </c>
      <c r="DY242" s="40" t="inlineStr">
        <is>
          <t>CHOOSE RATING</t>
        </is>
      </c>
      <c r="DZ242" s="53" t="inlineStr">
        <is>
          <t>CHOOSE RATING</t>
        </is>
      </c>
      <c r="EA242" s="54" t="inlineStr">
        <is>
          <t>Add the Tutor's Comment . . .</t>
        </is>
      </c>
      <c r="EB242" s="55" t="inlineStr">
        <is>
          <t>Choose Principals comment</t>
        </is>
      </c>
      <c r="EC242" s="56" t="n"/>
      <c r="ED242" s="57" t="inlineStr">
        <is>
          <t>Next Term Begins on Monday, 22nd September, 2025</t>
        </is>
      </c>
    </row>
    <row r="243" ht="30.6" customHeight="1" s="6">
      <c r="A243" s="18" t="n">
        <v>240</v>
      </c>
      <c r="B243" s="19" t="n"/>
      <c r="C243" s="20" t="n"/>
      <c r="D243" s="128" t="n"/>
      <c r="E243" s="21" t="n"/>
      <c r="F243" s="22" t="n"/>
      <c r="G243" s="22" t="n"/>
      <c r="H243" s="22" t="n"/>
      <c r="I243" s="26">
        <f>G243-H243</f>
        <v/>
      </c>
      <c r="J243" s="21" t="n"/>
      <c r="K243" s="21" t="n"/>
      <c r="L243" s="27">
        <f>SUM(J243:K243)</f>
        <v/>
      </c>
      <c r="M243" s="28" t="n"/>
      <c r="N243" s="28" t="n"/>
      <c r="O243" s="29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1" t="n"/>
      <c r="Q243" s="21" t="n"/>
      <c r="R243" s="27">
        <f>SUM(P243:Q243)</f>
        <v/>
      </c>
      <c r="S243" s="28" t="n"/>
      <c r="T243" s="28" t="n"/>
      <c r="U243" s="29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1" t="n"/>
      <c r="W243" s="21" t="n"/>
      <c r="X243" s="27">
        <f>SUM(V243:W243)</f>
        <v/>
      </c>
      <c r="Y243" s="28" t="n"/>
      <c r="Z243" s="28" t="n"/>
      <c r="AA243" s="29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1" t="n"/>
      <c r="AC243" s="21" t="n"/>
      <c r="AD243" s="27">
        <f>SUM(AB243:AC243)</f>
        <v/>
      </c>
      <c r="AE243" s="28" t="n"/>
      <c r="AF243" s="28" t="n"/>
      <c r="AG243" s="29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1" t="n"/>
      <c r="AI243" s="21" t="n"/>
      <c r="AJ243" s="27">
        <f>SUM(AH243:AI243)</f>
        <v/>
      </c>
      <c r="AK243" s="28" t="n"/>
      <c r="AL243" s="28" t="n"/>
      <c r="AM243" s="29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1" t="n"/>
      <c r="AO243" s="21" t="n"/>
      <c r="AP243" s="27">
        <f>SUM(AN243:AO243)</f>
        <v/>
      </c>
      <c r="AQ243" s="28" t="n"/>
      <c r="AR243" s="30" t="n"/>
      <c r="AS243" s="29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1" t="n"/>
      <c r="AU243" s="21" t="n"/>
      <c r="AV243" s="27">
        <f>SUM(AT243:AU243)</f>
        <v/>
      </c>
      <c r="AW243" s="28" t="n"/>
      <c r="AX243" s="30" t="n"/>
      <c r="AY243" s="29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1" t="n"/>
      <c r="BA243" s="21" t="n"/>
      <c r="BB243" s="27">
        <f>SUM(AZ243:BA243)</f>
        <v/>
      </c>
      <c r="BC243" s="28" t="n"/>
      <c r="BD243" s="28" t="n"/>
      <c r="BE243" s="29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1" t="n"/>
      <c r="BG243" s="21" t="n"/>
      <c r="BH243" s="27">
        <f>SUM(BF243:BG243)</f>
        <v/>
      </c>
      <c r="BI243" s="28" t="n"/>
      <c r="BJ243" s="28" t="n"/>
      <c r="BK243" s="29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1" t="n"/>
      <c r="BM243" s="21" t="n"/>
      <c r="BN243" s="27">
        <f>SUM(BL243:BM243)</f>
        <v/>
      </c>
      <c r="BO243" s="28" t="n"/>
      <c r="BP243" s="31" t="n"/>
      <c r="BQ243" s="29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1" t="n"/>
      <c r="BS243" s="21" t="n"/>
      <c r="BT243" s="27">
        <f>SUM(BR243:BS243)</f>
        <v/>
      </c>
      <c r="BU243" s="28" t="n"/>
      <c r="BV243" s="31" t="n"/>
      <c r="BW243" s="29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1" t="n"/>
      <c r="BY243" s="21" t="n"/>
      <c r="BZ243" s="27">
        <f>SUM(BX243:BY243)</f>
        <v/>
      </c>
      <c r="CA243" s="28" t="n"/>
      <c r="CB243" s="31" t="n"/>
      <c r="CC243" s="29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1" t="n"/>
      <c r="CE243" s="21" t="n"/>
      <c r="CF243" s="27">
        <f>SUM(CD243:CE243)</f>
        <v/>
      </c>
      <c r="CG243" s="28" t="n"/>
      <c r="CH243" s="31" t="n"/>
      <c r="CI243" s="29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1" t="n"/>
      <c r="CK243" s="21" t="n"/>
      <c r="CL243" s="27">
        <f>SUM(CJ243:CK243)</f>
        <v/>
      </c>
      <c r="CM243" s="28" t="n"/>
      <c r="CN243" s="31" t="n"/>
      <c r="CO243" s="29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1" t="n"/>
      <c r="CQ243" s="21" t="n"/>
      <c r="CR243" s="27">
        <f>SUM(CP243:CQ243)</f>
        <v/>
      </c>
      <c r="CS243" s="28" t="n"/>
      <c r="CT243" s="31" t="n"/>
      <c r="CU243" s="29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1" t="n"/>
      <c r="CW243" s="21" t="n"/>
      <c r="CX243" s="27">
        <f>SUM(CV243:CW243)</f>
        <v/>
      </c>
      <c r="CY243" s="28" t="n"/>
      <c r="CZ243" s="31" t="n"/>
      <c r="DA243" s="29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1" t="n"/>
      <c r="DC243" s="21" t="n"/>
      <c r="DD243" s="27">
        <f>SUM(DB243:DC243)</f>
        <v/>
      </c>
      <c r="DE243" s="28" t="n"/>
      <c r="DF243" s="31" t="n"/>
      <c r="DG243" s="29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34">
        <f>SUM(O243,U243,AA243,AG243,AM243,AS243,AY243,BE243,BK243,BQ243,BW243,CC243,CI243,CO243,CU243,DA243,DG243)</f>
        <v/>
      </c>
      <c r="DI243" s="39">
        <f>RANK(DH243,DH$4:DH$503)</f>
        <v/>
      </c>
      <c r="DJ243" s="40" t="inlineStr">
        <is>
          <t>CHOOSE RATING</t>
        </is>
      </c>
      <c r="DK243" s="40" t="inlineStr">
        <is>
          <t>CHOOSE RATING</t>
        </is>
      </c>
      <c r="DL243" s="40" t="inlineStr">
        <is>
          <t>CHOOSE RATING</t>
        </is>
      </c>
      <c r="DM243" s="40" t="inlineStr">
        <is>
          <t>CHOOSE RATING</t>
        </is>
      </c>
      <c r="DN243" s="40" t="inlineStr">
        <is>
          <t>CHOOSE RATING</t>
        </is>
      </c>
      <c r="DO243" s="40" t="inlineStr">
        <is>
          <t>CHOOSE RATING</t>
        </is>
      </c>
      <c r="DP243" s="40" t="inlineStr">
        <is>
          <t>CHOOSE RATING</t>
        </is>
      </c>
      <c r="DQ243" s="40" t="inlineStr">
        <is>
          <t>CHOOSE RATING</t>
        </is>
      </c>
      <c r="DR243" s="43" t="inlineStr">
        <is>
          <t>2024/2025</t>
        </is>
      </c>
      <c r="DS243" s="45" t="inlineStr">
        <is>
          <t>THIRD</t>
        </is>
      </c>
      <c r="DT243" s="40" t="inlineStr">
        <is>
          <t>CHOOSE RATING</t>
        </is>
      </c>
      <c r="DU243" s="40" t="inlineStr">
        <is>
          <t>CHOOSE RATING</t>
        </is>
      </c>
      <c r="DV243" s="40" t="inlineStr">
        <is>
          <t>CHOOSE RATING</t>
        </is>
      </c>
      <c r="DW243" s="40" t="inlineStr">
        <is>
          <t>CHOOSE RATING</t>
        </is>
      </c>
      <c r="DX243" s="40" t="inlineStr">
        <is>
          <t>CHOOSE RATING</t>
        </is>
      </c>
      <c r="DY243" s="40" t="inlineStr">
        <is>
          <t>CHOOSE RATING</t>
        </is>
      </c>
      <c r="DZ243" s="53" t="inlineStr">
        <is>
          <t>CHOOSE RATING</t>
        </is>
      </c>
      <c r="EA243" s="54" t="inlineStr">
        <is>
          <t>Add the Tutor's Comment . . .</t>
        </is>
      </c>
      <c r="EB243" s="55" t="inlineStr">
        <is>
          <t>Choose Principals comment</t>
        </is>
      </c>
      <c r="EC243" s="56" t="n"/>
      <c r="ED243" s="57" t="inlineStr">
        <is>
          <t>Next Term Begins on Monday, 22nd September, 2025</t>
        </is>
      </c>
    </row>
    <row r="244" ht="30.6" customHeight="1" s="6">
      <c r="A244" s="18" t="n">
        <v>241</v>
      </c>
      <c r="B244" s="19" t="n"/>
      <c r="C244" s="20" t="n"/>
      <c r="D244" s="128" t="n"/>
      <c r="E244" s="21" t="n"/>
      <c r="F244" s="22" t="n"/>
      <c r="G244" s="22" t="n"/>
      <c r="H244" s="22" t="n"/>
      <c r="I244" s="26">
        <f>G244-H244</f>
        <v/>
      </c>
      <c r="J244" s="21" t="n"/>
      <c r="K244" s="21" t="n"/>
      <c r="L244" s="27">
        <f>SUM(J244:K244)</f>
        <v/>
      </c>
      <c r="M244" s="28" t="n"/>
      <c r="N244" s="28" t="n"/>
      <c r="O244" s="29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1" t="n"/>
      <c r="Q244" s="21" t="n"/>
      <c r="R244" s="27">
        <f>SUM(P244:Q244)</f>
        <v/>
      </c>
      <c r="S244" s="28" t="n"/>
      <c r="T244" s="28" t="n"/>
      <c r="U244" s="29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1" t="n"/>
      <c r="W244" s="21" t="n"/>
      <c r="X244" s="27">
        <f>SUM(V244:W244)</f>
        <v/>
      </c>
      <c r="Y244" s="28" t="n"/>
      <c r="Z244" s="28" t="n"/>
      <c r="AA244" s="29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1" t="n"/>
      <c r="AC244" s="21" t="n"/>
      <c r="AD244" s="27">
        <f>SUM(AB244:AC244)</f>
        <v/>
      </c>
      <c r="AE244" s="28" t="n"/>
      <c r="AF244" s="28" t="n"/>
      <c r="AG244" s="29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1" t="n"/>
      <c r="AI244" s="21" t="n"/>
      <c r="AJ244" s="27">
        <f>SUM(AH244:AI244)</f>
        <v/>
      </c>
      <c r="AK244" s="28" t="n"/>
      <c r="AL244" s="28" t="n"/>
      <c r="AM244" s="29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1" t="n"/>
      <c r="AO244" s="21" t="n"/>
      <c r="AP244" s="27">
        <f>SUM(AN244:AO244)</f>
        <v/>
      </c>
      <c r="AQ244" s="28" t="n"/>
      <c r="AR244" s="30" t="n"/>
      <c r="AS244" s="29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1" t="n"/>
      <c r="AU244" s="21" t="n"/>
      <c r="AV244" s="27">
        <f>SUM(AT244:AU244)</f>
        <v/>
      </c>
      <c r="AW244" s="28" t="n"/>
      <c r="AX244" s="30" t="n"/>
      <c r="AY244" s="29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1" t="n"/>
      <c r="BA244" s="21" t="n"/>
      <c r="BB244" s="27">
        <f>SUM(AZ244:BA244)</f>
        <v/>
      </c>
      <c r="BC244" s="28" t="n"/>
      <c r="BD244" s="28" t="n"/>
      <c r="BE244" s="29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1" t="n"/>
      <c r="BG244" s="21" t="n"/>
      <c r="BH244" s="27">
        <f>SUM(BF244:BG244)</f>
        <v/>
      </c>
      <c r="BI244" s="28" t="n"/>
      <c r="BJ244" s="28" t="n"/>
      <c r="BK244" s="29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1" t="n"/>
      <c r="BM244" s="21" t="n"/>
      <c r="BN244" s="27">
        <f>SUM(BL244:BM244)</f>
        <v/>
      </c>
      <c r="BO244" s="28" t="n"/>
      <c r="BP244" s="31" t="n"/>
      <c r="BQ244" s="29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1" t="n"/>
      <c r="BS244" s="21" t="n"/>
      <c r="BT244" s="27">
        <f>SUM(BR244:BS244)</f>
        <v/>
      </c>
      <c r="BU244" s="28" t="n"/>
      <c r="BV244" s="31" t="n"/>
      <c r="BW244" s="29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1" t="n"/>
      <c r="BY244" s="21" t="n"/>
      <c r="BZ244" s="27">
        <f>SUM(BX244:BY244)</f>
        <v/>
      </c>
      <c r="CA244" s="28" t="n"/>
      <c r="CB244" s="31" t="n"/>
      <c r="CC244" s="29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1" t="n"/>
      <c r="CE244" s="21" t="n"/>
      <c r="CF244" s="27">
        <f>SUM(CD244:CE244)</f>
        <v/>
      </c>
      <c r="CG244" s="28" t="n"/>
      <c r="CH244" s="31" t="n"/>
      <c r="CI244" s="29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1" t="n"/>
      <c r="CK244" s="21" t="n"/>
      <c r="CL244" s="27">
        <f>SUM(CJ244:CK244)</f>
        <v/>
      </c>
      <c r="CM244" s="28" t="n"/>
      <c r="CN244" s="31" t="n"/>
      <c r="CO244" s="29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1" t="n"/>
      <c r="CQ244" s="21" t="n"/>
      <c r="CR244" s="27">
        <f>SUM(CP244:CQ244)</f>
        <v/>
      </c>
      <c r="CS244" s="28" t="n"/>
      <c r="CT244" s="31" t="n"/>
      <c r="CU244" s="29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1" t="n"/>
      <c r="CW244" s="21" t="n"/>
      <c r="CX244" s="27">
        <f>SUM(CV244:CW244)</f>
        <v/>
      </c>
      <c r="CY244" s="28" t="n"/>
      <c r="CZ244" s="31" t="n"/>
      <c r="DA244" s="29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1" t="n"/>
      <c r="DC244" s="21" t="n"/>
      <c r="DD244" s="27">
        <f>SUM(DB244:DC244)</f>
        <v/>
      </c>
      <c r="DE244" s="28" t="n"/>
      <c r="DF244" s="31" t="n"/>
      <c r="DG244" s="29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34">
        <f>SUM(O244,U244,AA244,AG244,AM244,AS244,AY244,BE244,BK244,BQ244,BW244,CC244,CI244,CO244,CU244,DA244,DG244)</f>
        <v/>
      </c>
      <c r="DI244" s="39">
        <f>RANK(DH244,DH$4:DH$503)</f>
        <v/>
      </c>
      <c r="DJ244" s="40" t="inlineStr">
        <is>
          <t>CHOOSE RATING</t>
        </is>
      </c>
      <c r="DK244" s="40" t="inlineStr">
        <is>
          <t>CHOOSE RATING</t>
        </is>
      </c>
      <c r="DL244" s="40" t="inlineStr">
        <is>
          <t>CHOOSE RATING</t>
        </is>
      </c>
      <c r="DM244" s="40" t="inlineStr">
        <is>
          <t>CHOOSE RATING</t>
        </is>
      </c>
      <c r="DN244" s="40" t="inlineStr">
        <is>
          <t>CHOOSE RATING</t>
        </is>
      </c>
      <c r="DO244" s="40" t="inlineStr">
        <is>
          <t>CHOOSE RATING</t>
        </is>
      </c>
      <c r="DP244" s="40" t="inlineStr">
        <is>
          <t>CHOOSE RATING</t>
        </is>
      </c>
      <c r="DQ244" s="40" t="inlineStr">
        <is>
          <t>CHOOSE RATING</t>
        </is>
      </c>
      <c r="DR244" s="43" t="inlineStr">
        <is>
          <t>2024/2025</t>
        </is>
      </c>
      <c r="DS244" s="45" t="inlineStr">
        <is>
          <t>THIRD</t>
        </is>
      </c>
      <c r="DT244" s="40" t="inlineStr">
        <is>
          <t>CHOOSE RATING</t>
        </is>
      </c>
      <c r="DU244" s="40" t="inlineStr">
        <is>
          <t>CHOOSE RATING</t>
        </is>
      </c>
      <c r="DV244" s="40" t="inlineStr">
        <is>
          <t>CHOOSE RATING</t>
        </is>
      </c>
      <c r="DW244" s="40" t="inlineStr">
        <is>
          <t>CHOOSE RATING</t>
        </is>
      </c>
      <c r="DX244" s="40" t="inlineStr">
        <is>
          <t>CHOOSE RATING</t>
        </is>
      </c>
      <c r="DY244" s="40" t="inlineStr">
        <is>
          <t>CHOOSE RATING</t>
        </is>
      </c>
      <c r="DZ244" s="53" t="inlineStr">
        <is>
          <t>CHOOSE RATING</t>
        </is>
      </c>
      <c r="EA244" s="54" t="inlineStr">
        <is>
          <t>Add the Tutor's Comment . . .</t>
        </is>
      </c>
      <c r="EB244" s="55" t="inlineStr">
        <is>
          <t>Choose Principals comment</t>
        </is>
      </c>
      <c r="EC244" s="56" t="n"/>
      <c r="ED244" s="57" t="inlineStr">
        <is>
          <t>Next Term Begins on Monday, 22nd September, 2025</t>
        </is>
      </c>
    </row>
    <row r="245" ht="30.6" customHeight="1" s="6">
      <c r="A245" s="18" t="n">
        <v>242</v>
      </c>
      <c r="B245" s="19" t="n"/>
      <c r="C245" s="20" t="n"/>
      <c r="D245" s="128" t="n"/>
      <c r="E245" s="21" t="n"/>
      <c r="F245" s="22" t="n"/>
      <c r="G245" s="22" t="n"/>
      <c r="H245" s="22" t="n"/>
      <c r="I245" s="26">
        <f>G245-H245</f>
        <v/>
      </c>
      <c r="J245" s="21" t="n"/>
      <c r="K245" s="21" t="n"/>
      <c r="L245" s="27">
        <f>SUM(J245:K245)</f>
        <v/>
      </c>
      <c r="M245" s="28" t="n"/>
      <c r="N245" s="28" t="n"/>
      <c r="O245" s="29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1" t="n"/>
      <c r="Q245" s="21" t="n"/>
      <c r="R245" s="27">
        <f>SUM(P245:Q245)</f>
        <v/>
      </c>
      <c r="S245" s="28" t="n"/>
      <c r="T245" s="28" t="n"/>
      <c r="U245" s="29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1" t="n"/>
      <c r="W245" s="21" t="n"/>
      <c r="X245" s="27">
        <f>SUM(V245:W245)</f>
        <v/>
      </c>
      <c r="Y245" s="28" t="n"/>
      <c r="Z245" s="28" t="n"/>
      <c r="AA245" s="29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1" t="n"/>
      <c r="AC245" s="21" t="n"/>
      <c r="AD245" s="27">
        <f>SUM(AB245:AC245)</f>
        <v/>
      </c>
      <c r="AE245" s="28" t="n"/>
      <c r="AF245" s="28" t="n"/>
      <c r="AG245" s="29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1" t="n"/>
      <c r="AI245" s="21" t="n"/>
      <c r="AJ245" s="27">
        <f>SUM(AH245:AI245)</f>
        <v/>
      </c>
      <c r="AK245" s="28" t="n"/>
      <c r="AL245" s="28" t="n"/>
      <c r="AM245" s="29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1" t="n"/>
      <c r="AO245" s="21" t="n"/>
      <c r="AP245" s="27">
        <f>SUM(AN245:AO245)</f>
        <v/>
      </c>
      <c r="AQ245" s="28" t="n"/>
      <c r="AR245" s="30" t="n"/>
      <c r="AS245" s="29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1" t="n"/>
      <c r="AU245" s="21" t="n"/>
      <c r="AV245" s="27">
        <f>SUM(AT245:AU245)</f>
        <v/>
      </c>
      <c r="AW245" s="28" t="n"/>
      <c r="AX245" s="30" t="n"/>
      <c r="AY245" s="29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1" t="n"/>
      <c r="BA245" s="21" t="n"/>
      <c r="BB245" s="27">
        <f>SUM(AZ245:BA245)</f>
        <v/>
      </c>
      <c r="BC245" s="28" t="n"/>
      <c r="BD245" s="28" t="n"/>
      <c r="BE245" s="29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1" t="n"/>
      <c r="BG245" s="21" t="n"/>
      <c r="BH245" s="27">
        <f>SUM(BF245:BG245)</f>
        <v/>
      </c>
      <c r="BI245" s="28" t="n"/>
      <c r="BJ245" s="28" t="n"/>
      <c r="BK245" s="29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1" t="n"/>
      <c r="BM245" s="21" t="n"/>
      <c r="BN245" s="27">
        <f>SUM(BL245:BM245)</f>
        <v/>
      </c>
      <c r="BO245" s="28" t="n"/>
      <c r="BP245" s="31" t="n"/>
      <c r="BQ245" s="29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1" t="n"/>
      <c r="BS245" s="21" t="n"/>
      <c r="BT245" s="27">
        <f>SUM(BR245:BS245)</f>
        <v/>
      </c>
      <c r="BU245" s="28" t="n"/>
      <c r="BV245" s="31" t="n"/>
      <c r="BW245" s="29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1" t="n"/>
      <c r="BY245" s="21" t="n"/>
      <c r="BZ245" s="27">
        <f>SUM(BX245:BY245)</f>
        <v/>
      </c>
      <c r="CA245" s="28" t="n"/>
      <c r="CB245" s="31" t="n"/>
      <c r="CC245" s="29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1" t="n"/>
      <c r="CE245" s="21" t="n"/>
      <c r="CF245" s="27">
        <f>SUM(CD245:CE245)</f>
        <v/>
      </c>
      <c r="CG245" s="28" t="n"/>
      <c r="CH245" s="31" t="n"/>
      <c r="CI245" s="29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1" t="n"/>
      <c r="CK245" s="21" t="n"/>
      <c r="CL245" s="27">
        <f>SUM(CJ245:CK245)</f>
        <v/>
      </c>
      <c r="CM245" s="28" t="n"/>
      <c r="CN245" s="31" t="n"/>
      <c r="CO245" s="29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1" t="n"/>
      <c r="CQ245" s="21" t="n"/>
      <c r="CR245" s="27">
        <f>SUM(CP245:CQ245)</f>
        <v/>
      </c>
      <c r="CS245" s="28" t="n"/>
      <c r="CT245" s="31" t="n"/>
      <c r="CU245" s="29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1" t="n"/>
      <c r="CW245" s="21" t="n"/>
      <c r="CX245" s="27">
        <f>SUM(CV245:CW245)</f>
        <v/>
      </c>
      <c r="CY245" s="28" t="n"/>
      <c r="CZ245" s="31" t="n"/>
      <c r="DA245" s="29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1" t="n"/>
      <c r="DC245" s="21" t="n"/>
      <c r="DD245" s="27">
        <f>SUM(DB245:DC245)</f>
        <v/>
      </c>
      <c r="DE245" s="28" t="n"/>
      <c r="DF245" s="31" t="n"/>
      <c r="DG245" s="29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34">
        <f>SUM(O245,U245,AA245,AG245,AM245,AS245,AY245,BE245,BK245,BQ245,BW245,CC245,CI245,CO245,CU245,DA245,DG245)</f>
        <v/>
      </c>
      <c r="DI245" s="39">
        <f>RANK(DH245,DH$4:DH$503)</f>
        <v/>
      </c>
      <c r="DJ245" s="40" t="inlineStr">
        <is>
          <t>CHOOSE RATING</t>
        </is>
      </c>
      <c r="DK245" s="40" t="inlineStr">
        <is>
          <t>CHOOSE RATING</t>
        </is>
      </c>
      <c r="DL245" s="40" t="inlineStr">
        <is>
          <t>CHOOSE RATING</t>
        </is>
      </c>
      <c r="DM245" s="40" t="inlineStr">
        <is>
          <t>CHOOSE RATING</t>
        </is>
      </c>
      <c r="DN245" s="40" t="inlineStr">
        <is>
          <t>CHOOSE RATING</t>
        </is>
      </c>
      <c r="DO245" s="40" t="inlineStr">
        <is>
          <t>CHOOSE RATING</t>
        </is>
      </c>
      <c r="DP245" s="40" t="inlineStr">
        <is>
          <t>CHOOSE RATING</t>
        </is>
      </c>
      <c r="DQ245" s="40" t="inlineStr">
        <is>
          <t>CHOOSE RATING</t>
        </is>
      </c>
      <c r="DR245" s="43" t="inlineStr">
        <is>
          <t>2024/2025</t>
        </is>
      </c>
      <c r="DS245" s="45" t="inlineStr">
        <is>
          <t>THIRD</t>
        </is>
      </c>
      <c r="DT245" s="40" t="inlineStr">
        <is>
          <t>CHOOSE RATING</t>
        </is>
      </c>
      <c r="DU245" s="40" t="inlineStr">
        <is>
          <t>CHOOSE RATING</t>
        </is>
      </c>
      <c r="DV245" s="40" t="inlineStr">
        <is>
          <t>CHOOSE RATING</t>
        </is>
      </c>
      <c r="DW245" s="40" t="inlineStr">
        <is>
          <t>CHOOSE RATING</t>
        </is>
      </c>
      <c r="DX245" s="40" t="inlineStr">
        <is>
          <t>CHOOSE RATING</t>
        </is>
      </c>
      <c r="DY245" s="40" t="inlineStr">
        <is>
          <t>CHOOSE RATING</t>
        </is>
      </c>
      <c r="DZ245" s="53" t="inlineStr">
        <is>
          <t>CHOOSE RATING</t>
        </is>
      </c>
      <c r="EA245" s="54" t="inlineStr">
        <is>
          <t>Add the Tutor's Comment . . .</t>
        </is>
      </c>
      <c r="EB245" s="55" t="inlineStr">
        <is>
          <t>Choose Principals comment</t>
        </is>
      </c>
      <c r="EC245" s="56" t="n"/>
      <c r="ED245" s="57" t="inlineStr">
        <is>
          <t>Next Term Begins on Monday, 22nd September, 2025</t>
        </is>
      </c>
    </row>
    <row r="246" ht="30.6" customHeight="1" s="6">
      <c r="A246" s="18" t="n">
        <v>243</v>
      </c>
      <c r="B246" s="19" t="n"/>
      <c r="C246" s="20" t="n"/>
      <c r="D246" s="128" t="n"/>
      <c r="E246" s="21" t="n"/>
      <c r="F246" s="22" t="n"/>
      <c r="G246" s="22" t="n"/>
      <c r="H246" s="22" t="n"/>
      <c r="I246" s="26">
        <f>G246-H246</f>
        <v/>
      </c>
      <c r="J246" s="21" t="n"/>
      <c r="K246" s="21" t="n"/>
      <c r="L246" s="27">
        <f>SUM(J246:K246)</f>
        <v/>
      </c>
      <c r="M246" s="28" t="n"/>
      <c r="N246" s="28" t="n"/>
      <c r="O246" s="29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1" t="n"/>
      <c r="Q246" s="21" t="n"/>
      <c r="R246" s="27">
        <f>SUM(P246:Q246)</f>
        <v/>
      </c>
      <c r="S246" s="28" t="n"/>
      <c r="T246" s="28" t="n"/>
      <c r="U246" s="29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1" t="n"/>
      <c r="W246" s="21" t="n"/>
      <c r="X246" s="27">
        <f>SUM(V246:W246)</f>
        <v/>
      </c>
      <c r="Y246" s="28" t="n"/>
      <c r="Z246" s="28" t="n"/>
      <c r="AA246" s="29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1" t="n"/>
      <c r="AC246" s="21" t="n"/>
      <c r="AD246" s="27">
        <f>SUM(AB246:AC246)</f>
        <v/>
      </c>
      <c r="AE246" s="28" t="n"/>
      <c r="AF246" s="28" t="n"/>
      <c r="AG246" s="29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1" t="n"/>
      <c r="AI246" s="21" t="n"/>
      <c r="AJ246" s="27">
        <f>SUM(AH246:AI246)</f>
        <v/>
      </c>
      <c r="AK246" s="28" t="n"/>
      <c r="AL246" s="28" t="n"/>
      <c r="AM246" s="29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1" t="n"/>
      <c r="AO246" s="21" t="n"/>
      <c r="AP246" s="27">
        <f>SUM(AN246:AO246)</f>
        <v/>
      </c>
      <c r="AQ246" s="28" t="n"/>
      <c r="AR246" s="30" t="n"/>
      <c r="AS246" s="29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1" t="n"/>
      <c r="AU246" s="21" t="n"/>
      <c r="AV246" s="27">
        <f>SUM(AT246:AU246)</f>
        <v/>
      </c>
      <c r="AW246" s="28" t="n"/>
      <c r="AX246" s="30" t="n"/>
      <c r="AY246" s="29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1" t="n"/>
      <c r="BA246" s="21" t="n"/>
      <c r="BB246" s="27">
        <f>SUM(AZ246:BA246)</f>
        <v/>
      </c>
      <c r="BC246" s="28" t="n"/>
      <c r="BD246" s="28" t="n"/>
      <c r="BE246" s="29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1" t="n"/>
      <c r="BG246" s="21" t="n"/>
      <c r="BH246" s="27">
        <f>SUM(BF246:BG246)</f>
        <v/>
      </c>
      <c r="BI246" s="28" t="n"/>
      <c r="BJ246" s="28" t="n"/>
      <c r="BK246" s="29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1" t="n"/>
      <c r="BM246" s="21" t="n"/>
      <c r="BN246" s="27">
        <f>SUM(BL246:BM246)</f>
        <v/>
      </c>
      <c r="BO246" s="28" t="n"/>
      <c r="BP246" s="31" t="n"/>
      <c r="BQ246" s="29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1" t="n"/>
      <c r="BS246" s="21" t="n"/>
      <c r="BT246" s="27">
        <f>SUM(BR246:BS246)</f>
        <v/>
      </c>
      <c r="BU246" s="28" t="n"/>
      <c r="BV246" s="31" t="n"/>
      <c r="BW246" s="29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1" t="n"/>
      <c r="BY246" s="21" t="n"/>
      <c r="BZ246" s="27">
        <f>SUM(BX246:BY246)</f>
        <v/>
      </c>
      <c r="CA246" s="28" t="n"/>
      <c r="CB246" s="31" t="n"/>
      <c r="CC246" s="29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1" t="n"/>
      <c r="CE246" s="21" t="n"/>
      <c r="CF246" s="27">
        <f>SUM(CD246:CE246)</f>
        <v/>
      </c>
      <c r="CG246" s="28" t="n"/>
      <c r="CH246" s="31" t="n"/>
      <c r="CI246" s="29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1" t="n"/>
      <c r="CK246" s="21" t="n"/>
      <c r="CL246" s="27">
        <f>SUM(CJ246:CK246)</f>
        <v/>
      </c>
      <c r="CM246" s="28" t="n"/>
      <c r="CN246" s="31" t="n"/>
      <c r="CO246" s="29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1" t="n"/>
      <c r="CQ246" s="21" t="n"/>
      <c r="CR246" s="27">
        <f>SUM(CP246:CQ246)</f>
        <v/>
      </c>
      <c r="CS246" s="28" t="n"/>
      <c r="CT246" s="31" t="n"/>
      <c r="CU246" s="29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1" t="n"/>
      <c r="CW246" s="21" t="n"/>
      <c r="CX246" s="27">
        <f>SUM(CV246:CW246)</f>
        <v/>
      </c>
      <c r="CY246" s="28" t="n"/>
      <c r="CZ246" s="31" t="n"/>
      <c r="DA246" s="29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1" t="n"/>
      <c r="DC246" s="21" t="n"/>
      <c r="DD246" s="27">
        <f>SUM(DB246:DC246)</f>
        <v/>
      </c>
      <c r="DE246" s="28" t="n"/>
      <c r="DF246" s="31" t="n"/>
      <c r="DG246" s="29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34">
        <f>SUM(O246,U246,AA246,AG246,AM246,AS246,AY246,BE246,BK246,BQ246,BW246,CC246,CI246,CO246,CU246,DA246,DG246)</f>
        <v/>
      </c>
      <c r="DI246" s="39">
        <f>RANK(DH246,DH$4:DH$503)</f>
        <v/>
      </c>
      <c r="DJ246" s="40" t="inlineStr">
        <is>
          <t>CHOOSE RATING</t>
        </is>
      </c>
      <c r="DK246" s="40" t="inlineStr">
        <is>
          <t>CHOOSE RATING</t>
        </is>
      </c>
      <c r="DL246" s="40" t="inlineStr">
        <is>
          <t>CHOOSE RATING</t>
        </is>
      </c>
      <c r="DM246" s="40" t="inlineStr">
        <is>
          <t>CHOOSE RATING</t>
        </is>
      </c>
      <c r="DN246" s="40" t="inlineStr">
        <is>
          <t>CHOOSE RATING</t>
        </is>
      </c>
      <c r="DO246" s="40" t="inlineStr">
        <is>
          <t>CHOOSE RATING</t>
        </is>
      </c>
      <c r="DP246" s="40" t="inlineStr">
        <is>
          <t>CHOOSE RATING</t>
        </is>
      </c>
      <c r="DQ246" s="40" t="inlineStr">
        <is>
          <t>CHOOSE RATING</t>
        </is>
      </c>
      <c r="DR246" s="43" t="inlineStr">
        <is>
          <t>2024/2025</t>
        </is>
      </c>
      <c r="DS246" s="45" t="inlineStr">
        <is>
          <t>THIRD</t>
        </is>
      </c>
      <c r="DT246" s="40" t="inlineStr">
        <is>
          <t>CHOOSE RATING</t>
        </is>
      </c>
      <c r="DU246" s="40" t="inlineStr">
        <is>
          <t>CHOOSE RATING</t>
        </is>
      </c>
      <c r="DV246" s="40" t="inlineStr">
        <is>
          <t>CHOOSE RATING</t>
        </is>
      </c>
      <c r="DW246" s="40" t="inlineStr">
        <is>
          <t>CHOOSE RATING</t>
        </is>
      </c>
      <c r="DX246" s="40" t="inlineStr">
        <is>
          <t>CHOOSE RATING</t>
        </is>
      </c>
      <c r="DY246" s="40" t="inlineStr">
        <is>
          <t>CHOOSE RATING</t>
        </is>
      </c>
      <c r="DZ246" s="53" t="inlineStr">
        <is>
          <t>CHOOSE RATING</t>
        </is>
      </c>
      <c r="EA246" s="54" t="inlineStr">
        <is>
          <t>Add the Tutor's Comment . . .</t>
        </is>
      </c>
      <c r="EB246" s="55" t="inlineStr">
        <is>
          <t>Choose Principals comment</t>
        </is>
      </c>
      <c r="EC246" s="56" t="n"/>
      <c r="ED246" s="57" t="inlineStr">
        <is>
          <t>Next Term Begins on Monday, 22nd September, 2025</t>
        </is>
      </c>
    </row>
    <row r="247" ht="30.6" customHeight="1" s="6">
      <c r="A247" s="18" t="n">
        <v>244</v>
      </c>
      <c r="B247" s="19" t="n"/>
      <c r="C247" s="20" t="n"/>
      <c r="D247" s="128" t="n"/>
      <c r="E247" s="21" t="n"/>
      <c r="F247" s="22" t="n"/>
      <c r="G247" s="22" t="n"/>
      <c r="H247" s="22" t="n"/>
      <c r="I247" s="26">
        <f>G247-H247</f>
        <v/>
      </c>
      <c r="J247" s="21" t="n"/>
      <c r="K247" s="21" t="n"/>
      <c r="L247" s="27">
        <f>SUM(J247:K247)</f>
        <v/>
      </c>
      <c r="M247" s="28" t="n"/>
      <c r="N247" s="28" t="n"/>
      <c r="O247" s="29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1" t="n"/>
      <c r="Q247" s="21" t="n"/>
      <c r="R247" s="27">
        <f>SUM(P247:Q247)</f>
        <v/>
      </c>
      <c r="S247" s="28" t="n"/>
      <c r="T247" s="28" t="n"/>
      <c r="U247" s="29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1" t="n"/>
      <c r="W247" s="21" t="n"/>
      <c r="X247" s="27">
        <f>SUM(V247:W247)</f>
        <v/>
      </c>
      <c r="Y247" s="28" t="n"/>
      <c r="Z247" s="28" t="n"/>
      <c r="AA247" s="29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1" t="n"/>
      <c r="AC247" s="21" t="n"/>
      <c r="AD247" s="27">
        <f>SUM(AB247:AC247)</f>
        <v/>
      </c>
      <c r="AE247" s="28" t="n"/>
      <c r="AF247" s="28" t="n"/>
      <c r="AG247" s="29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1" t="n"/>
      <c r="AI247" s="21" t="n"/>
      <c r="AJ247" s="27">
        <f>SUM(AH247:AI247)</f>
        <v/>
      </c>
      <c r="AK247" s="28" t="n"/>
      <c r="AL247" s="28" t="n"/>
      <c r="AM247" s="29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1" t="n"/>
      <c r="AO247" s="21" t="n"/>
      <c r="AP247" s="27">
        <f>SUM(AN247:AO247)</f>
        <v/>
      </c>
      <c r="AQ247" s="28" t="n"/>
      <c r="AR247" s="30" t="n"/>
      <c r="AS247" s="29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1" t="n"/>
      <c r="AU247" s="21" t="n"/>
      <c r="AV247" s="27">
        <f>SUM(AT247:AU247)</f>
        <v/>
      </c>
      <c r="AW247" s="28" t="n"/>
      <c r="AX247" s="30" t="n"/>
      <c r="AY247" s="29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1" t="n"/>
      <c r="BA247" s="21" t="n"/>
      <c r="BB247" s="27">
        <f>SUM(AZ247:BA247)</f>
        <v/>
      </c>
      <c r="BC247" s="28" t="n"/>
      <c r="BD247" s="28" t="n"/>
      <c r="BE247" s="29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1" t="n"/>
      <c r="BG247" s="21" t="n"/>
      <c r="BH247" s="27">
        <f>SUM(BF247:BG247)</f>
        <v/>
      </c>
      <c r="BI247" s="28" t="n"/>
      <c r="BJ247" s="28" t="n"/>
      <c r="BK247" s="29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1" t="n"/>
      <c r="BM247" s="21" t="n"/>
      <c r="BN247" s="27">
        <f>SUM(BL247:BM247)</f>
        <v/>
      </c>
      <c r="BO247" s="28" t="n"/>
      <c r="BP247" s="31" t="n"/>
      <c r="BQ247" s="29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1" t="n"/>
      <c r="BS247" s="21" t="n"/>
      <c r="BT247" s="27">
        <f>SUM(BR247:BS247)</f>
        <v/>
      </c>
      <c r="BU247" s="28" t="n"/>
      <c r="BV247" s="31" t="n"/>
      <c r="BW247" s="29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1" t="n"/>
      <c r="BY247" s="21" t="n"/>
      <c r="BZ247" s="27">
        <f>SUM(BX247:BY247)</f>
        <v/>
      </c>
      <c r="CA247" s="28" t="n"/>
      <c r="CB247" s="31" t="n"/>
      <c r="CC247" s="29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1" t="n"/>
      <c r="CE247" s="21" t="n"/>
      <c r="CF247" s="27">
        <f>SUM(CD247:CE247)</f>
        <v/>
      </c>
      <c r="CG247" s="28" t="n"/>
      <c r="CH247" s="31" t="n"/>
      <c r="CI247" s="29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1" t="n"/>
      <c r="CK247" s="21" t="n"/>
      <c r="CL247" s="27">
        <f>SUM(CJ247:CK247)</f>
        <v/>
      </c>
      <c r="CM247" s="28" t="n"/>
      <c r="CN247" s="31" t="n"/>
      <c r="CO247" s="29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1" t="n"/>
      <c r="CQ247" s="21" t="n"/>
      <c r="CR247" s="27">
        <f>SUM(CP247:CQ247)</f>
        <v/>
      </c>
      <c r="CS247" s="28" t="n"/>
      <c r="CT247" s="31" t="n"/>
      <c r="CU247" s="29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1" t="n"/>
      <c r="CW247" s="21" t="n"/>
      <c r="CX247" s="27">
        <f>SUM(CV247:CW247)</f>
        <v/>
      </c>
      <c r="CY247" s="28" t="n"/>
      <c r="CZ247" s="31" t="n"/>
      <c r="DA247" s="29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1" t="n"/>
      <c r="DC247" s="21" t="n"/>
      <c r="DD247" s="27">
        <f>SUM(DB247:DC247)</f>
        <v/>
      </c>
      <c r="DE247" s="28" t="n"/>
      <c r="DF247" s="31" t="n"/>
      <c r="DG247" s="29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34">
        <f>SUM(O247,U247,AA247,AG247,AM247,AS247,AY247,BE247,BK247,BQ247,BW247,CC247,CI247,CO247,CU247,DA247,DG247)</f>
        <v/>
      </c>
      <c r="DI247" s="39">
        <f>RANK(DH247,DH$4:DH$503)</f>
        <v/>
      </c>
      <c r="DJ247" s="40" t="inlineStr">
        <is>
          <t>CHOOSE RATING</t>
        </is>
      </c>
      <c r="DK247" s="40" t="inlineStr">
        <is>
          <t>CHOOSE RATING</t>
        </is>
      </c>
      <c r="DL247" s="40" t="inlineStr">
        <is>
          <t>CHOOSE RATING</t>
        </is>
      </c>
      <c r="DM247" s="40" t="inlineStr">
        <is>
          <t>CHOOSE RATING</t>
        </is>
      </c>
      <c r="DN247" s="40" t="inlineStr">
        <is>
          <t>CHOOSE RATING</t>
        </is>
      </c>
      <c r="DO247" s="40" t="inlineStr">
        <is>
          <t>CHOOSE RATING</t>
        </is>
      </c>
      <c r="DP247" s="40" t="inlineStr">
        <is>
          <t>CHOOSE RATING</t>
        </is>
      </c>
      <c r="DQ247" s="40" t="inlineStr">
        <is>
          <t>CHOOSE RATING</t>
        </is>
      </c>
      <c r="DR247" s="43" t="inlineStr">
        <is>
          <t>2024/2025</t>
        </is>
      </c>
      <c r="DS247" s="45" t="inlineStr">
        <is>
          <t>THIRD</t>
        </is>
      </c>
      <c r="DT247" s="40" t="inlineStr">
        <is>
          <t>CHOOSE RATING</t>
        </is>
      </c>
      <c r="DU247" s="40" t="inlineStr">
        <is>
          <t>CHOOSE RATING</t>
        </is>
      </c>
      <c r="DV247" s="40" t="inlineStr">
        <is>
          <t>CHOOSE RATING</t>
        </is>
      </c>
      <c r="DW247" s="40" t="inlineStr">
        <is>
          <t>CHOOSE RATING</t>
        </is>
      </c>
      <c r="DX247" s="40" t="inlineStr">
        <is>
          <t>CHOOSE RATING</t>
        </is>
      </c>
      <c r="DY247" s="40" t="inlineStr">
        <is>
          <t>CHOOSE RATING</t>
        </is>
      </c>
      <c r="DZ247" s="53" t="inlineStr">
        <is>
          <t>CHOOSE RATING</t>
        </is>
      </c>
      <c r="EA247" s="54" t="inlineStr">
        <is>
          <t>Add the Tutor's Comment . . .</t>
        </is>
      </c>
      <c r="EB247" s="55" t="inlineStr">
        <is>
          <t>Choose Principals comment</t>
        </is>
      </c>
      <c r="EC247" s="56" t="n"/>
      <c r="ED247" s="57" t="inlineStr">
        <is>
          <t>Next Term Begins on Monday, 22nd September, 2025</t>
        </is>
      </c>
    </row>
    <row r="248" ht="30.6" customHeight="1" s="6">
      <c r="A248" s="18" t="n">
        <v>245</v>
      </c>
      <c r="B248" s="19" t="n"/>
      <c r="C248" s="20" t="n"/>
      <c r="D248" s="128" t="n"/>
      <c r="E248" s="21" t="n"/>
      <c r="F248" s="22" t="n"/>
      <c r="G248" s="22" t="n"/>
      <c r="H248" s="22" t="n"/>
      <c r="I248" s="26">
        <f>G248-H248</f>
        <v/>
      </c>
      <c r="J248" s="21" t="n"/>
      <c r="K248" s="21" t="n"/>
      <c r="L248" s="27">
        <f>SUM(J248:K248)</f>
        <v/>
      </c>
      <c r="M248" s="28" t="n"/>
      <c r="N248" s="28" t="n"/>
      <c r="O248" s="29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1" t="n"/>
      <c r="Q248" s="21" t="n"/>
      <c r="R248" s="27">
        <f>SUM(P248:Q248)</f>
        <v/>
      </c>
      <c r="S248" s="28" t="n"/>
      <c r="T248" s="28" t="n"/>
      <c r="U248" s="29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1" t="n"/>
      <c r="W248" s="21" t="n"/>
      <c r="X248" s="27">
        <f>SUM(V248:W248)</f>
        <v/>
      </c>
      <c r="Y248" s="28" t="n"/>
      <c r="Z248" s="28" t="n"/>
      <c r="AA248" s="29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1" t="n"/>
      <c r="AC248" s="21" t="n"/>
      <c r="AD248" s="27">
        <f>SUM(AB248:AC248)</f>
        <v/>
      </c>
      <c r="AE248" s="28" t="n"/>
      <c r="AF248" s="28" t="n"/>
      <c r="AG248" s="29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1" t="n"/>
      <c r="AI248" s="21" t="n"/>
      <c r="AJ248" s="27">
        <f>SUM(AH248:AI248)</f>
        <v/>
      </c>
      <c r="AK248" s="28" t="n"/>
      <c r="AL248" s="28" t="n"/>
      <c r="AM248" s="29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1" t="n"/>
      <c r="AO248" s="21" t="n"/>
      <c r="AP248" s="27">
        <f>SUM(AN248:AO248)</f>
        <v/>
      </c>
      <c r="AQ248" s="28" t="n"/>
      <c r="AR248" s="30" t="n"/>
      <c r="AS248" s="29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1" t="n"/>
      <c r="AU248" s="21" t="n"/>
      <c r="AV248" s="27">
        <f>SUM(AT248:AU248)</f>
        <v/>
      </c>
      <c r="AW248" s="28" t="n"/>
      <c r="AX248" s="30" t="n"/>
      <c r="AY248" s="29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1" t="n"/>
      <c r="BA248" s="21" t="n"/>
      <c r="BB248" s="27">
        <f>SUM(AZ248:BA248)</f>
        <v/>
      </c>
      <c r="BC248" s="28" t="n"/>
      <c r="BD248" s="28" t="n"/>
      <c r="BE248" s="29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1" t="n"/>
      <c r="BG248" s="21" t="n"/>
      <c r="BH248" s="27">
        <f>SUM(BF248:BG248)</f>
        <v/>
      </c>
      <c r="BI248" s="28" t="n"/>
      <c r="BJ248" s="28" t="n"/>
      <c r="BK248" s="29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1" t="n"/>
      <c r="BM248" s="21" t="n"/>
      <c r="BN248" s="27">
        <f>SUM(BL248:BM248)</f>
        <v/>
      </c>
      <c r="BO248" s="28" t="n"/>
      <c r="BP248" s="31" t="n"/>
      <c r="BQ248" s="29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1" t="n"/>
      <c r="BS248" s="21" t="n"/>
      <c r="BT248" s="27">
        <f>SUM(BR248:BS248)</f>
        <v/>
      </c>
      <c r="BU248" s="28" t="n"/>
      <c r="BV248" s="31" t="n"/>
      <c r="BW248" s="29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1" t="n"/>
      <c r="BY248" s="21" t="n"/>
      <c r="BZ248" s="27">
        <f>SUM(BX248:BY248)</f>
        <v/>
      </c>
      <c r="CA248" s="28" t="n"/>
      <c r="CB248" s="31" t="n"/>
      <c r="CC248" s="29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1" t="n"/>
      <c r="CE248" s="21" t="n"/>
      <c r="CF248" s="27">
        <f>SUM(CD248:CE248)</f>
        <v/>
      </c>
      <c r="CG248" s="28" t="n"/>
      <c r="CH248" s="31" t="n"/>
      <c r="CI248" s="29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1" t="n"/>
      <c r="CK248" s="21" t="n"/>
      <c r="CL248" s="27">
        <f>SUM(CJ248:CK248)</f>
        <v/>
      </c>
      <c r="CM248" s="28" t="n"/>
      <c r="CN248" s="31" t="n"/>
      <c r="CO248" s="29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1" t="n"/>
      <c r="CQ248" s="21" t="n"/>
      <c r="CR248" s="27">
        <f>SUM(CP248:CQ248)</f>
        <v/>
      </c>
      <c r="CS248" s="28" t="n"/>
      <c r="CT248" s="31" t="n"/>
      <c r="CU248" s="29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1" t="n"/>
      <c r="CW248" s="21" t="n"/>
      <c r="CX248" s="27">
        <f>SUM(CV248:CW248)</f>
        <v/>
      </c>
      <c r="CY248" s="28" t="n"/>
      <c r="CZ248" s="31" t="n"/>
      <c r="DA248" s="29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1" t="n"/>
      <c r="DC248" s="21" t="n"/>
      <c r="DD248" s="27">
        <f>SUM(DB248:DC248)</f>
        <v/>
      </c>
      <c r="DE248" s="28" t="n"/>
      <c r="DF248" s="31" t="n"/>
      <c r="DG248" s="29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34">
        <f>SUM(O248,U248,AA248,AG248,AM248,AS248,AY248,BE248,BK248,BQ248,BW248,CC248,CI248,CO248,CU248,DA248,DG248)</f>
        <v/>
      </c>
      <c r="DI248" s="39">
        <f>RANK(DH248,DH$4:DH$503)</f>
        <v/>
      </c>
      <c r="DJ248" s="40" t="inlineStr">
        <is>
          <t>CHOOSE RATING</t>
        </is>
      </c>
      <c r="DK248" s="40" t="inlineStr">
        <is>
          <t>CHOOSE RATING</t>
        </is>
      </c>
      <c r="DL248" s="40" t="inlineStr">
        <is>
          <t>CHOOSE RATING</t>
        </is>
      </c>
      <c r="DM248" s="40" t="inlineStr">
        <is>
          <t>CHOOSE RATING</t>
        </is>
      </c>
      <c r="DN248" s="40" t="inlineStr">
        <is>
          <t>CHOOSE RATING</t>
        </is>
      </c>
      <c r="DO248" s="40" t="inlineStr">
        <is>
          <t>CHOOSE RATING</t>
        </is>
      </c>
      <c r="DP248" s="40" t="inlineStr">
        <is>
          <t>CHOOSE RATING</t>
        </is>
      </c>
      <c r="DQ248" s="40" t="inlineStr">
        <is>
          <t>CHOOSE RATING</t>
        </is>
      </c>
      <c r="DR248" s="43" t="inlineStr">
        <is>
          <t>2024/2025</t>
        </is>
      </c>
      <c r="DS248" s="45" t="inlineStr">
        <is>
          <t>THIRD</t>
        </is>
      </c>
      <c r="DT248" s="40" t="inlineStr">
        <is>
          <t>CHOOSE RATING</t>
        </is>
      </c>
      <c r="DU248" s="40" t="inlineStr">
        <is>
          <t>CHOOSE RATING</t>
        </is>
      </c>
      <c r="DV248" s="40" t="inlineStr">
        <is>
          <t>CHOOSE RATING</t>
        </is>
      </c>
      <c r="DW248" s="40" t="inlineStr">
        <is>
          <t>CHOOSE RATING</t>
        </is>
      </c>
      <c r="DX248" s="40" t="inlineStr">
        <is>
          <t>CHOOSE RATING</t>
        </is>
      </c>
      <c r="DY248" s="40" t="inlineStr">
        <is>
          <t>CHOOSE RATING</t>
        </is>
      </c>
      <c r="DZ248" s="53" t="inlineStr">
        <is>
          <t>CHOOSE RATING</t>
        </is>
      </c>
      <c r="EA248" s="54" t="inlineStr">
        <is>
          <t>Add the Tutor's Comment . . .</t>
        </is>
      </c>
      <c r="EB248" s="55" t="inlineStr">
        <is>
          <t>Choose Principals comment</t>
        </is>
      </c>
      <c r="EC248" s="56" t="n"/>
      <c r="ED248" s="57" t="inlineStr">
        <is>
          <t>Next Term Begins on Monday, 22nd September, 2025</t>
        </is>
      </c>
    </row>
    <row r="249" ht="30.6" customHeight="1" s="6">
      <c r="A249" s="18" t="n">
        <v>246</v>
      </c>
      <c r="B249" s="19" t="n"/>
      <c r="C249" s="20" t="n"/>
      <c r="D249" s="128" t="n"/>
      <c r="E249" s="21" t="n"/>
      <c r="F249" s="22" t="n"/>
      <c r="G249" s="22" t="n"/>
      <c r="H249" s="22" t="n"/>
      <c r="I249" s="26">
        <f>G249-H249</f>
        <v/>
      </c>
      <c r="J249" s="21" t="n"/>
      <c r="K249" s="21" t="n"/>
      <c r="L249" s="27">
        <f>SUM(J249:K249)</f>
        <v/>
      </c>
      <c r="M249" s="28" t="n"/>
      <c r="N249" s="28" t="n"/>
      <c r="O249" s="29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1" t="n"/>
      <c r="Q249" s="21" t="n"/>
      <c r="R249" s="27">
        <f>SUM(P249:Q249)</f>
        <v/>
      </c>
      <c r="S249" s="28" t="n"/>
      <c r="T249" s="28" t="n"/>
      <c r="U249" s="29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1" t="n"/>
      <c r="W249" s="21" t="n"/>
      <c r="X249" s="27">
        <f>SUM(V249:W249)</f>
        <v/>
      </c>
      <c r="Y249" s="28" t="n"/>
      <c r="Z249" s="28" t="n"/>
      <c r="AA249" s="29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1" t="n"/>
      <c r="AC249" s="21" t="n"/>
      <c r="AD249" s="27">
        <f>SUM(AB249:AC249)</f>
        <v/>
      </c>
      <c r="AE249" s="28" t="n"/>
      <c r="AF249" s="28" t="n"/>
      <c r="AG249" s="29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1" t="n"/>
      <c r="AI249" s="21" t="n"/>
      <c r="AJ249" s="27">
        <f>SUM(AH249:AI249)</f>
        <v/>
      </c>
      <c r="AK249" s="28" t="n"/>
      <c r="AL249" s="28" t="n"/>
      <c r="AM249" s="29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1" t="n"/>
      <c r="AO249" s="21" t="n"/>
      <c r="AP249" s="27">
        <f>SUM(AN249:AO249)</f>
        <v/>
      </c>
      <c r="AQ249" s="28" t="n"/>
      <c r="AR249" s="30" t="n"/>
      <c r="AS249" s="29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1" t="n"/>
      <c r="AU249" s="21" t="n"/>
      <c r="AV249" s="27">
        <f>SUM(AT249:AU249)</f>
        <v/>
      </c>
      <c r="AW249" s="28" t="n"/>
      <c r="AX249" s="30" t="n"/>
      <c r="AY249" s="29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1" t="n"/>
      <c r="BA249" s="21" t="n"/>
      <c r="BB249" s="27">
        <f>SUM(AZ249:BA249)</f>
        <v/>
      </c>
      <c r="BC249" s="28" t="n"/>
      <c r="BD249" s="28" t="n"/>
      <c r="BE249" s="29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1" t="n"/>
      <c r="BG249" s="21" t="n"/>
      <c r="BH249" s="27">
        <f>SUM(BF249:BG249)</f>
        <v/>
      </c>
      <c r="BI249" s="28" t="n"/>
      <c r="BJ249" s="28" t="n"/>
      <c r="BK249" s="29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1" t="n"/>
      <c r="BM249" s="21" t="n"/>
      <c r="BN249" s="27">
        <f>SUM(BL249:BM249)</f>
        <v/>
      </c>
      <c r="BO249" s="28" t="n"/>
      <c r="BP249" s="31" t="n"/>
      <c r="BQ249" s="29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1" t="n"/>
      <c r="BS249" s="21" t="n"/>
      <c r="BT249" s="27">
        <f>SUM(BR249:BS249)</f>
        <v/>
      </c>
      <c r="BU249" s="28" t="n"/>
      <c r="BV249" s="31" t="n"/>
      <c r="BW249" s="29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1" t="n"/>
      <c r="BY249" s="21" t="n"/>
      <c r="BZ249" s="27">
        <f>SUM(BX249:BY249)</f>
        <v/>
      </c>
      <c r="CA249" s="28" t="n"/>
      <c r="CB249" s="31" t="n"/>
      <c r="CC249" s="29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1" t="n"/>
      <c r="CE249" s="21" t="n"/>
      <c r="CF249" s="27">
        <f>SUM(CD249:CE249)</f>
        <v/>
      </c>
      <c r="CG249" s="28" t="n"/>
      <c r="CH249" s="31" t="n"/>
      <c r="CI249" s="29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1" t="n"/>
      <c r="CK249" s="21" t="n"/>
      <c r="CL249" s="27">
        <f>SUM(CJ249:CK249)</f>
        <v/>
      </c>
      <c r="CM249" s="28" t="n"/>
      <c r="CN249" s="31" t="n"/>
      <c r="CO249" s="29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1" t="n"/>
      <c r="CQ249" s="21" t="n"/>
      <c r="CR249" s="27">
        <f>SUM(CP249:CQ249)</f>
        <v/>
      </c>
      <c r="CS249" s="28" t="n"/>
      <c r="CT249" s="31" t="n"/>
      <c r="CU249" s="29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1" t="n"/>
      <c r="CW249" s="21" t="n"/>
      <c r="CX249" s="27">
        <f>SUM(CV249:CW249)</f>
        <v/>
      </c>
      <c r="CY249" s="28" t="n"/>
      <c r="CZ249" s="31" t="n"/>
      <c r="DA249" s="29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1" t="n"/>
      <c r="DC249" s="21" t="n"/>
      <c r="DD249" s="27">
        <f>SUM(DB249:DC249)</f>
        <v/>
      </c>
      <c r="DE249" s="28" t="n"/>
      <c r="DF249" s="31" t="n"/>
      <c r="DG249" s="29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34">
        <f>SUM(O249,U249,AA249,AG249,AM249,AS249,AY249,BE249,BK249,BQ249,BW249,CC249,CI249,CO249,CU249,DA249,DG249)</f>
        <v/>
      </c>
      <c r="DI249" s="39">
        <f>RANK(DH249,DH$4:DH$503)</f>
        <v/>
      </c>
      <c r="DJ249" s="40" t="inlineStr">
        <is>
          <t>CHOOSE RATING</t>
        </is>
      </c>
      <c r="DK249" s="40" t="inlineStr">
        <is>
          <t>CHOOSE RATING</t>
        </is>
      </c>
      <c r="DL249" s="40" t="inlineStr">
        <is>
          <t>CHOOSE RATING</t>
        </is>
      </c>
      <c r="DM249" s="40" t="inlineStr">
        <is>
          <t>CHOOSE RATING</t>
        </is>
      </c>
      <c r="DN249" s="40" t="inlineStr">
        <is>
          <t>CHOOSE RATING</t>
        </is>
      </c>
      <c r="DO249" s="40" t="inlineStr">
        <is>
          <t>CHOOSE RATING</t>
        </is>
      </c>
      <c r="DP249" s="40" t="inlineStr">
        <is>
          <t>CHOOSE RATING</t>
        </is>
      </c>
      <c r="DQ249" s="40" t="inlineStr">
        <is>
          <t>CHOOSE RATING</t>
        </is>
      </c>
      <c r="DR249" s="43" t="inlineStr">
        <is>
          <t>2024/2025</t>
        </is>
      </c>
      <c r="DS249" s="45" t="inlineStr">
        <is>
          <t>THIRD</t>
        </is>
      </c>
      <c r="DT249" s="40" t="inlineStr">
        <is>
          <t>CHOOSE RATING</t>
        </is>
      </c>
      <c r="DU249" s="40" t="inlineStr">
        <is>
          <t>CHOOSE RATING</t>
        </is>
      </c>
      <c r="DV249" s="40" t="inlineStr">
        <is>
          <t>CHOOSE RATING</t>
        </is>
      </c>
      <c r="DW249" s="40" t="inlineStr">
        <is>
          <t>CHOOSE RATING</t>
        </is>
      </c>
      <c r="DX249" s="40" t="inlineStr">
        <is>
          <t>CHOOSE RATING</t>
        </is>
      </c>
      <c r="DY249" s="40" t="inlineStr">
        <is>
          <t>CHOOSE RATING</t>
        </is>
      </c>
      <c r="DZ249" s="53" t="inlineStr">
        <is>
          <t>CHOOSE RATING</t>
        </is>
      </c>
      <c r="EA249" s="54" t="inlineStr">
        <is>
          <t>Add the Tutor's Comment . . .</t>
        </is>
      </c>
      <c r="EB249" s="55" t="inlineStr">
        <is>
          <t>Choose Principals comment</t>
        </is>
      </c>
      <c r="EC249" s="56" t="n"/>
      <c r="ED249" s="57" t="inlineStr">
        <is>
          <t>Next Term Begins on Monday, 22nd September, 2025</t>
        </is>
      </c>
    </row>
    <row r="250" ht="30.6" customHeight="1" s="6">
      <c r="A250" s="18" t="n">
        <v>247</v>
      </c>
      <c r="B250" s="19" t="n"/>
      <c r="C250" s="20" t="n"/>
      <c r="D250" s="128" t="n"/>
      <c r="E250" s="21" t="n"/>
      <c r="F250" s="22" t="n"/>
      <c r="G250" s="22" t="n"/>
      <c r="H250" s="22" t="n"/>
      <c r="I250" s="26">
        <f>G250-H250</f>
        <v/>
      </c>
      <c r="J250" s="21" t="n"/>
      <c r="K250" s="21" t="n"/>
      <c r="L250" s="27">
        <f>SUM(J250:K250)</f>
        <v/>
      </c>
      <c r="M250" s="28" t="n"/>
      <c r="N250" s="28" t="n"/>
      <c r="O250" s="29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1" t="n"/>
      <c r="Q250" s="21" t="n"/>
      <c r="R250" s="27">
        <f>SUM(P250:Q250)</f>
        <v/>
      </c>
      <c r="S250" s="28" t="n"/>
      <c r="T250" s="28" t="n"/>
      <c r="U250" s="29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1" t="n"/>
      <c r="W250" s="21" t="n"/>
      <c r="X250" s="27">
        <f>SUM(V250:W250)</f>
        <v/>
      </c>
      <c r="Y250" s="28" t="n"/>
      <c r="Z250" s="28" t="n"/>
      <c r="AA250" s="29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1" t="n"/>
      <c r="AC250" s="21" t="n"/>
      <c r="AD250" s="27">
        <f>SUM(AB250:AC250)</f>
        <v/>
      </c>
      <c r="AE250" s="28" t="n"/>
      <c r="AF250" s="28" t="n"/>
      <c r="AG250" s="29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1" t="n"/>
      <c r="AI250" s="21" t="n"/>
      <c r="AJ250" s="27">
        <f>SUM(AH250:AI250)</f>
        <v/>
      </c>
      <c r="AK250" s="28" t="n"/>
      <c r="AL250" s="28" t="n"/>
      <c r="AM250" s="29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1" t="n"/>
      <c r="AO250" s="21" t="n"/>
      <c r="AP250" s="27">
        <f>SUM(AN250:AO250)</f>
        <v/>
      </c>
      <c r="AQ250" s="28" t="n"/>
      <c r="AR250" s="30" t="n"/>
      <c r="AS250" s="29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1" t="n"/>
      <c r="AU250" s="21" t="n"/>
      <c r="AV250" s="27">
        <f>SUM(AT250:AU250)</f>
        <v/>
      </c>
      <c r="AW250" s="28" t="n"/>
      <c r="AX250" s="30" t="n"/>
      <c r="AY250" s="29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1" t="n"/>
      <c r="BA250" s="21" t="n"/>
      <c r="BB250" s="27">
        <f>SUM(AZ250:BA250)</f>
        <v/>
      </c>
      <c r="BC250" s="28" t="n"/>
      <c r="BD250" s="28" t="n"/>
      <c r="BE250" s="29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1" t="n"/>
      <c r="BG250" s="21" t="n"/>
      <c r="BH250" s="27">
        <f>SUM(BF250:BG250)</f>
        <v/>
      </c>
      <c r="BI250" s="28" t="n"/>
      <c r="BJ250" s="28" t="n"/>
      <c r="BK250" s="29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1" t="n"/>
      <c r="BM250" s="21" t="n"/>
      <c r="BN250" s="27">
        <f>SUM(BL250:BM250)</f>
        <v/>
      </c>
      <c r="BO250" s="28" t="n"/>
      <c r="BP250" s="31" t="n"/>
      <c r="BQ250" s="29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1" t="n"/>
      <c r="BS250" s="21" t="n"/>
      <c r="BT250" s="27">
        <f>SUM(BR250:BS250)</f>
        <v/>
      </c>
      <c r="BU250" s="28" t="n"/>
      <c r="BV250" s="31" t="n"/>
      <c r="BW250" s="29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1" t="n"/>
      <c r="BY250" s="21" t="n"/>
      <c r="BZ250" s="27">
        <f>SUM(BX250:BY250)</f>
        <v/>
      </c>
      <c r="CA250" s="28" t="n"/>
      <c r="CB250" s="31" t="n"/>
      <c r="CC250" s="29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1" t="n"/>
      <c r="CE250" s="21" t="n"/>
      <c r="CF250" s="27">
        <f>SUM(CD250:CE250)</f>
        <v/>
      </c>
      <c r="CG250" s="28" t="n"/>
      <c r="CH250" s="31" t="n"/>
      <c r="CI250" s="29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1" t="n"/>
      <c r="CK250" s="21" t="n"/>
      <c r="CL250" s="27">
        <f>SUM(CJ250:CK250)</f>
        <v/>
      </c>
      <c r="CM250" s="28" t="n"/>
      <c r="CN250" s="31" t="n"/>
      <c r="CO250" s="29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1" t="n"/>
      <c r="CQ250" s="21" t="n"/>
      <c r="CR250" s="27">
        <f>SUM(CP250:CQ250)</f>
        <v/>
      </c>
      <c r="CS250" s="28" t="n"/>
      <c r="CT250" s="31" t="n"/>
      <c r="CU250" s="29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1" t="n"/>
      <c r="CW250" s="21" t="n"/>
      <c r="CX250" s="27">
        <f>SUM(CV250:CW250)</f>
        <v/>
      </c>
      <c r="CY250" s="28" t="n"/>
      <c r="CZ250" s="31" t="n"/>
      <c r="DA250" s="29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1" t="n"/>
      <c r="DC250" s="21" t="n"/>
      <c r="DD250" s="27">
        <f>SUM(DB250:DC250)</f>
        <v/>
      </c>
      <c r="DE250" s="28" t="n"/>
      <c r="DF250" s="31" t="n"/>
      <c r="DG250" s="29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34">
        <f>SUM(O250,U250,AA250,AG250,AM250,AS250,AY250,BE250,BK250,BQ250,BW250,CC250,CI250,CO250,CU250,DA250,DG250)</f>
        <v/>
      </c>
      <c r="DI250" s="39">
        <f>RANK(DH250,DH$4:DH$503)</f>
        <v/>
      </c>
      <c r="DJ250" s="40" t="inlineStr">
        <is>
          <t>CHOOSE RATING</t>
        </is>
      </c>
      <c r="DK250" s="40" t="inlineStr">
        <is>
          <t>CHOOSE RATING</t>
        </is>
      </c>
      <c r="DL250" s="40" t="inlineStr">
        <is>
          <t>CHOOSE RATING</t>
        </is>
      </c>
      <c r="DM250" s="40" t="inlineStr">
        <is>
          <t>CHOOSE RATING</t>
        </is>
      </c>
      <c r="DN250" s="40" t="inlineStr">
        <is>
          <t>CHOOSE RATING</t>
        </is>
      </c>
      <c r="DO250" s="40" t="inlineStr">
        <is>
          <t>CHOOSE RATING</t>
        </is>
      </c>
      <c r="DP250" s="40" t="inlineStr">
        <is>
          <t>CHOOSE RATING</t>
        </is>
      </c>
      <c r="DQ250" s="40" t="inlineStr">
        <is>
          <t>CHOOSE RATING</t>
        </is>
      </c>
      <c r="DR250" s="43" t="inlineStr">
        <is>
          <t>2024/2025</t>
        </is>
      </c>
      <c r="DS250" s="45" t="inlineStr">
        <is>
          <t>THIRD</t>
        </is>
      </c>
      <c r="DT250" s="40" t="inlineStr">
        <is>
          <t>CHOOSE RATING</t>
        </is>
      </c>
      <c r="DU250" s="40" t="inlineStr">
        <is>
          <t>CHOOSE RATING</t>
        </is>
      </c>
      <c r="DV250" s="40" t="inlineStr">
        <is>
          <t>CHOOSE RATING</t>
        </is>
      </c>
      <c r="DW250" s="40" t="inlineStr">
        <is>
          <t>CHOOSE RATING</t>
        </is>
      </c>
      <c r="DX250" s="40" t="inlineStr">
        <is>
          <t>CHOOSE RATING</t>
        </is>
      </c>
      <c r="DY250" s="40" t="inlineStr">
        <is>
          <t>CHOOSE RATING</t>
        </is>
      </c>
      <c r="DZ250" s="53" t="inlineStr">
        <is>
          <t>CHOOSE RATING</t>
        </is>
      </c>
      <c r="EA250" s="54" t="inlineStr">
        <is>
          <t>Add the Tutor's Comment . . .</t>
        </is>
      </c>
      <c r="EB250" s="55" t="inlineStr">
        <is>
          <t>Choose Principals comment</t>
        </is>
      </c>
      <c r="EC250" s="56" t="n"/>
      <c r="ED250" s="57" t="inlineStr">
        <is>
          <t>Next Term Begins on Monday, 22nd September, 2025</t>
        </is>
      </c>
    </row>
    <row r="251" ht="30.6" customHeight="1" s="6">
      <c r="A251" s="18" t="n">
        <v>248</v>
      </c>
      <c r="B251" s="19" t="n"/>
      <c r="C251" s="20" t="n"/>
      <c r="D251" s="128" t="n"/>
      <c r="E251" s="21" t="n"/>
      <c r="F251" s="22" t="n"/>
      <c r="G251" s="22" t="n"/>
      <c r="H251" s="22" t="n"/>
      <c r="I251" s="26">
        <f>G251-H251</f>
        <v/>
      </c>
      <c r="J251" s="21" t="n"/>
      <c r="K251" s="21" t="n"/>
      <c r="L251" s="27">
        <f>SUM(J251:K251)</f>
        <v/>
      </c>
      <c r="M251" s="28" t="n"/>
      <c r="N251" s="28" t="n"/>
      <c r="O251" s="29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1" t="n"/>
      <c r="Q251" s="21" t="n"/>
      <c r="R251" s="27">
        <f>SUM(P251:Q251)</f>
        <v/>
      </c>
      <c r="S251" s="28" t="n"/>
      <c r="T251" s="28" t="n"/>
      <c r="U251" s="29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1" t="n"/>
      <c r="W251" s="21" t="n"/>
      <c r="X251" s="27">
        <f>SUM(V251:W251)</f>
        <v/>
      </c>
      <c r="Y251" s="28" t="n"/>
      <c r="Z251" s="28" t="n"/>
      <c r="AA251" s="29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1" t="n"/>
      <c r="AC251" s="21" t="n"/>
      <c r="AD251" s="27">
        <f>SUM(AB251:AC251)</f>
        <v/>
      </c>
      <c r="AE251" s="28" t="n"/>
      <c r="AF251" s="28" t="n"/>
      <c r="AG251" s="29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1" t="n"/>
      <c r="AI251" s="21" t="n"/>
      <c r="AJ251" s="27">
        <f>SUM(AH251:AI251)</f>
        <v/>
      </c>
      <c r="AK251" s="28" t="n"/>
      <c r="AL251" s="28" t="n"/>
      <c r="AM251" s="29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1" t="n"/>
      <c r="AO251" s="21" t="n"/>
      <c r="AP251" s="27">
        <f>SUM(AN251:AO251)</f>
        <v/>
      </c>
      <c r="AQ251" s="28" t="n"/>
      <c r="AR251" s="30" t="n"/>
      <c r="AS251" s="29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1" t="n"/>
      <c r="AU251" s="21" t="n"/>
      <c r="AV251" s="27">
        <f>SUM(AT251:AU251)</f>
        <v/>
      </c>
      <c r="AW251" s="28" t="n"/>
      <c r="AX251" s="30" t="n"/>
      <c r="AY251" s="29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1" t="n"/>
      <c r="BA251" s="21" t="n"/>
      <c r="BB251" s="27">
        <f>SUM(AZ251:BA251)</f>
        <v/>
      </c>
      <c r="BC251" s="28" t="n"/>
      <c r="BD251" s="28" t="n"/>
      <c r="BE251" s="29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1" t="n"/>
      <c r="BG251" s="21" t="n"/>
      <c r="BH251" s="27">
        <f>SUM(BF251:BG251)</f>
        <v/>
      </c>
      <c r="BI251" s="28" t="n"/>
      <c r="BJ251" s="28" t="n"/>
      <c r="BK251" s="29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1" t="n"/>
      <c r="BM251" s="21" t="n"/>
      <c r="BN251" s="27">
        <f>SUM(BL251:BM251)</f>
        <v/>
      </c>
      <c r="BO251" s="28" t="n"/>
      <c r="BP251" s="31" t="n"/>
      <c r="BQ251" s="29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1" t="n"/>
      <c r="BS251" s="21" t="n"/>
      <c r="BT251" s="27">
        <f>SUM(BR251:BS251)</f>
        <v/>
      </c>
      <c r="BU251" s="28" t="n"/>
      <c r="BV251" s="31" t="n"/>
      <c r="BW251" s="29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1" t="n"/>
      <c r="BY251" s="21" t="n"/>
      <c r="BZ251" s="27">
        <f>SUM(BX251:BY251)</f>
        <v/>
      </c>
      <c r="CA251" s="28" t="n"/>
      <c r="CB251" s="31" t="n"/>
      <c r="CC251" s="29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1" t="n"/>
      <c r="CE251" s="21" t="n"/>
      <c r="CF251" s="27">
        <f>SUM(CD251:CE251)</f>
        <v/>
      </c>
      <c r="CG251" s="28" t="n"/>
      <c r="CH251" s="31" t="n"/>
      <c r="CI251" s="29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1" t="n"/>
      <c r="CK251" s="21" t="n"/>
      <c r="CL251" s="27">
        <f>SUM(CJ251:CK251)</f>
        <v/>
      </c>
      <c r="CM251" s="28" t="n"/>
      <c r="CN251" s="31" t="n"/>
      <c r="CO251" s="29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1" t="n"/>
      <c r="CQ251" s="21" t="n"/>
      <c r="CR251" s="27">
        <f>SUM(CP251:CQ251)</f>
        <v/>
      </c>
      <c r="CS251" s="28" t="n"/>
      <c r="CT251" s="31" t="n"/>
      <c r="CU251" s="29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1" t="n"/>
      <c r="CW251" s="21" t="n"/>
      <c r="CX251" s="27">
        <f>SUM(CV251:CW251)</f>
        <v/>
      </c>
      <c r="CY251" s="28" t="n"/>
      <c r="CZ251" s="31" t="n"/>
      <c r="DA251" s="29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1" t="n"/>
      <c r="DC251" s="21" t="n"/>
      <c r="DD251" s="27">
        <f>SUM(DB251:DC251)</f>
        <v/>
      </c>
      <c r="DE251" s="28" t="n"/>
      <c r="DF251" s="31" t="n"/>
      <c r="DG251" s="29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34">
        <f>SUM(O251,U251,AA251,AG251,AM251,AS251,AY251,BE251,BK251,BQ251,BW251,CC251,CI251,CO251,CU251,DA251,DG251)</f>
        <v/>
      </c>
      <c r="DI251" s="39">
        <f>RANK(DH251,DH$4:DH$503)</f>
        <v/>
      </c>
      <c r="DJ251" s="40" t="inlineStr">
        <is>
          <t>CHOOSE RATING</t>
        </is>
      </c>
      <c r="DK251" s="40" t="inlineStr">
        <is>
          <t>CHOOSE RATING</t>
        </is>
      </c>
      <c r="DL251" s="40" t="inlineStr">
        <is>
          <t>CHOOSE RATING</t>
        </is>
      </c>
      <c r="DM251" s="40" t="inlineStr">
        <is>
          <t>CHOOSE RATING</t>
        </is>
      </c>
      <c r="DN251" s="40" t="inlineStr">
        <is>
          <t>CHOOSE RATING</t>
        </is>
      </c>
      <c r="DO251" s="40" t="inlineStr">
        <is>
          <t>CHOOSE RATING</t>
        </is>
      </c>
      <c r="DP251" s="40" t="inlineStr">
        <is>
          <t>CHOOSE RATING</t>
        </is>
      </c>
      <c r="DQ251" s="40" t="inlineStr">
        <is>
          <t>CHOOSE RATING</t>
        </is>
      </c>
      <c r="DR251" s="43" t="inlineStr">
        <is>
          <t>2024/2025</t>
        </is>
      </c>
      <c r="DS251" s="45" t="inlineStr">
        <is>
          <t>THIRD</t>
        </is>
      </c>
      <c r="DT251" s="40" t="inlineStr">
        <is>
          <t>CHOOSE RATING</t>
        </is>
      </c>
      <c r="DU251" s="40" t="inlineStr">
        <is>
          <t>CHOOSE RATING</t>
        </is>
      </c>
      <c r="DV251" s="40" t="inlineStr">
        <is>
          <t>CHOOSE RATING</t>
        </is>
      </c>
      <c r="DW251" s="40" t="inlineStr">
        <is>
          <t>CHOOSE RATING</t>
        </is>
      </c>
      <c r="DX251" s="40" t="inlineStr">
        <is>
          <t>CHOOSE RATING</t>
        </is>
      </c>
      <c r="DY251" s="40" t="inlineStr">
        <is>
          <t>CHOOSE RATING</t>
        </is>
      </c>
      <c r="DZ251" s="53" t="inlineStr">
        <is>
          <t>CHOOSE RATING</t>
        </is>
      </c>
      <c r="EA251" s="54" t="inlineStr">
        <is>
          <t>Add the Tutor's Comment . . .</t>
        </is>
      </c>
      <c r="EB251" s="55" t="inlineStr">
        <is>
          <t>Choose Principals comment</t>
        </is>
      </c>
      <c r="EC251" s="56" t="n"/>
      <c r="ED251" s="57" t="inlineStr">
        <is>
          <t>Next Term Begins on Monday, 22nd September, 2025</t>
        </is>
      </c>
    </row>
    <row r="252" ht="30.6" customHeight="1" s="6">
      <c r="A252" s="18" t="n">
        <v>249</v>
      </c>
      <c r="B252" s="19" t="n"/>
      <c r="C252" s="20" t="n"/>
      <c r="D252" s="128" t="n"/>
      <c r="E252" s="21" t="n"/>
      <c r="F252" s="22" t="n"/>
      <c r="G252" s="22" t="n"/>
      <c r="H252" s="22" t="n"/>
      <c r="I252" s="26">
        <f>G252-H252</f>
        <v/>
      </c>
      <c r="J252" s="21" t="n"/>
      <c r="K252" s="21" t="n"/>
      <c r="L252" s="27">
        <f>SUM(J252:K252)</f>
        <v/>
      </c>
      <c r="M252" s="28" t="n"/>
      <c r="N252" s="28" t="n"/>
      <c r="O252" s="29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1" t="n"/>
      <c r="Q252" s="21" t="n"/>
      <c r="R252" s="27">
        <f>SUM(P252:Q252)</f>
        <v/>
      </c>
      <c r="S252" s="28" t="n"/>
      <c r="T252" s="28" t="n"/>
      <c r="U252" s="29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1" t="n"/>
      <c r="W252" s="21" t="n"/>
      <c r="X252" s="27">
        <f>SUM(V252:W252)</f>
        <v/>
      </c>
      <c r="Y252" s="28" t="n"/>
      <c r="Z252" s="28" t="n"/>
      <c r="AA252" s="29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1" t="n"/>
      <c r="AC252" s="21" t="n"/>
      <c r="AD252" s="27">
        <f>SUM(AB252:AC252)</f>
        <v/>
      </c>
      <c r="AE252" s="28" t="n"/>
      <c r="AF252" s="28" t="n"/>
      <c r="AG252" s="29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1" t="n"/>
      <c r="AI252" s="21" t="n"/>
      <c r="AJ252" s="27">
        <f>SUM(AH252:AI252)</f>
        <v/>
      </c>
      <c r="AK252" s="28" t="n"/>
      <c r="AL252" s="28" t="n"/>
      <c r="AM252" s="29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1" t="n"/>
      <c r="AO252" s="21" t="n"/>
      <c r="AP252" s="27">
        <f>SUM(AN252:AO252)</f>
        <v/>
      </c>
      <c r="AQ252" s="28" t="n"/>
      <c r="AR252" s="30" t="n"/>
      <c r="AS252" s="29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1" t="n"/>
      <c r="AU252" s="21" t="n"/>
      <c r="AV252" s="27">
        <f>SUM(AT252:AU252)</f>
        <v/>
      </c>
      <c r="AW252" s="28" t="n"/>
      <c r="AX252" s="30" t="n"/>
      <c r="AY252" s="29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1" t="n"/>
      <c r="BA252" s="21" t="n"/>
      <c r="BB252" s="27">
        <f>SUM(AZ252:BA252)</f>
        <v/>
      </c>
      <c r="BC252" s="28" t="n"/>
      <c r="BD252" s="28" t="n"/>
      <c r="BE252" s="29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1" t="n"/>
      <c r="BG252" s="21" t="n"/>
      <c r="BH252" s="27">
        <f>SUM(BF252:BG252)</f>
        <v/>
      </c>
      <c r="BI252" s="28" t="n"/>
      <c r="BJ252" s="28" t="n"/>
      <c r="BK252" s="29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1" t="n"/>
      <c r="BM252" s="21" t="n"/>
      <c r="BN252" s="27">
        <f>SUM(BL252:BM252)</f>
        <v/>
      </c>
      <c r="BO252" s="28" t="n"/>
      <c r="BP252" s="31" t="n"/>
      <c r="BQ252" s="29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1" t="n"/>
      <c r="BS252" s="21" t="n"/>
      <c r="BT252" s="27">
        <f>SUM(BR252:BS252)</f>
        <v/>
      </c>
      <c r="BU252" s="28" t="n"/>
      <c r="BV252" s="31" t="n"/>
      <c r="BW252" s="29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1" t="n"/>
      <c r="BY252" s="21" t="n"/>
      <c r="BZ252" s="27">
        <f>SUM(BX252:BY252)</f>
        <v/>
      </c>
      <c r="CA252" s="28" t="n"/>
      <c r="CB252" s="31" t="n"/>
      <c r="CC252" s="29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1" t="n"/>
      <c r="CE252" s="21" t="n"/>
      <c r="CF252" s="27">
        <f>SUM(CD252:CE252)</f>
        <v/>
      </c>
      <c r="CG252" s="28" t="n"/>
      <c r="CH252" s="31" t="n"/>
      <c r="CI252" s="29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1" t="n"/>
      <c r="CK252" s="21" t="n"/>
      <c r="CL252" s="27">
        <f>SUM(CJ252:CK252)</f>
        <v/>
      </c>
      <c r="CM252" s="28" t="n"/>
      <c r="CN252" s="31" t="n"/>
      <c r="CO252" s="29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1" t="n"/>
      <c r="CQ252" s="21" t="n"/>
      <c r="CR252" s="27">
        <f>SUM(CP252:CQ252)</f>
        <v/>
      </c>
      <c r="CS252" s="28" t="n"/>
      <c r="CT252" s="31" t="n"/>
      <c r="CU252" s="29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1" t="n"/>
      <c r="CW252" s="21" t="n"/>
      <c r="CX252" s="27">
        <f>SUM(CV252:CW252)</f>
        <v/>
      </c>
      <c r="CY252" s="28" t="n"/>
      <c r="CZ252" s="31" t="n"/>
      <c r="DA252" s="29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1" t="n"/>
      <c r="DC252" s="21" t="n"/>
      <c r="DD252" s="27">
        <f>SUM(DB252:DC252)</f>
        <v/>
      </c>
      <c r="DE252" s="28" t="n"/>
      <c r="DF252" s="31" t="n"/>
      <c r="DG252" s="29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34">
        <f>SUM(O252,U252,AA252,AG252,AM252,AS252,AY252,BE252,BK252,BQ252,BW252,CC252,CI252,CO252,CU252,DA252,DG252)</f>
        <v/>
      </c>
      <c r="DI252" s="39">
        <f>RANK(DH252,DH$4:DH$503)</f>
        <v/>
      </c>
      <c r="DJ252" s="40" t="inlineStr">
        <is>
          <t>CHOOSE RATING</t>
        </is>
      </c>
      <c r="DK252" s="40" t="inlineStr">
        <is>
          <t>CHOOSE RATING</t>
        </is>
      </c>
      <c r="DL252" s="40" t="inlineStr">
        <is>
          <t>CHOOSE RATING</t>
        </is>
      </c>
      <c r="DM252" s="40" t="inlineStr">
        <is>
          <t>CHOOSE RATING</t>
        </is>
      </c>
      <c r="DN252" s="40" t="inlineStr">
        <is>
          <t>CHOOSE RATING</t>
        </is>
      </c>
      <c r="DO252" s="40" t="inlineStr">
        <is>
          <t>CHOOSE RATING</t>
        </is>
      </c>
      <c r="DP252" s="40" t="inlineStr">
        <is>
          <t>CHOOSE RATING</t>
        </is>
      </c>
      <c r="DQ252" s="40" t="inlineStr">
        <is>
          <t>CHOOSE RATING</t>
        </is>
      </c>
      <c r="DR252" s="43" t="inlineStr">
        <is>
          <t>2024/2025</t>
        </is>
      </c>
      <c r="DS252" s="45" t="inlineStr">
        <is>
          <t>THIRD</t>
        </is>
      </c>
      <c r="DT252" s="40" t="inlineStr">
        <is>
          <t>CHOOSE RATING</t>
        </is>
      </c>
      <c r="DU252" s="40" t="inlineStr">
        <is>
          <t>CHOOSE RATING</t>
        </is>
      </c>
      <c r="DV252" s="40" t="inlineStr">
        <is>
          <t>CHOOSE RATING</t>
        </is>
      </c>
      <c r="DW252" s="40" t="inlineStr">
        <is>
          <t>CHOOSE RATING</t>
        </is>
      </c>
      <c r="DX252" s="40" t="inlineStr">
        <is>
          <t>CHOOSE RATING</t>
        </is>
      </c>
      <c r="DY252" s="40" t="inlineStr">
        <is>
          <t>CHOOSE RATING</t>
        </is>
      </c>
      <c r="DZ252" s="53" t="inlineStr">
        <is>
          <t>CHOOSE RATING</t>
        </is>
      </c>
      <c r="EA252" s="54" t="inlineStr">
        <is>
          <t>Add the Tutor's Comment . . .</t>
        </is>
      </c>
      <c r="EB252" s="55" t="inlineStr">
        <is>
          <t>Choose Principals comment</t>
        </is>
      </c>
      <c r="EC252" s="56" t="n"/>
      <c r="ED252" s="57" t="inlineStr">
        <is>
          <t>Next Term Begins on Monday, 22nd September, 2025</t>
        </is>
      </c>
    </row>
    <row r="253" ht="30.6" customHeight="1" s="6">
      <c r="A253" s="18" t="n">
        <v>250</v>
      </c>
      <c r="B253" s="19" t="n"/>
      <c r="C253" s="20" t="n"/>
      <c r="D253" s="128" t="n"/>
      <c r="E253" s="21" t="n"/>
      <c r="F253" s="22" t="n"/>
      <c r="G253" s="22" t="n"/>
      <c r="H253" s="22" t="n"/>
      <c r="I253" s="26">
        <f>G253-H253</f>
        <v/>
      </c>
      <c r="J253" s="21" t="n"/>
      <c r="K253" s="21" t="n"/>
      <c r="L253" s="27">
        <f>SUM(J253:K253)</f>
        <v/>
      </c>
      <c r="M253" s="28" t="n"/>
      <c r="N253" s="28" t="n"/>
      <c r="O253" s="29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1" t="n"/>
      <c r="Q253" s="21" t="n"/>
      <c r="R253" s="27">
        <f>SUM(P253:Q253)</f>
        <v/>
      </c>
      <c r="S253" s="28" t="n"/>
      <c r="T253" s="28" t="n"/>
      <c r="U253" s="29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1" t="n"/>
      <c r="W253" s="21" t="n"/>
      <c r="X253" s="27">
        <f>SUM(V253:W253)</f>
        <v/>
      </c>
      <c r="Y253" s="28" t="n"/>
      <c r="Z253" s="28" t="n"/>
      <c r="AA253" s="29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1" t="n"/>
      <c r="AC253" s="21" t="n"/>
      <c r="AD253" s="27">
        <f>SUM(AB253:AC253)</f>
        <v/>
      </c>
      <c r="AE253" s="28" t="n"/>
      <c r="AF253" s="28" t="n"/>
      <c r="AG253" s="29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1" t="n"/>
      <c r="AI253" s="21" t="n"/>
      <c r="AJ253" s="27">
        <f>SUM(AH253:AI253)</f>
        <v/>
      </c>
      <c r="AK253" s="28" t="n"/>
      <c r="AL253" s="28" t="n"/>
      <c r="AM253" s="29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1" t="n"/>
      <c r="AO253" s="21" t="n"/>
      <c r="AP253" s="27">
        <f>SUM(AN253:AO253)</f>
        <v/>
      </c>
      <c r="AQ253" s="28" t="n"/>
      <c r="AR253" s="30" t="n"/>
      <c r="AS253" s="29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1" t="n"/>
      <c r="AU253" s="21" t="n"/>
      <c r="AV253" s="27">
        <f>SUM(AT253:AU253)</f>
        <v/>
      </c>
      <c r="AW253" s="28" t="n"/>
      <c r="AX253" s="30" t="n"/>
      <c r="AY253" s="29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1" t="n"/>
      <c r="BA253" s="21" t="n"/>
      <c r="BB253" s="27">
        <f>SUM(AZ253:BA253)</f>
        <v/>
      </c>
      <c r="BC253" s="28" t="n"/>
      <c r="BD253" s="28" t="n"/>
      <c r="BE253" s="29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1" t="n"/>
      <c r="BG253" s="21" t="n"/>
      <c r="BH253" s="27">
        <f>SUM(BF253:BG253)</f>
        <v/>
      </c>
      <c r="BI253" s="28" t="n"/>
      <c r="BJ253" s="28" t="n"/>
      <c r="BK253" s="29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1" t="n"/>
      <c r="BM253" s="21" t="n"/>
      <c r="BN253" s="27">
        <f>SUM(BL253:BM253)</f>
        <v/>
      </c>
      <c r="BO253" s="28" t="n"/>
      <c r="BP253" s="31" t="n"/>
      <c r="BQ253" s="29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1" t="n"/>
      <c r="BS253" s="21" t="n"/>
      <c r="BT253" s="27">
        <f>SUM(BR253:BS253)</f>
        <v/>
      </c>
      <c r="BU253" s="28" t="n"/>
      <c r="BV253" s="31" t="n"/>
      <c r="BW253" s="29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1" t="n"/>
      <c r="BY253" s="21" t="n"/>
      <c r="BZ253" s="27">
        <f>SUM(BX253:BY253)</f>
        <v/>
      </c>
      <c r="CA253" s="28" t="n"/>
      <c r="CB253" s="31" t="n"/>
      <c r="CC253" s="29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1" t="n"/>
      <c r="CE253" s="21" t="n"/>
      <c r="CF253" s="27">
        <f>SUM(CD253:CE253)</f>
        <v/>
      </c>
      <c r="CG253" s="28" t="n"/>
      <c r="CH253" s="31" t="n"/>
      <c r="CI253" s="29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1" t="n"/>
      <c r="CK253" s="21" t="n"/>
      <c r="CL253" s="27">
        <f>SUM(CJ253:CK253)</f>
        <v/>
      </c>
      <c r="CM253" s="28" t="n"/>
      <c r="CN253" s="31" t="n"/>
      <c r="CO253" s="29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1" t="n"/>
      <c r="CQ253" s="21" t="n"/>
      <c r="CR253" s="27">
        <f>SUM(CP253:CQ253)</f>
        <v/>
      </c>
      <c r="CS253" s="28" t="n"/>
      <c r="CT253" s="31" t="n"/>
      <c r="CU253" s="29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1" t="n"/>
      <c r="CW253" s="21" t="n"/>
      <c r="CX253" s="27">
        <f>SUM(CV253:CW253)</f>
        <v/>
      </c>
      <c r="CY253" s="28" t="n"/>
      <c r="CZ253" s="31" t="n"/>
      <c r="DA253" s="29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1" t="n"/>
      <c r="DC253" s="21" t="n"/>
      <c r="DD253" s="27">
        <f>SUM(DB253:DC253)</f>
        <v/>
      </c>
      <c r="DE253" s="28" t="n"/>
      <c r="DF253" s="31" t="n"/>
      <c r="DG253" s="29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34">
        <f>SUM(O253,U253,AA253,AG253,AM253,AS253,AY253,BE253,BK253,BQ253,BW253,CC253,CI253,CO253,CU253,DA253,DG253)</f>
        <v/>
      </c>
      <c r="DI253" s="39">
        <f>RANK(DH253,DH$4:DH$503)</f>
        <v/>
      </c>
      <c r="DJ253" s="40" t="inlineStr">
        <is>
          <t>CHOOSE RATING</t>
        </is>
      </c>
      <c r="DK253" s="40" t="inlineStr">
        <is>
          <t>CHOOSE RATING</t>
        </is>
      </c>
      <c r="DL253" s="40" t="inlineStr">
        <is>
          <t>CHOOSE RATING</t>
        </is>
      </c>
      <c r="DM253" s="40" t="inlineStr">
        <is>
          <t>CHOOSE RATING</t>
        </is>
      </c>
      <c r="DN253" s="40" t="inlineStr">
        <is>
          <t>CHOOSE RATING</t>
        </is>
      </c>
      <c r="DO253" s="40" t="inlineStr">
        <is>
          <t>CHOOSE RATING</t>
        </is>
      </c>
      <c r="DP253" s="40" t="inlineStr">
        <is>
          <t>CHOOSE RATING</t>
        </is>
      </c>
      <c r="DQ253" s="40" t="inlineStr">
        <is>
          <t>CHOOSE RATING</t>
        </is>
      </c>
      <c r="DR253" s="43" t="inlineStr">
        <is>
          <t>2024/2025</t>
        </is>
      </c>
      <c r="DS253" s="45" t="inlineStr">
        <is>
          <t>THIRD</t>
        </is>
      </c>
      <c r="DT253" s="40" t="inlineStr">
        <is>
          <t>CHOOSE RATING</t>
        </is>
      </c>
      <c r="DU253" s="40" t="inlineStr">
        <is>
          <t>CHOOSE RATING</t>
        </is>
      </c>
      <c r="DV253" s="40" t="inlineStr">
        <is>
          <t>CHOOSE RATING</t>
        </is>
      </c>
      <c r="DW253" s="40" t="inlineStr">
        <is>
          <t>CHOOSE RATING</t>
        </is>
      </c>
      <c r="DX253" s="40" t="inlineStr">
        <is>
          <t>CHOOSE RATING</t>
        </is>
      </c>
      <c r="DY253" s="40" t="inlineStr">
        <is>
          <t>CHOOSE RATING</t>
        </is>
      </c>
      <c r="DZ253" s="53" t="inlineStr">
        <is>
          <t>CHOOSE RATING</t>
        </is>
      </c>
      <c r="EA253" s="54" t="inlineStr">
        <is>
          <t>Add the Tutor's Comment . . .</t>
        </is>
      </c>
      <c r="EB253" s="55" t="inlineStr">
        <is>
          <t>Choose Principals comment</t>
        </is>
      </c>
      <c r="EC253" s="56" t="n"/>
      <c r="ED253" s="57" t="inlineStr">
        <is>
          <t>Next Term Begins on Monday, 22nd September, 2025</t>
        </is>
      </c>
    </row>
    <row r="254" ht="30.6" customHeight="1" s="6">
      <c r="A254" s="18" t="n">
        <v>251</v>
      </c>
      <c r="B254" s="19" t="n"/>
      <c r="C254" s="20" t="n"/>
      <c r="D254" s="128" t="n"/>
      <c r="E254" s="21" t="n"/>
      <c r="F254" s="22" t="n"/>
      <c r="G254" s="22" t="n"/>
      <c r="H254" s="22" t="n"/>
      <c r="I254" s="26">
        <f>G254-H254</f>
        <v/>
      </c>
      <c r="J254" s="21" t="n"/>
      <c r="K254" s="21" t="n"/>
      <c r="L254" s="27">
        <f>SUM(J254:K254)</f>
        <v/>
      </c>
      <c r="M254" s="28" t="n"/>
      <c r="N254" s="28" t="n"/>
      <c r="O254" s="29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1" t="n"/>
      <c r="Q254" s="21" t="n"/>
      <c r="R254" s="27">
        <f>SUM(P254:Q254)</f>
        <v/>
      </c>
      <c r="S254" s="28" t="n"/>
      <c r="T254" s="28" t="n"/>
      <c r="U254" s="29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1" t="n"/>
      <c r="W254" s="21" t="n"/>
      <c r="X254" s="27">
        <f>SUM(V254:W254)</f>
        <v/>
      </c>
      <c r="Y254" s="28" t="n"/>
      <c r="Z254" s="28" t="n"/>
      <c r="AA254" s="29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1" t="n"/>
      <c r="AC254" s="21" t="n"/>
      <c r="AD254" s="27">
        <f>SUM(AB254:AC254)</f>
        <v/>
      </c>
      <c r="AE254" s="28" t="n"/>
      <c r="AF254" s="28" t="n"/>
      <c r="AG254" s="29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1" t="n"/>
      <c r="AI254" s="21" t="n"/>
      <c r="AJ254" s="27">
        <f>SUM(AH254:AI254)</f>
        <v/>
      </c>
      <c r="AK254" s="28" t="n"/>
      <c r="AL254" s="28" t="n"/>
      <c r="AM254" s="29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1" t="n"/>
      <c r="AO254" s="21" t="n"/>
      <c r="AP254" s="27">
        <f>SUM(AN254:AO254)</f>
        <v/>
      </c>
      <c r="AQ254" s="28" t="n"/>
      <c r="AR254" s="30" t="n"/>
      <c r="AS254" s="29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1" t="n"/>
      <c r="AU254" s="21" t="n"/>
      <c r="AV254" s="27">
        <f>SUM(AT254:AU254)</f>
        <v/>
      </c>
      <c r="AW254" s="28" t="n"/>
      <c r="AX254" s="30" t="n"/>
      <c r="AY254" s="29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1" t="n"/>
      <c r="BA254" s="21" t="n"/>
      <c r="BB254" s="27">
        <f>SUM(AZ254:BA254)</f>
        <v/>
      </c>
      <c r="BC254" s="28" t="n"/>
      <c r="BD254" s="28" t="n"/>
      <c r="BE254" s="29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1" t="n"/>
      <c r="BG254" s="21" t="n"/>
      <c r="BH254" s="27">
        <f>SUM(BF254:BG254)</f>
        <v/>
      </c>
      <c r="BI254" s="28" t="n"/>
      <c r="BJ254" s="28" t="n"/>
      <c r="BK254" s="29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1" t="n"/>
      <c r="BM254" s="21" t="n"/>
      <c r="BN254" s="27">
        <f>SUM(BL254:BM254)</f>
        <v/>
      </c>
      <c r="BO254" s="28" t="n"/>
      <c r="BP254" s="31" t="n"/>
      <c r="BQ254" s="29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1" t="n"/>
      <c r="BS254" s="21" t="n"/>
      <c r="BT254" s="27">
        <f>SUM(BR254:BS254)</f>
        <v/>
      </c>
      <c r="BU254" s="28" t="n"/>
      <c r="BV254" s="31" t="n"/>
      <c r="BW254" s="29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1" t="n"/>
      <c r="BY254" s="21" t="n"/>
      <c r="BZ254" s="27">
        <f>SUM(BX254:BY254)</f>
        <v/>
      </c>
      <c r="CA254" s="28" t="n"/>
      <c r="CB254" s="31" t="n"/>
      <c r="CC254" s="29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1" t="n"/>
      <c r="CE254" s="21" t="n"/>
      <c r="CF254" s="27">
        <f>SUM(CD254:CE254)</f>
        <v/>
      </c>
      <c r="CG254" s="28" t="n"/>
      <c r="CH254" s="31" t="n"/>
      <c r="CI254" s="29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1" t="n"/>
      <c r="CK254" s="21" t="n"/>
      <c r="CL254" s="27">
        <f>SUM(CJ254:CK254)</f>
        <v/>
      </c>
      <c r="CM254" s="28" t="n"/>
      <c r="CN254" s="31" t="n"/>
      <c r="CO254" s="29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1" t="n"/>
      <c r="CQ254" s="21" t="n"/>
      <c r="CR254" s="27">
        <f>SUM(CP254:CQ254)</f>
        <v/>
      </c>
      <c r="CS254" s="28" t="n"/>
      <c r="CT254" s="31" t="n"/>
      <c r="CU254" s="29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1" t="n"/>
      <c r="CW254" s="21" t="n"/>
      <c r="CX254" s="27">
        <f>SUM(CV254:CW254)</f>
        <v/>
      </c>
      <c r="CY254" s="28" t="n"/>
      <c r="CZ254" s="31" t="n"/>
      <c r="DA254" s="29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1" t="n"/>
      <c r="DC254" s="21" t="n"/>
      <c r="DD254" s="27">
        <f>SUM(DB254:DC254)</f>
        <v/>
      </c>
      <c r="DE254" s="28" t="n"/>
      <c r="DF254" s="31" t="n"/>
      <c r="DG254" s="29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34">
        <f>SUM(O254,U254,AA254,AG254,AM254,AS254,AY254,BE254,BK254,BQ254,BW254,CC254,CI254,CO254,CU254,DA254,DG254)</f>
        <v/>
      </c>
      <c r="DI254" s="39">
        <f>RANK(DH254,DH$4:DH$503)</f>
        <v/>
      </c>
      <c r="DJ254" s="40" t="inlineStr">
        <is>
          <t>CHOOSE RATING</t>
        </is>
      </c>
      <c r="DK254" s="40" t="inlineStr">
        <is>
          <t>CHOOSE RATING</t>
        </is>
      </c>
      <c r="DL254" s="40" t="inlineStr">
        <is>
          <t>CHOOSE RATING</t>
        </is>
      </c>
      <c r="DM254" s="40" t="inlineStr">
        <is>
          <t>CHOOSE RATING</t>
        </is>
      </c>
      <c r="DN254" s="40" t="inlineStr">
        <is>
          <t>CHOOSE RATING</t>
        </is>
      </c>
      <c r="DO254" s="40" t="inlineStr">
        <is>
          <t>CHOOSE RATING</t>
        </is>
      </c>
      <c r="DP254" s="40" t="inlineStr">
        <is>
          <t>CHOOSE RATING</t>
        </is>
      </c>
      <c r="DQ254" s="40" t="inlineStr">
        <is>
          <t>CHOOSE RATING</t>
        </is>
      </c>
      <c r="DR254" s="43" t="inlineStr">
        <is>
          <t>2024/2025</t>
        </is>
      </c>
      <c r="DS254" s="45" t="inlineStr">
        <is>
          <t>THIRD</t>
        </is>
      </c>
      <c r="DT254" s="40" t="inlineStr">
        <is>
          <t>CHOOSE RATING</t>
        </is>
      </c>
      <c r="DU254" s="40" t="inlineStr">
        <is>
          <t>CHOOSE RATING</t>
        </is>
      </c>
      <c r="DV254" s="40" t="inlineStr">
        <is>
          <t>CHOOSE RATING</t>
        </is>
      </c>
      <c r="DW254" s="40" t="inlineStr">
        <is>
          <t>CHOOSE RATING</t>
        </is>
      </c>
      <c r="DX254" s="40" t="inlineStr">
        <is>
          <t>CHOOSE RATING</t>
        </is>
      </c>
      <c r="DY254" s="40" t="inlineStr">
        <is>
          <t>CHOOSE RATING</t>
        </is>
      </c>
      <c r="DZ254" s="53" t="inlineStr">
        <is>
          <t>CHOOSE RATING</t>
        </is>
      </c>
      <c r="EA254" s="54" t="inlineStr">
        <is>
          <t>Add the Tutor's Comment . . .</t>
        </is>
      </c>
      <c r="EB254" s="55" t="inlineStr">
        <is>
          <t>Choose Principals comment</t>
        </is>
      </c>
      <c r="EC254" s="56" t="n"/>
      <c r="ED254" s="57" t="inlineStr">
        <is>
          <t>Next Term Begins on Monday, 22nd September, 2025</t>
        </is>
      </c>
    </row>
    <row r="255" ht="30.6" customHeight="1" s="6">
      <c r="A255" s="18" t="n">
        <v>252</v>
      </c>
      <c r="B255" s="19" t="n"/>
      <c r="C255" s="20" t="n"/>
      <c r="D255" s="128" t="n"/>
      <c r="E255" s="21" t="n"/>
      <c r="F255" s="22" t="n"/>
      <c r="G255" s="22" t="n"/>
      <c r="H255" s="22" t="n"/>
      <c r="I255" s="26">
        <f>G255-H255</f>
        <v/>
      </c>
      <c r="J255" s="21" t="n"/>
      <c r="K255" s="21" t="n"/>
      <c r="L255" s="27">
        <f>SUM(J255:K255)</f>
        <v/>
      </c>
      <c r="M255" s="28" t="n"/>
      <c r="N255" s="28" t="n"/>
      <c r="O255" s="29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1" t="n"/>
      <c r="Q255" s="21" t="n"/>
      <c r="R255" s="27">
        <f>SUM(P255:Q255)</f>
        <v/>
      </c>
      <c r="S255" s="28" t="n"/>
      <c r="T255" s="28" t="n"/>
      <c r="U255" s="29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1" t="n"/>
      <c r="W255" s="21" t="n"/>
      <c r="X255" s="27">
        <f>SUM(V255:W255)</f>
        <v/>
      </c>
      <c r="Y255" s="28" t="n"/>
      <c r="Z255" s="28" t="n"/>
      <c r="AA255" s="29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1" t="n"/>
      <c r="AC255" s="21" t="n"/>
      <c r="AD255" s="27">
        <f>SUM(AB255:AC255)</f>
        <v/>
      </c>
      <c r="AE255" s="28" t="n"/>
      <c r="AF255" s="28" t="n"/>
      <c r="AG255" s="29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1" t="n"/>
      <c r="AI255" s="21" t="n"/>
      <c r="AJ255" s="27">
        <f>SUM(AH255:AI255)</f>
        <v/>
      </c>
      <c r="AK255" s="28" t="n"/>
      <c r="AL255" s="28" t="n"/>
      <c r="AM255" s="29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1" t="n"/>
      <c r="AO255" s="21" t="n"/>
      <c r="AP255" s="27">
        <f>SUM(AN255:AO255)</f>
        <v/>
      </c>
      <c r="AQ255" s="28" t="n"/>
      <c r="AR255" s="30" t="n"/>
      <c r="AS255" s="29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1" t="n"/>
      <c r="AU255" s="21" t="n"/>
      <c r="AV255" s="27">
        <f>SUM(AT255:AU255)</f>
        <v/>
      </c>
      <c r="AW255" s="28" t="n"/>
      <c r="AX255" s="30" t="n"/>
      <c r="AY255" s="29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1" t="n"/>
      <c r="BA255" s="21" t="n"/>
      <c r="BB255" s="27">
        <f>SUM(AZ255:BA255)</f>
        <v/>
      </c>
      <c r="BC255" s="28" t="n"/>
      <c r="BD255" s="28" t="n"/>
      <c r="BE255" s="29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1" t="n"/>
      <c r="BG255" s="21" t="n"/>
      <c r="BH255" s="27">
        <f>SUM(BF255:BG255)</f>
        <v/>
      </c>
      <c r="BI255" s="28" t="n"/>
      <c r="BJ255" s="28" t="n"/>
      <c r="BK255" s="29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1" t="n"/>
      <c r="BM255" s="21" t="n"/>
      <c r="BN255" s="27">
        <f>SUM(BL255:BM255)</f>
        <v/>
      </c>
      <c r="BO255" s="28" t="n"/>
      <c r="BP255" s="31" t="n"/>
      <c r="BQ255" s="29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1" t="n"/>
      <c r="BS255" s="21" t="n"/>
      <c r="BT255" s="27">
        <f>SUM(BR255:BS255)</f>
        <v/>
      </c>
      <c r="BU255" s="28" t="n"/>
      <c r="BV255" s="31" t="n"/>
      <c r="BW255" s="29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1" t="n"/>
      <c r="BY255" s="21" t="n"/>
      <c r="BZ255" s="27">
        <f>SUM(BX255:BY255)</f>
        <v/>
      </c>
      <c r="CA255" s="28" t="n"/>
      <c r="CB255" s="31" t="n"/>
      <c r="CC255" s="29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1" t="n"/>
      <c r="CE255" s="21" t="n"/>
      <c r="CF255" s="27">
        <f>SUM(CD255:CE255)</f>
        <v/>
      </c>
      <c r="CG255" s="28" t="n"/>
      <c r="CH255" s="31" t="n"/>
      <c r="CI255" s="29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1" t="n"/>
      <c r="CK255" s="21" t="n"/>
      <c r="CL255" s="27">
        <f>SUM(CJ255:CK255)</f>
        <v/>
      </c>
      <c r="CM255" s="28" t="n"/>
      <c r="CN255" s="31" t="n"/>
      <c r="CO255" s="29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1" t="n"/>
      <c r="CQ255" s="21" t="n"/>
      <c r="CR255" s="27">
        <f>SUM(CP255:CQ255)</f>
        <v/>
      </c>
      <c r="CS255" s="28" t="n"/>
      <c r="CT255" s="31" t="n"/>
      <c r="CU255" s="29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1" t="n"/>
      <c r="CW255" s="21" t="n"/>
      <c r="CX255" s="27">
        <f>SUM(CV255:CW255)</f>
        <v/>
      </c>
      <c r="CY255" s="28" t="n"/>
      <c r="CZ255" s="31" t="n"/>
      <c r="DA255" s="29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1" t="n"/>
      <c r="DC255" s="21" t="n"/>
      <c r="DD255" s="27">
        <f>SUM(DB255:DC255)</f>
        <v/>
      </c>
      <c r="DE255" s="28" t="n"/>
      <c r="DF255" s="31" t="n"/>
      <c r="DG255" s="29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34">
        <f>SUM(O255,U255,AA255,AG255,AM255,AS255,AY255,BE255,BK255,BQ255,BW255,CC255,CI255,CO255,CU255,DA255,DG255)</f>
        <v/>
      </c>
      <c r="DI255" s="39">
        <f>RANK(DH255,DH$4:DH$503)</f>
        <v/>
      </c>
      <c r="DJ255" s="40" t="inlineStr">
        <is>
          <t>CHOOSE RATING</t>
        </is>
      </c>
      <c r="DK255" s="40" t="inlineStr">
        <is>
          <t>CHOOSE RATING</t>
        </is>
      </c>
      <c r="DL255" s="40" t="inlineStr">
        <is>
          <t>CHOOSE RATING</t>
        </is>
      </c>
      <c r="DM255" s="40" t="inlineStr">
        <is>
          <t>CHOOSE RATING</t>
        </is>
      </c>
      <c r="DN255" s="40" t="inlineStr">
        <is>
          <t>CHOOSE RATING</t>
        </is>
      </c>
      <c r="DO255" s="40" t="inlineStr">
        <is>
          <t>CHOOSE RATING</t>
        </is>
      </c>
      <c r="DP255" s="40" t="inlineStr">
        <is>
          <t>CHOOSE RATING</t>
        </is>
      </c>
      <c r="DQ255" s="40" t="inlineStr">
        <is>
          <t>CHOOSE RATING</t>
        </is>
      </c>
      <c r="DR255" s="43" t="inlineStr">
        <is>
          <t>2024/2025</t>
        </is>
      </c>
      <c r="DS255" s="45" t="inlineStr">
        <is>
          <t>THIRD</t>
        </is>
      </c>
      <c r="DT255" s="40" t="inlineStr">
        <is>
          <t>CHOOSE RATING</t>
        </is>
      </c>
      <c r="DU255" s="40" t="inlineStr">
        <is>
          <t>CHOOSE RATING</t>
        </is>
      </c>
      <c r="DV255" s="40" t="inlineStr">
        <is>
          <t>CHOOSE RATING</t>
        </is>
      </c>
      <c r="DW255" s="40" t="inlineStr">
        <is>
          <t>CHOOSE RATING</t>
        </is>
      </c>
      <c r="DX255" s="40" t="inlineStr">
        <is>
          <t>CHOOSE RATING</t>
        </is>
      </c>
      <c r="DY255" s="40" t="inlineStr">
        <is>
          <t>CHOOSE RATING</t>
        </is>
      </c>
      <c r="DZ255" s="53" t="inlineStr">
        <is>
          <t>CHOOSE RATING</t>
        </is>
      </c>
      <c r="EA255" s="54" t="inlineStr">
        <is>
          <t>Add the Tutor's Comment . . .</t>
        </is>
      </c>
      <c r="EB255" s="55" t="inlineStr">
        <is>
          <t>Choose Principals comment</t>
        </is>
      </c>
      <c r="EC255" s="56" t="n"/>
      <c r="ED255" s="57" t="inlineStr">
        <is>
          <t>Next Term Begins on Monday, 22nd September, 2025</t>
        </is>
      </c>
    </row>
    <row r="256" ht="30.6" customHeight="1" s="6">
      <c r="A256" s="18" t="n">
        <v>253</v>
      </c>
      <c r="B256" s="19" t="n"/>
      <c r="C256" s="20" t="n"/>
      <c r="D256" s="128" t="n"/>
      <c r="E256" s="21" t="n"/>
      <c r="F256" s="22" t="n"/>
      <c r="G256" s="22" t="n"/>
      <c r="H256" s="22" t="n"/>
      <c r="I256" s="26">
        <f>G256-H256</f>
        <v/>
      </c>
      <c r="J256" s="21" t="n"/>
      <c r="K256" s="21" t="n"/>
      <c r="L256" s="27">
        <f>SUM(J256:K256)</f>
        <v/>
      </c>
      <c r="M256" s="28" t="n"/>
      <c r="N256" s="28" t="n"/>
      <c r="O256" s="29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1" t="n"/>
      <c r="Q256" s="21" t="n"/>
      <c r="R256" s="27">
        <f>SUM(P256:Q256)</f>
        <v/>
      </c>
      <c r="S256" s="28" t="n"/>
      <c r="T256" s="28" t="n"/>
      <c r="U256" s="29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1" t="n"/>
      <c r="W256" s="21" t="n"/>
      <c r="X256" s="27">
        <f>SUM(V256:W256)</f>
        <v/>
      </c>
      <c r="Y256" s="28" t="n"/>
      <c r="Z256" s="28" t="n"/>
      <c r="AA256" s="29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1" t="n"/>
      <c r="AC256" s="21" t="n"/>
      <c r="AD256" s="27">
        <f>SUM(AB256:AC256)</f>
        <v/>
      </c>
      <c r="AE256" s="28" t="n"/>
      <c r="AF256" s="28" t="n"/>
      <c r="AG256" s="29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1" t="n"/>
      <c r="AI256" s="21" t="n"/>
      <c r="AJ256" s="27">
        <f>SUM(AH256:AI256)</f>
        <v/>
      </c>
      <c r="AK256" s="28" t="n"/>
      <c r="AL256" s="28" t="n"/>
      <c r="AM256" s="29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1" t="n"/>
      <c r="AO256" s="21" t="n"/>
      <c r="AP256" s="27">
        <f>SUM(AN256:AO256)</f>
        <v/>
      </c>
      <c r="AQ256" s="28" t="n"/>
      <c r="AR256" s="30" t="n"/>
      <c r="AS256" s="29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1" t="n"/>
      <c r="AU256" s="21" t="n"/>
      <c r="AV256" s="27">
        <f>SUM(AT256:AU256)</f>
        <v/>
      </c>
      <c r="AW256" s="28" t="n"/>
      <c r="AX256" s="30" t="n"/>
      <c r="AY256" s="29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1" t="n"/>
      <c r="BA256" s="21" t="n"/>
      <c r="BB256" s="27">
        <f>SUM(AZ256:BA256)</f>
        <v/>
      </c>
      <c r="BC256" s="28" t="n"/>
      <c r="BD256" s="28" t="n"/>
      <c r="BE256" s="29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1" t="n"/>
      <c r="BG256" s="21" t="n"/>
      <c r="BH256" s="27">
        <f>SUM(BF256:BG256)</f>
        <v/>
      </c>
      <c r="BI256" s="28" t="n"/>
      <c r="BJ256" s="28" t="n"/>
      <c r="BK256" s="29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1" t="n"/>
      <c r="BM256" s="21" t="n"/>
      <c r="BN256" s="27">
        <f>SUM(BL256:BM256)</f>
        <v/>
      </c>
      <c r="BO256" s="28" t="n"/>
      <c r="BP256" s="31" t="n"/>
      <c r="BQ256" s="29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1" t="n"/>
      <c r="BS256" s="21" t="n"/>
      <c r="BT256" s="27">
        <f>SUM(BR256:BS256)</f>
        <v/>
      </c>
      <c r="BU256" s="28" t="n"/>
      <c r="BV256" s="31" t="n"/>
      <c r="BW256" s="29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1" t="n"/>
      <c r="BY256" s="21" t="n"/>
      <c r="BZ256" s="27">
        <f>SUM(BX256:BY256)</f>
        <v/>
      </c>
      <c r="CA256" s="28" t="n"/>
      <c r="CB256" s="31" t="n"/>
      <c r="CC256" s="29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1" t="n"/>
      <c r="CE256" s="21" t="n"/>
      <c r="CF256" s="27">
        <f>SUM(CD256:CE256)</f>
        <v/>
      </c>
      <c r="CG256" s="28" t="n"/>
      <c r="CH256" s="31" t="n"/>
      <c r="CI256" s="29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1" t="n"/>
      <c r="CK256" s="21" t="n"/>
      <c r="CL256" s="27">
        <f>SUM(CJ256:CK256)</f>
        <v/>
      </c>
      <c r="CM256" s="28" t="n"/>
      <c r="CN256" s="31" t="n"/>
      <c r="CO256" s="29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1" t="n"/>
      <c r="CQ256" s="21" t="n"/>
      <c r="CR256" s="27">
        <f>SUM(CP256:CQ256)</f>
        <v/>
      </c>
      <c r="CS256" s="28" t="n"/>
      <c r="CT256" s="31" t="n"/>
      <c r="CU256" s="29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1" t="n"/>
      <c r="CW256" s="21" t="n"/>
      <c r="CX256" s="27">
        <f>SUM(CV256:CW256)</f>
        <v/>
      </c>
      <c r="CY256" s="28" t="n"/>
      <c r="CZ256" s="31" t="n"/>
      <c r="DA256" s="29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1" t="n"/>
      <c r="DC256" s="21" t="n"/>
      <c r="DD256" s="27">
        <f>SUM(DB256:DC256)</f>
        <v/>
      </c>
      <c r="DE256" s="28" t="n"/>
      <c r="DF256" s="31" t="n"/>
      <c r="DG256" s="29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34">
        <f>SUM(O256,U256,AA256,AG256,AM256,AS256,AY256,BE256,BK256,BQ256,BW256,CC256,CI256,CO256,CU256,DA256,DG256)</f>
        <v/>
      </c>
      <c r="DI256" s="39">
        <f>RANK(DH256,DH$4:DH$503)</f>
        <v/>
      </c>
      <c r="DJ256" s="40" t="inlineStr">
        <is>
          <t>CHOOSE RATING</t>
        </is>
      </c>
      <c r="DK256" s="40" t="inlineStr">
        <is>
          <t>CHOOSE RATING</t>
        </is>
      </c>
      <c r="DL256" s="40" t="inlineStr">
        <is>
          <t>CHOOSE RATING</t>
        </is>
      </c>
      <c r="DM256" s="40" t="inlineStr">
        <is>
          <t>CHOOSE RATING</t>
        </is>
      </c>
      <c r="DN256" s="40" t="inlineStr">
        <is>
          <t>CHOOSE RATING</t>
        </is>
      </c>
      <c r="DO256" s="40" t="inlineStr">
        <is>
          <t>CHOOSE RATING</t>
        </is>
      </c>
      <c r="DP256" s="40" t="inlineStr">
        <is>
          <t>CHOOSE RATING</t>
        </is>
      </c>
      <c r="DQ256" s="40" t="inlineStr">
        <is>
          <t>CHOOSE RATING</t>
        </is>
      </c>
      <c r="DR256" s="43" t="inlineStr">
        <is>
          <t>2024/2025</t>
        </is>
      </c>
      <c r="DS256" s="45" t="inlineStr">
        <is>
          <t>THIRD</t>
        </is>
      </c>
      <c r="DT256" s="40" t="inlineStr">
        <is>
          <t>CHOOSE RATING</t>
        </is>
      </c>
      <c r="DU256" s="40" t="inlineStr">
        <is>
          <t>CHOOSE RATING</t>
        </is>
      </c>
      <c r="DV256" s="40" t="inlineStr">
        <is>
          <t>CHOOSE RATING</t>
        </is>
      </c>
      <c r="DW256" s="40" t="inlineStr">
        <is>
          <t>CHOOSE RATING</t>
        </is>
      </c>
      <c r="DX256" s="40" t="inlineStr">
        <is>
          <t>CHOOSE RATING</t>
        </is>
      </c>
      <c r="DY256" s="40" t="inlineStr">
        <is>
          <t>CHOOSE RATING</t>
        </is>
      </c>
      <c r="DZ256" s="53" t="inlineStr">
        <is>
          <t>CHOOSE RATING</t>
        </is>
      </c>
      <c r="EA256" s="54" t="inlineStr">
        <is>
          <t>Add the Tutor's Comment . . .</t>
        </is>
      </c>
      <c r="EB256" s="55" t="inlineStr">
        <is>
          <t>Choose Principals comment</t>
        </is>
      </c>
      <c r="EC256" s="56" t="n"/>
      <c r="ED256" s="57" t="inlineStr">
        <is>
          <t>Next Term Begins on Monday, 22nd September, 2025</t>
        </is>
      </c>
    </row>
    <row r="257" ht="30.6" customHeight="1" s="6">
      <c r="A257" s="18" t="n">
        <v>254</v>
      </c>
      <c r="B257" s="19" t="n"/>
      <c r="C257" s="20" t="n"/>
      <c r="D257" s="128" t="n"/>
      <c r="E257" s="21" t="n"/>
      <c r="F257" s="22" t="n"/>
      <c r="G257" s="22" t="n"/>
      <c r="H257" s="22" t="n"/>
      <c r="I257" s="26">
        <f>G257-H257</f>
        <v/>
      </c>
      <c r="J257" s="21" t="n"/>
      <c r="K257" s="21" t="n"/>
      <c r="L257" s="27">
        <f>SUM(J257:K257)</f>
        <v/>
      </c>
      <c r="M257" s="28" t="n"/>
      <c r="N257" s="28" t="n"/>
      <c r="O257" s="29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1" t="n"/>
      <c r="Q257" s="21" t="n"/>
      <c r="R257" s="27">
        <f>SUM(P257:Q257)</f>
        <v/>
      </c>
      <c r="S257" s="28" t="n"/>
      <c r="T257" s="28" t="n"/>
      <c r="U257" s="29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1" t="n"/>
      <c r="W257" s="21" t="n"/>
      <c r="X257" s="27">
        <f>SUM(V257:W257)</f>
        <v/>
      </c>
      <c r="Y257" s="28" t="n"/>
      <c r="Z257" s="28" t="n"/>
      <c r="AA257" s="29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1" t="n"/>
      <c r="AC257" s="21" t="n"/>
      <c r="AD257" s="27">
        <f>SUM(AB257:AC257)</f>
        <v/>
      </c>
      <c r="AE257" s="28" t="n"/>
      <c r="AF257" s="28" t="n"/>
      <c r="AG257" s="29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1" t="n"/>
      <c r="AI257" s="21" t="n"/>
      <c r="AJ257" s="27">
        <f>SUM(AH257:AI257)</f>
        <v/>
      </c>
      <c r="AK257" s="28" t="n"/>
      <c r="AL257" s="28" t="n"/>
      <c r="AM257" s="29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1" t="n"/>
      <c r="AO257" s="21" t="n"/>
      <c r="AP257" s="27">
        <f>SUM(AN257:AO257)</f>
        <v/>
      </c>
      <c r="AQ257" s="28" t="n"/>
      <c r="AR257" s="30" t="n"/>
      <c r="AS257" s="29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1" t="n"/>
      <c r="AU257" s="21" t="n"/>
      <c r="AV257" s="27">
        <f>SUM(AT257:AU257)</f>
        <v/>
      </c>
      <c r="AW257" s="28" t="n"/>
      <c r="AX257" s="30" t="n"/>
      <c r="AY257" s="29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1" t="n"/>
      <c r="BA257" s="21" t="n"/>
      <c r="BB257" s="27">
        <f>SUM(AZ257:BA257)</f>
        <v/>
      </c>
      <c r="BC257" s="28" t="n"/>
      <c r="BD257" s="28" t="n"/>
      <c r="BE257" s="29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1" t="n"/>
      <c r="BG257" s="21" t="n"/>
      <c r="BH257" s="27">
        <f>SUM(BF257:BG257)</f>
        <v/>
      </c>
      <c r="BI257" s="28" t="n"/>
      <c r="BJ257" s="28" t="n"/>
      <c r="BK257" s="29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1" t="n"/>
      <c r="BM257" s="21" t="n"/>
      <c r="BN257" s="27">
        <f>SUM(BL257:BM257)</f>
        <v/>
      </c>
      <c r="BO257" s="28" t="n"/>
      <c r="BP257" s="31" t="n"/>
      <c r="BQ257" s="29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1" t="n"/>
      <c r="BS257" s="21" t="n"/>
      <c r="BT257" s="27">
        <f>SUM(BR257:BS257)</f>
        <v/>
      </c>
      <c r="BU257" s="28" t="n"/>
      <c r="BV257" s="31" t="n"/>
      <c r="BW257" s="29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1" t="n"/>
      <c r="BY257" s="21" t="n"/>
      <c r="BZ257" s="27">
        <f>SUM(BX257:BY257)</f>
        <v/>
      </c>
      <c r="CA257" s="28" t="n"/>
      <c r="CB257" s="31" t="n"/>
      <c r="CC257" s="29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1" t="n"/>
      <c r="CE257" s="21" t="n"/>
      <c r="CF257" s="27">
        <f>SUM(CD257:CE257)</f>
        <v/>
      </c>
      <c r="CG257" s="28" t="n"/>
      <c r="CH257" s="31" t="n"/>
      <c r="CI257" s="29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1" t="n"/>
      <c r="CK257" s="21" t="n"/>
      <c r="CL257" s="27">
        <f>SUM(CJ257:CK257)</f>
        <v/>
      </c>
      <c r="CM257" s="28" t="n"/>
      <c r="CN257" s="31" t="n"/>
      <c r="CO257" s="29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1" t="n"/>
      <c r="CQ257" s="21" t="n"/>
      <c r="CR257" s="27">
        <f>SUM(CP257:CQ257)</f>
        <v/>
      </c>
      <c r="CS257" s="28" t="n"/>
      <c r="CT257" s="31" t="n"/>
      <c r="CU257" s="29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1" t="n"/>
      <c r="CW257" s="21" t="n"/>
      <c r="CX257" s="27">
        <f>SUM(CV257:CW257)</f>
        <v/>
      </c>
      <c r="CY257" s="28" t="n"/>
      <c r="CZ257" s="31" t="n"/>
      <c r="DA257" s="29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1" t="n"/>
      <c r="DC257" s="21" t="n"/>
      <c r="DD257" s="27">
        <f>SUM(DB257:DC257)</f>
        <v/>
      </c>
      <c r="DE257" s="28" t="n"/>
      <c r="DF257" s="31" t="n"/>
      <c r="DG257" s="29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34">
        <f>SUM(O257,U257,AA257,AG257,AM257,AS257,AY257,BE257,BK257,BQ257,BW257,CC257,CI257,CO257,CU257,DA257,DG257)</f>
        <v/>
      </c>
      <c r="DI257" s="39">
        <f>RANK(DH257,DH$4:DH$503)</f>
        <v/>
      </c>
      <c r="DJ257" s="40" t="inlineStr">
        <is>
          <t>CHOOSE RATING</t>
        </is>
      </c>
      <c r="DK257" s="40" t="inlineStr">
        <is>
          <t>CHOOSE RATING</t>
        </is>
      </c>
      <c r="DL257" s="40" t="inlineStr">
        <is>
          <t>CHOOSE RATING</t>
        </is>
      </c>
      <c r="DM257" s="40" t="inlineStr">
        <is>
          <t>CHOOSE RATING</t>
        </is>
      </c>
      <c r="DN257" s="40" t="inlineStr">
        <is>
          <t>CHOOSE RATING</t>
        </is>
      </c>
      <c r="DO257" s="40" t="inlineStr">
        <is>
          <t>CHOOSE RATING</t>
        </is>
      </c>
      <c r="DP257" s="40" t="inlineStr">
        <is>
          <t>CHOOSE RATING</t>
        </is>
      </c>
      <c r="DQ257" s="40" t="inlineStr">
        <is>
          <t>CHOOSE RATING</t>
        </is>
      </c>
      <c r="DR257" s="43" t="inlineStr">
        <is>
          <t>2024/2025</t>
        </is>
      </c>
      <c r="DS257" s="45" t="inlineStr">
        <is>
          <t>THIRD</t>
        </is>
      </c>
      <c r="DT257" s="40" t="inlineStr">
        <is>
          <t>CHOOSE RATING</t>
        </is>
      </c>
      <c r="DU257" s="40" t="inlineStr">
        <is>
          <t>CHOOSE RATING</t>
        </is>
      </c>
      <c r="DV257" s="40" t="inlineStr">
        <is>
          <t>CHOOSE RATING</t>
        </is>
      </c>
      <c r="DW257" s="40" t="inlineStr">
        <is>
          <t>CHOOSE RATING</t>
        </is>
      </c>
      <c r="DX257" s="40" t="inlineStr">
        <is>
          <t>CHOOSE RATING</t>
        </is>
      </c>
      <c r="DY257" s="40" t="inlineStr">
        <is>
          <t>CHOOSE RATING</t>
        </is>
      </c>
      <c r="DZ257" s="53" t="inlineStr">
        <is>
          <t>CHOOSE RATING</t>
        </is>
      </c>
      <c r="EA257" s="54" t="inlineStr">
        <is>
          <t>Add the Tutor's Comment . . .</t>
        </is>
      </c>
      <c r="EB257" s="55" t="inlineStr">
        <is>
          <t>Choose Principals comment</t>
        </is>
      </c>
      <c r="EC257" s="56" t="n"/>
      <c r="ED257" s="57" t="inlineStr">
        <is>
          <t>Next Term Begins on Monday, 22nd September, 2025</t>
        </is>
      </c>
    </row>
    <row r="258" ht="30.6" customHeight="1" s="6">
      <c r="A258" s="18" t="n">
        <v>255</v>
      </c>
      <c r="B258" s="19" t="n"/>
      <c r="C258" s="20" t="n"/>
      <c r="D258" s="128" t="n"/>
      <c r="E258" s="21" t="n"/>
      <c r="F258" s="22" t="n"/>
      <c r="G258" s="22" t="n"/>
      <c r="H258" s="22" t="n"/>
      <c r="I258" s="26">
        <f>G258-H258</f>
        <v/>
      </c>
      <c r="J258" s="21" t="n"/>
      <c r="K258" s="21" t="n"/>
      <c r="L258" s="27">
        <f>SUM(J258:K258)</f>
        <v/>
      </c>
      <c r="M258" s="28" t="n"/>
      <c r="N258" s="28" t="n"/>
      <c r="O258" s="29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1" t="n"/>
      <c r="Q258" s="21" t="n"/>
      <c r="R258" s="27">
        <f>SUM(P258:Q258)</f>
        <v/>
      </c>
      <c r="S258" s="28" t="n"/>
      <c r="T258" s="28" t="n"/>
      <c r="U258" s="29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1" t="n"/>
      <c r="W258" s="21" t="n"/>
      <c r="X258" s="27">
        <f>SUM(V258:W258)</f>
        <v/>
      </c>
      <c r="Y258" s="28" t="n"/>
      <c r="Z258" s="28" t="n"/>
      <c r="AA258" s="29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1" t="n"/>
      <c r="AC258" s="21" t="n"/>
      <c r="AD258" s="27">
        <f>SUM(AB258:AC258)</f>
        <v/>
      </c>
      <c r="AE258" s="28" t="n"/>
      <c r="AF258" s="28" t="n"/>
      <c r="AG258" s="29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1" t="n"/>
      <c r="AI258" s="21" t="n"/>
      <c r="AJ258" s="27">
        <f>SUM(AH258:AI258)</f>
        <v/>
      </c>
      <c r="AK258" s="28" t="n"/>
      <c r="AL258" s="28" t="n"/>
      <c r="AM258" s="29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1" t="n"/>
      <c r="AO258" s="21" t="n"/>
      <c r="AP258" s="27">
        <f>SUM(AN258:AO258)</f>
        <v/>
      </c>
      <c r="AQ258" s="28" t="n"/>
      <c r="AR258" s="30" t="n"/>
      <c r="AS258" s="29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1" t="n"/>
      <c r="AU258" s="21" t="n"/>
      <c r="AV258" s="27">
        <f>SUM(AT258:AU258)</f>
        <v/>
      </c>
      <c r="AW258" s="28" t="n"/>
      <c r="AX258" s="30" t="n"/>
      <c r="AY258" s="29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1" t="n"/>
      <c r="BA258" s="21" t="n"/>
      <c r="BB258" s="27">
        <f>SUM(AZ258:BA258)</f>
        <v/>
      </c>
      <c r="BC258" s="28" t="n"/>
      <c r="BD258" s="28" t="n"/>
      <c r="BE258" s="29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1" t="n"/>
      <c r="BG258" s="21" t="n"/>
      <c r="BH258" s="27">
        <f>SUM(BF258:BG258)</f>
        <v/>
      </c>
      <c r="BI258" s="28" t="n"/>
      <c r="BJ258" s="28" t="n"/>
      <c r="BK258" s="29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1" t="n"/>
      <c r="BM258" s="21" t="n"/>
      <c r="BN258" s="27">
        <f>SUM(BL258:BM258)</f>
        <v/>
      </c>
      <c r="BO258" s="28" t="n"/>
      <c r="BP258" s="31" t="n"/>
      <c r="BQ258" s="29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1" t="n"/>
      <c r="BS258" s="21" t="n"/>
      <c r="BT258" s="27">
        <f>SUM(BR258:BS258)</f>
        <v/>
      </c>
      <c r="BU258" s="28" t="n"/>
      <c r="BV258" s="31" t="n"/>
      <c r="BW258" s="29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1" t="n"/>
      <c r="BY258" s="21" t="n"/>
      <c r="BZ258" s="27">
        <f>SUM(BX258:BY258)</f>
        <v/>
      </c>
      <c r="CA258" s="28" t="n"/>
      <c r="CB258" s="31" t="n"/>
      <c r="CC258" s="29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1" t="n"/>
      <c r="CE258" s="21" t="n"/>
      <c r="CF258" s="27">
        <f>SUM(CD258:CE258)</f>
        <v/>
      </c>
      <c r="CG258" s="28" t="n"/>
      <c r="CH258" s="31" t="n"/>
      <c r="CI258" s="29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1" t="n"/>
      <c r="CK258" s="21" t="n"/>
      <c r="CL258" s="27">
        <f>SUM(CJ258:CK258)</f>
        <v/>
      </c>
      <c r="CM258" s="28" t="n"/>
      <c r="CN258" s="31" t="n"/>
      <c r="CO258" s="29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1" t="n"/>
      <c r="CQ258" s="21" t="n"/>
      <c r="CR258" s="27">
        <f>SUM(CP258:CQ258)</f>
        <v/>
      </c>
      <c r="CS258" s="28" t="n"/>
      <c r="CT258" s="31" t="n"/>
      <c r="CU258" s="29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1" t="n"/>
      <c r="CW258" s="21" t="n"/>
      <c r="CX258" s="27">
        <f>SUM(CV258:CW258)</f>
        <v/>
      </c>
      <c r="CY258" s="28" t="n"/>
      <c r="CZ258" s="31" t="n"/>
      <c r="DA258" s="29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1" t="n"/>
      <c r="DC258" s="21" t="n"/>
      <c r="DD258" s="27">
        <f>SUM(DB258:DC258)</f>
        <v/>
      </c>
      <c r="DE258" s="28" t="n"/>
      <c r="DF258" s="31" t="n"/>
      <c r="DG258" s="29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34">
        <f>SUM(O258,U258,AA258,AG258,AM258,AS258,AY258,BE258,BK258,BQ258,BW258,CC258,CI258,CO258,CU258,DA258,DG258)</f>
        <v/>
      </c>
      <c r="DI258" s="39">
        <f>RANK(DH258,DH$4:DH$503)</f>
        <v/>
      </c>
      <c r="DJ258" s="40" t="inlineStr">
        <is>
          <t>CHOOSE RATING</t>
        </is>
      </c>
      <c r="DK258" s="40" t="inlineStr">
        <is>
          <t>CHOOSE RATING</t>
        </is>
      </c>
      <c r="DL258" s="40" t="inlineStr">
        <is>
          <t>CHOOSE RATING</t>
        </is>
      </c>
      <c r="DM258" s="40" t="inlineStr">
        <is>
          <t>CHOOSE RATING</t>
        </is>
      </c>
      <c r="DN258" s="40" t="inlineStr">
        <is>
          <t>CHOOSE RATING</t>
        </is>
      </c>
      <c r="DO258" s="40" t="inlineStr">
        <is>
          <t>CHOOSE RATING</t>
        </is>
      </c>
      <c r="DP258" s="40" t="inlineStr">
        <is>
          <t>CHOOSE RATING</t>
        </is>
      </c>
      <c r="DQ258" s="40" t="inlineStr">
        <is>
          <t>CHOOSE RATING</t>
        </is>
      </c>
      <c r="DR258" s="43" t="inlineStr">
        <is>
          <t>2024/2025</t>
        </is>
      </c>
      <c r="DS258" s="45" t="inlineStr">
        <is>
          <t>THIRD</t>
        </is>
      </c>
      <c r="DT258" s="40" t="inlineStr">
        <is>
          <t>CHOOSE RATING</t>
        </is>
      </c>
      <c r="DU258" s="40" t="inlineStr">
        <is>
          <t>CHOOSE RATING</t>
        </is>
      </c>
      <c r="DV258" s="40" t="inlineStr">
        <is>
          <t>CHOOSE RATING</t>
        </is>
      </c>
      <c r="DW258" s="40" t="inlineStr">
        <is>
          <t>CHOOSE RATING</t>
        </is>
      </c>
      <c r="DX258" s="40" t="inlineStr">
        <is>
          <t>CHOOSE RATING</t>
        </is>
      </c>
      <c r="DY258" s="40" t="inlineStr">
        <is>
          <t>CHOOSE RATING</t>
        </is>
      </c>
      <c r="DZ258" s="53" t="inlineStr">
        <is>
          <t>CHOOSE RATING</t>
        </is>
      </c>
      <c r="EA258" s="54" t="inlineStr">
        <is>
          <t>Add the Tutor's Comment . . .</t>
        </is>
      </c>
      <c r="EB258" s="55" t="inlineStr">
        <is>
          <t>Choose Principals comment</t>
        </is>
      </c>
      <c r="EC258" s="56" t="n"/>
      <c r="ED258" s="57" t="inlineStr">
        <is>
          <t>Next Term Begins on Monday, 22nd September, 2025</t>
        </is>
      </c>
    </row>
    <row r="259" ht="30.6" customHeight="1" s="6">
      <c r="A259" s="18" t="n">
        <v>256</v>
      </c>
      <c r="B259" s="19" t="n"/>
      <c r="C259" s="20" t="n"/>
      <c r="D259" s="128" t="n"/>
      <c r="E259" s="21" t="n"/>
      <c r="F259" s="22" t="n"/>
      <c r="G259" s="22" t="n"/>
      <c r="H259" s="22" t="n"/>
      <c r="I259" s="26">
        <f>G259-H259</f>
        <v/>
      </c>
      <c r="J259" s="21" t="n"/>
      <c r="K259" s="21" t="n"/>
      <c r="L259" s="27">
        <f>SUM(J259:K259)</f>
        <v/>
      </c>
      <c r="M259" s="28" t="n"/>
      <c r="N259" s="28" t="n"/>
      <c r="O259" s="29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1" t="n"/>
      <c r="Q259" s="21" t="n"/>
      <c r="R259" s="27">
        <f>SUM(P259:Q259)</f>
        <v/>
      </c>
      <c r="S259" s="28" t="n"/>
      <c r="T259" s="28" t="n"/>
      <c r="U259" s="29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1" t="n"/>
      <c r="W259" s="21" t="n"/>
      <c r="X259" s="27">
        <f>SUM(V259:W259)</f>
        <v/>
      </c>
      <c r="Y259" s="28" t="n"/>
      <c r="Z259" s="28" t="n"/>
      <c r="AA259" s="29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1" t="n"/>
      <c r="AC259" s="21" t="n"/>
      <c r="AD259" s="27">
        <f>SUM(AB259:AC259)</f>
        <v/>
      </c>
      <c r="AE259" s="28" t="n"/>
      <c r="AF259" s="28" t="n"/>
      <c r="AG259" s="29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1" t="n"/>
      <c r="AI259" s="21" t="n"/>
      <c r="AJ259" s="27">
        <f>SUM(AH259:AI259)</f>
        <v/>
      </c>
      <c r="AK259" s="28" t="n"/>
      <c r="AL259" s="28" t="n"/>
      <c r="AM259" s="29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1" t="n"/>
      <c r="AO259" s="21" t="n"/>
      <c r="AP259" s="27">
        <f>SUM(AN259:AO259)</f>
        <v/>
      </c>
      <c r="AQ259" s="28" t="n"/>
      <c r="AR259" s="30" t="n"/>
      <c r="AS259" s="29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1" t="n"/>
      <c r="AU259" s="21" t="n"/>
      <c r="AV259" s="27">
        <f>SUM(AT259:AU259)</f>
        <v/>
      </c>
      <c r="AW259" s="28" t="n"/>
      <c r="AX259" s="30" t="n"/>
      <c r="AY259" s="29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1" t="n"/>
      <c r="BA259" s="21" t="n"/>
      <c r="BB259" s="27">
        <f>SUM(AZ259:BA259)</f>
        <v/>
      </c>
      <c r="BC259" s="28" t="n"/>
      <c r="BD259" s="28" t="n"/>
      <c r="BE259" s="29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1" t="n"/>
      <c r="BG259" s="21" t="n"/>
      <c r="BH259" s="27">
        <f>SUM(BF259:BG259)</f>
        <v/>
      </c>
      <c r="BI259" s="28" t="n"/>
      <c r="BJ259" s="28" t="n"/>
      <c r="BK259" s="29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1" t="n"/>
      <c r="BM259" s="21" t="n"/>
      <c r="BN259" s="27">
        <f>SUM(BL259:BM259)</f>
        <v/>
      </c>
      <c r="BO259" s="28" t="n"/>
      <c r="BP259" s="31" t="n"/>
      <c r="BQ259" s="29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1" t="n"/>
      <c r="BS259" s="21" t="n"/>
      <c r="BT259" s="27">
        <f>SUM(BR259:BS259)</f>
        <v/>
      </c>
      <c r="BU259" s="28" t="n"/>
      <c r="BV259" s="31" t="n"/>
      <c r="BW259" s="29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1" t="n"/>
      <c r="BY259" s="21" t="n"/>
      <c r="BZ259" s="27">
        <f>SUM(BX259:BY259)</f>
        <v/>
      </c>
      <c r="CA259" s="28" t="n"/>
      <c r="CB259" s="31" t="n"/>
      <c r="CC259" s="29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1" t="n"/>
      <c r="CE259" s="21" t="n"/>
      <c r="CF259" s="27">
        <f>SUM(CD259:CE259)</f>
        <v/>
      </c>
      <c r="CG259" s="28" t="n"/>
      <c r="CH259" s="31" t="n"/>
      <c r="CI259" s="29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1" t="n"/>
      <c r="CK259" s="21" t="n"/>
      <c r="CL259" s="27">
        <f>SUM(CJ259:CK259)</f>
        <v/>
      </c>
      <c r="CM259" s="28" t="n"/>
      <c r="CN259" s="31" t="n"/>
      <c r="CO259" s="29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1" t="n"/>
      <c r="CQ259" s="21" t="n"/>
      <c r="CR259" s="27">
        <f>SUM(CP259:CQ259)</f>
        <v/>
      </c>
      <c r="CS259" s="28" t="n"/>
      <c r="CT259" s="31" t="n"/>
      <c r="CU259" s="29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1" t="n"/>
      <c r="CW259" s="21" t="n"/>
      <c r="CX259" s="27">
        <f>SUM(CV259:CW259)</f>
        <v/>
      </c>
      <c r="CY259" s="28" t="n"/>
      <c r="CZ259" s="31" t="n"/>
      <c r="DA259" s="29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1" t="n"/>
      <c r="DC259" s="21" t="n"/>
      <c r="DD259" s="27">
        <f>SUM(DB259:DC259)</f>
        <v/>
      </c>
      <c r="DE259" s="28" t="n"/>
      <c r="DF259" s="31" t="n"/>
      <c r="DG259" s="29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34">
        <f>SUM(O259,U259,AA259,AG259,AM259,AS259,AY259,BE259,BK259,BQ259,BW259,CC259,CI259,CO259,CU259,DA259,DG259)</f>
        <v/>
      </c>
      <c r="DI259" s="39">
        <f>RANK(DH259,DH$4:DH$503)</f>
        <v/>
      </c>
      <c r="DJ259" s="40" t="inlineStr">
        <is>
          <t>CHOOSE RATING</t>
        </is>
      </c>
      <c r="DK259" s="40" t="inlineStr">
        <is>
          <t>CHOOSE RATING</t>
        </is>
      </c>
      <c r="DL259" s="40" t="inlineStr">
        <is>
          <t>CHOOSE RATING</t>
        </is>
      </c>
      <c r="DM259" s="40" t="inlineStr">
        <is>
          <t>CHOOSE RATING</t>
        </is>
      </c>
      <c r="DN259" s="40" t="inlineStr">
        <is>
          <t>CHOOSE RATING</t>
        </is>
      </c>
      <c r="DO259" s="40" t="inlineStr">
        <is>
          <t>CHOOSE RATING</t>
        </is>
      </c>
      <c r="DP259" s="40" t="inlineStr">
        <is>
          <t>CHOOSE RATING</t>
        </is>
      </c>
      <c r="DQ259" s="40" t="inlineStr">
        <is>
          <t>CHOOSE RATING</t>
        </is>
      </c>
      <c r="DR259" s="43" t="inlineStr">
        <is>
          <t>2024/2025</t>
        </is>
      </c>
      <c r="DS259" s="45" t="inlineStr">
        <is>
          <t>THIRD</t>
        </is>
      </c>
      <c r="DT259" s="40" t="inlineStr">
        <is>
          <t>CHOOSE RATING</t>
        </is>
      </c>
      <c r="DU259" s="40" t="inlineStr">
        <is>
          <t>CHOOSE RATING</t>
        </is>
      </c>
      <c r="DV259" s="40" t="inlineStr">
        <is>
          <t>CHOOSE RATING</t>
        </is>
      </c>
      <c r="DW259" s="40" t="inlineStr">
        <is>
          <t>CHOOSE RATING</t>
        </is>
      </c>
      <c r="DX259" s="40" t="inlineStr">
        <is>
          <t>CHOOSE RATING</t>
        </is>
      </c>
      <c r="DY259" s="40" t="inlineStr">
        <is>
          <t>CHOOSE RATING</t>
        </is>
      </c>
      <c r="DZ259" s="53" t="inlineStr">
        <is>
          <t>CHOOSE RATING</t>
        </is>
      </c>
      <c r="EA259" s="54" t="inlineStr">
        <is>
          <t>Add the Tutor's Comment . . .</t>
        </is>
      </c>
      <c r="EB259" s="55" t="inlineStr">
        <is>
          <t>Choose Principals comment</t>
        </is>
      </c>
      <c r="EC259" s="56" t="n"/>
      <c r="ED259" s="57" t="inlineStr">
        <is>
          <t>Next Term Begins on Monday, 22nd September, 2025</t>
        </is>
      </c>
    </row>
    <row r="260" ht="30.6" customHeight="1" s="6">
      <c r="A260" s="18" t="n">
        <v>257</v>
      </c>
      <c r="B260" s="19" t="n"/>
      <c r="C260" s="20" t="n"/>
      <c r="D260" s="128" t="n"/>
      <c r="E260" s="21" t="n"/>
      <c r="F260" s="22" t="n"/>
      <c r="G260" s="22" t="n"/>
      <c r="H260" s="22" t="n"/>
      <c r="I260" s="26">
        <f>G260-H260</f>
        <v/>
      </c>
      <c r="J260" s="21" t="n"/>
      <c r="K260" s="21" t="n"/>
      <c r="L260" s="27">
        <f>SUM(J260:K260)</f>
        <v/>
      </c>
      <c r="M260" s="28" t="n"/>
      <c r="N260" s="28" t="n"/>
      <c r="O260" s="29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1" t="n"/>
      <c r="Q260" s="21" t="n"/>
      <c r="R260" s="27">
        <f>SUM(P260:Q260)</f>
        <v/>
      </c>
      <c r="S260" s="28" t="n"/>
      <c r="T260" s="28" t="n"/>
      <c r="U260" s="29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1" t="n"/>
      <c r="W260" s="21" t="n"/>
      <c r="X260" s="27">
        <f>SUM(V260:W260)</f>
        <v/>
      </c>
      <c r="Y260" s="28" t="n"/>
      <c r="Z260" s="28" t="n"/>
      <c r="AA260" s="29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1" t="n"/>
      <c r="AC260" s="21" t="n"/>
      <c r="AD260" s="27">
        <f>SUM(AB260:AC260)</f>
        <v/>
      </c>
      <c r="AE260" s="28" t="n"/>
      <c r="AF260" s="28" t="n"/>
      <c r="AG260" s="29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1" t="n"/>
      <c r="AI260" s="21" t="n"/>
      <c r="AJ260" s="27">
        <f>SUM(AH260:AI260)</f>
        <v/>
      </c>
      <c r="AK260" s="28" t="n"/>
      <c r="AL260" s="28" t="n"/>
      <c r="AM260" s="29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1" t="n"/>
      <c r="AO260" s="21" t="n"/>
      <c r="AP260" s="27">
        <f>SUM(AN260:AO260)</f>
        <v/>
      </c>
      <c r="AQ260" s="28" t="n"/>
      <c r="AR260" s="30" t="n"/>
      <c r="AS260" s="29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1" t="n"/>
      <c r="AU260" s="21" t="n"/>
      <c r="AV260" s="27">
        <f>SUM(AT260:AU260)</f>
        <v/>
      </c>
      <c r="AW260" s="28" t="n"/>
      <c r="AX260" s="30" t="n"/>
      <c r="AY260" s="29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1" t="n"/>
      <c r="BA260" s="21" t="n"/>
      <c r="BB260" s="27">
        <f>SUM(AZ260:BA260)</f>
        <v/>
      </c>
      <c r="BC260" s="28" t="n"/>
      <c r="BD260" s="28" t="n"/>
      <c r="BE260" s="29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1" t="n"/>
      <c r="BG260" s="21" t="n"/>
      <c r="BH260" s="27">
        <f>SUM(BF260:BG260)</f>
        <v/>
      </c>
      <c r="BI260" s="28" t="n"/>
      <c r="BJ260" s="28" t="n"/>
      <c r="BK260" s="29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1" t="n"/>
      <c r="BM260" s="21" t="n"/>
      <c r="BN260" s="27">
        <f>SUM(BL260:BM260)</f>
        <v/>
      </c>
      <c r="BO260" s="28" t="n"/>
      <c r="BP260" s="31" t="n"/>
      <c r="BQ260" s="29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1" t="n"/>
      <c r="BS260" s="21" t="n"/>
      <c r="BT260" s="27">
        <f>SUM(BR260:BS260)</f>
        <v/>
      </c>
      <c r="BU260" s="28" t="n"/>
      <c r="BV260" s="31" t="n"/>
      <c r="BW260" s="29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1" t="n"/>
      <c r="BY260" s="21" t="n"/>
      <c r="BZ260" s="27">
        <f>SUM(BX260:BY260)</f>
        <v/>
      </c>
      <c r="CA260" s="28" t="n"/>
      <c r="CB260" s="31" t="n"/>
      <c r="CC260" s="29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1" t="n"/>
      <c r="CE260" s="21" t="n"/>
      <c r="CF260" s="27">
        <f>SUM(CD260:CE260)</f>
        <v/>
      </c>
      <c r="CG260" s="28" t="n"/>
      <c r="CH260" s="31" t="n"/>
      <c r="CI260" s="29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1" t="n"/>
      <c r="CK260" s="21" t="n"/>
      <c r="CL260" s="27">
        <f>SUM(CJ260:CK260)</f>
        <v/>
      </c>
      <c r="CM260" s="28" t="n"/>
      <c r="CN260" s="31" t="n"/>
      <c r="CO260" s="29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1" t="n"/>
      <c r="CQ260" s="21" t="n"/>
      <c r="CR260" s="27">
        <f>SUM(CP260:CQ260)</f>
        <v/>
      </c>
      <c r="CS260" s="28" t="n"/>
      <c r="CT260" s="31" t="n"/>
      <c r="CU260" s="29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1" t="n"/>
      <c r="CW260" s="21" t="n"/>
      <c r="CX260" s="27">
        <f>SUM(CV260:CW260)</f>
        <v/>
      </c>
      <c r="CY260" s="28" t="n"/>
      <c r="CZ260" s="31" t="n"/>
      <c r="DA260" s="29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1" t="n"/>
      <c r="DC260" s="21" t="n"/>
      <c r="DD260" s="27">
        <f>SUM(DB260:DC260)</f>
        <v/>
      </c>
      <c r="DE260" s="28" t="n"/>
      <c r="DF260" s="31" t="n"/>
      <c r="DG260" s="29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34">
        <f>SUM(O260,U260,AA260,AG260,AM260,AS260,AY260,BE260,BK260,BQ260,BW260,CC260,CI260,CO260,CU260,DA260,DG260)</f>
        <v/>
      </c>
      <c r="DI260" s="39">
        <f>RANK(DH260,DH$4:DH$503)</f>
        <v/>
      </c>
      <c r="DJ260" s="40" t="inlineStr">
        <is>
          <t>CHOOSE RATING</t>
        </is>
      </c>
      <c r="DK260" s="40" t="inlineStr">
        <is>
          <t>CHOOSE RATING</t>
        </is>
      </c>
      <c r="DL260" s="40" t="inlineStr">
        <is>
          <t>CHOOSE RATING</t>
        </is>
      </c>
      <c r="DM260" s="40" t="inlineStr">
        <is>
          <t>CHOOSE RATING</t>
        </is>
      </c>
      <c r="DN260" s="40" t="inlineStr">
        <is>
          <t>CHOOSE RATING</t>
        </is>
      </c>
      <c r="DO260" s="40" t="inlineStr">
        <is>
          <t>CHOOSE RATING</t>
        </is>
      </c>
      <c r="DP260" s="40" t="inlineStr">
        <is>
          <t>CHOOSE RATING</t>
        </is>
      </c>
      <c r="DQ260" s="40" t="inlineStr">
        <is>
          <t>CHOOSE RATING</t>
        </is>
      </c>
      <c r="DR260" s="43" t="inlineStr">
        <is>
          <t>2024/2025</t>
        </is>
      </c>
      <c r="DS260" s="45" t="inlineStr">
        <is>
          <t>THIRD</t>
        </is>
      </c>
      <c r="DT260" s="40" t="inlineStr">
        <is>
          <t>CHOOSE RATING</t>
        </is>
      </c>
      <c r="DU260" s="40" t="inlineStr">
        <is>
          <t>CHOOSE RATING</t>
        </is>
      </c>
      <c r="DV260" s="40" t="inlineStr">
        <is>
          <t>CHOOSE RATING</t>
        </is>
      </c>
      <c r="DW260" s="40" t="inlineStr">
        <is>
          <t>CHOOSE RATING</t>
        </is>
      </c>
      <c r="DX260" s="40" t="inlineStr">
        <is>
          <t>CHOOSE RATING</t>
        </is>
      </c>
      <c r="DY260" s="40" t="inlineStr">
        <is>
          <t>CHOOSE RATING</t>
        </is>
      </c>
      <c r="DZ260" s="53" t="inlineStr">
        <is>
          <t>CHOOSE RATING</t>
        </is>
      </c>
      <c r="EA260" s="54" t="inlineStr">
        <is>
          <t>Add the Tutor's Comment . . .</t>
        </is>
      </c>
      <c r="EB260" s="55" t="inlineStr">
        <is>
          <t>Choose Principals comment</t>
        </is>
      </c>
      <c r="EC260" s="56" t="n"/>
      <c r="ED260" s="57" t="inlineStr">
        <is>
          <t>Next Term Begins on Monday, 22nd September, 2025</t>
        </is>
      </c>
    </row>
    <row r="261" ht="30.6" customHeight="1" s="6">
      <c r="A261" s="18" t="n">
        <v>258</v>
      </c>
      <c r="B261" s="19" t="n"/>
      <c r="C261" s="20" t="n"/>
      <c r="D261" s="128" t="n"/>
      <c r="E261" s="21" t="n"/>
      <c r="F261" s="22" t="n"/>
      <c r="G261" s="22" t="n"/>
      <c r="H261" s="22" t="n"/>
      <c r="I261" s="26">
        <f>G261-H261</f>
        <v/>
      </c>
      <c r="J261" s="21" t="n"/>
      <c r="K261" s="21" t="n"/>
      <c r="L261" s="27">
        <f>SUM(J261:K261)</f>
        <v/>
      </c>
      <c r="M261" s="28" t="n"/>
      <c r="N261" s="28" t="n"/>
      <c r="O261" s="29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1" t="n"/>
      <c r="Q261" s="21" t="n"/>
      <c r="R261" s="27">
        <f>SUM(P261:Q261)</f>
        <v/>
      </c>
      <c r="S261" s="28" t="n"/>
      <c r="T261" s="28" t="n"/>
      <c r="U261" s="29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1" t="n"/>
      <c r="W261" s="21" t="n"/>
      <c r="X261" s="27">
        <f>SUM(V261:W261)</f>
        <v/>
      </c>
      <c r="Y261" s="28" t="n"/>
      <c r="Z261" s="28" t="n"/>
      <c r="AA261" s="29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1" t="n"/>
      <c r="AC261" s="21" t="n"/>
      <c r="AD261" s="27">
        <f>SUM(AB261:AC261)</f>
        <v/>
      </c>
      <c r="AE261" s="28" t="n"/>
      <c r="AF261" s="28" t="n"/>
      <c r="AG261" s="29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1" t="n"/>
      <c r="AI261" s="21" t="n"/>
      <c r="AJ261" s="27">
        <f>SUM(AH261:AI261)</f>
        <v/>
      </c>
      <c r="AK261" s="28" t="n"/>
      <c r="AL261" s="28" t="n"/>
      <c r="AM261" s="29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1" t="n"/>
      <c r="AO261" s="21" t="n"/>
      <c r="AP261" s="27">
        <f>SUM(AN261:AO261)</f>
        <v/>
      </c>
      <c r="AQ261" s="28" t="n"/>
      <c r="AR261" s="30" t="n"/>
      <c r="AS261" s="29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1" t="n"/>
      <c r="AU261" s="21" t="n"/>
      <c r="AV261" s="27">
        <f>SUM(AT261:AU261)</f>
        <v/>
      </c>
      <c r="AW261" s="28" t="n"/>
      <c r="AX261" s="30" t="n"/>
      <c r="AY261" s="29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1" t="n"/>
      <c r="BA261" s="21" t="n"/>
      <c r="BB261" s="27">
        <f>SUM(AZ261:BA261)</f>
        <v/>
      </c>
      <c r="BC261" s="28" t="n"/>
      <c r="BD261" s="28" t="n"/>
      <c r="BE261" s="29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1" t="n"/>
      <c r="BG261" s="21" t="n"/>
      <c r="BH261" s="27">
        <f>SUM(BF261:BG261)</f>
        <v/>
      </c>
      <c r="BI261" s="28" t="n"/>
      <c r="BJ261" s="28" t="n"/>
      <c r="BK261" s="29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1" t="n"/>
      <c r="BM261" s="21" t="n"/>
      <c r="BN261" s="27">
        <f>SUM(BL261:BM261)</f>
        <v/>
      </c>
      <c r="BO261" s="28" t="n"/>
      <c r="BP261" s="31" t="n"/>
      <c r="BQ261" s="29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1" t="n"/>
      <c r="BS261" s="21" t="n"/>
      <c r="BT261" s="27">
        <f>SUM(BR261:BS261)</f>
        <v/>
      </c>
      <c r="BU261" s="28" t="n"/>
      <c r="BV261" s="31" t="n"/>
      <c r="BW261" s="29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1" t="n"/>
      <c r="BY261" s="21" t="n"/>
      <c r="BZ261" s="27">
        <f>SUM(BX261:BY261)</f>
        <v/>
      </c>
      <c r="CA261" s="28" t="n"/>
      <c r="CB261" s="31" t="n"/>
      <c r="CC261" s="29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1" t="n"/>
      <c r="CE261" s="21" t="n"/>
      <c r="CF261" s="27">
        <f>SUM(CD261:CE261)</f>
        <v/>
      </c>
      <c r="CG261" s="28" t="n"/>
      <c r="CH261" s="31" t="n"/>
      <c r="CI261" s="29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1" t="n"/>
      <c r="CK261" s="21" t="n"/>
      <c r="CL261" s="27">
        <f>SUM(CJ261:CK261)</f>
        <v/>
      </c>
      <c r="CM261" s="28" t="n"/>
      <c r="CN261" s="31" t="n"/>
      <c r="CO261" s="29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1" t="n"/>
      <c r="CQ261" s="21" t="n"/>
      <c r="CR261" s="27">
        <f>SUM(CP261:CQ261)</f>
        <v/>
      </c>
      <c r="CS261" s="28" t="n"/>
      <c r="CT261" s="31" t="n"/>
      <c r="CU261" s="29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1" t="n"/>
      <c r="CW261" s="21" t="n"/>
      <c r="CX261" s="27">
        <f>SUM(CV261:CW261)</f>
        <v/>
      </c>
      <c r="CY261" s="28" t="n"/>
      <c r="CZ261" s="31" t="n"/>
      <c r="DA261" s="29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1" t="n"/>
      <c r="DC261" s="21" t="n"/>
      <c r="DD261" s="27">
        <f>SUM(DB261:DC261)</f>
        <v/>
      </c>
      <c r="DE261" s="28" t="n"/>
      <c r="DF261" s="31" t="n"/>
      <c r="DG261" s="29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34">
        <f>SUM(O261,U261,AA261,AG261,AM261,AS261,AY261,BE261,BK261,BQ261,BW261,CC261,CI261,CO261,CU261,DA261,DG261)</f>
        <v/>
      </c>
      <c r="DI261" s="39">
        <f>RANK(DH261,DH$4:DH$503)</f>
        <v/>
      </c>
      <c r="DJ261" s="40" t="inlineStr">
        <is>
          <t>CHOOSE RATING</t>
        </is>
      </c>
      <c r="DK261" s="40" t="inlineStr">
        <is>
          <t>CHOOSE RATING</t>
        </is>
      </c>
      <c r="DL261" s="40" t="inlineStr">
        <is>
          <t>CHOOSE RATING</t>
        </is>
      </c>
      <c r="DM261" s="40" t="inlineStr">
        <is>
          <t>CHOOSE RATING</t>
        </is>
      </c>
      <c r="DN261" s="40" t="inlineStr">
        <is>
          <t>CHOOSE RATING</t>
        </is>
      </c>
      <c r="DO261" s="40" t="inlineStr">
        <is>
          <t>CHOOSE RATING</t>
        </is>
      </c>
      <c r="DP261" s="40" t="inlineStr">
        <is>
          <t>CHOOSE RATING</t>
        </is>
      </c>
      <c r="DQ261" s="40" t="inlineStr">
        <is>
          <t>CHOOSE RATING</t>
        </is>
      </c>
      <c r="DR261" s="43" t="inlineStr">
        <is>
          <t>2024/2025</t>
        </is>
      </c>
      <c r="DS261" s="45" t="inlineStr">
        <is>
          <t>THIRD</t>
        </is>
      </c>
      <c r="DT261" s="40" t="inlineStr">
        <is>
          <t>CHOOSE RATING</t>
        </is>
      </c>
      <c r="DU261" s="40" t="inlineStr">
        <is>
          <t>CHOOSE RATING</t>
        </is>
      </c>
      <c r="DV261" s="40" t="inlineStr">
        <is>
          <t>CHOOSE RATING</t>
        </is>
      </c>
      <c r="DW261" s="40" t="inlineStr">
        <is>
          <t>CHOOSE RATING</t>
        </is>
      </c>
      <c r="DX261" s="40" t="inlineStr">
        <is>
          <t>CHOOSE RATING</t>
        </is>
      </c>
      <c r="DY261" s="40" t="inlineStr">
        <is>
          <t>CHOOSE RATING</t>
        </is>
      </c>
      <c r="DZ261" s="53" t="inlineStr">
        <is>
          <t>CHOOSE RATING</t>
        </is>
      </c>
      <c r="EA261" s="54" t="inlineStr">
        <is>
          <t>Add the Tutor's Comment . . .</t>
        </is>
      </c>
      <c r="EB261" s="55" t="inlineStr">
        <is>
          <t>Choose Principals comment</t>
        </is>
      </c>
      <c r="EC261" s="56" t="n"/>
      <c r="ED261" s="57" t="inlineStr">
        <is>
          <t>Next Term Begins on Monday, 22nd September, 2025</t>
        </is>
      </c>
    </row>
    <row r="262" ht="30.6" customHeight="1" s="6">
      <c r="A262" s="18" t="n">
        <v>259</v>
      </c>
      <c r="B262" s="19" t="n"/>
      <c r="C262" s="20" t="n"/>
      <c r="D262" s="128" t="n"/>
      <c r="E262" s="21" t="n"/>
      <c r="F262" s="22" t="n"/>
      <c r="G262" s="22" t="n"/>
      <c r="H262" s="22" t="n"/>
      <c r="I262" s="26">
        <f>G262-H262</f>
        <v/>
      </c>
      <c r="J262" s="21" t="n"/>
      <c r="K262" s="21" t="n"/>
      <c r="L262" s="27">
        <f>SUM(J262:K262)</f>
        <v/>
      </c>
      <c r="M262" s="28" t="n"/>
      <c r="N262" s="28" t="n"/>
      <c r="O262" s="29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1" t="n"/>
      <c r="Q262" s="21" t="n"/>
      <c r="R262" s="27">
        <f>SUM(P262:Q262)</f>
        <v/>
      </c>
      <c r="S262" s="28" t="n"/>
      <c r="T262" s="28" t="n"/>
      <c r="U262" s="29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1" t="n"/>
      <c r="W262" s="21" t="n"/>
      <c r="X262" s="27">
        <f>SUM(V262:W262)</f>
        <v/>
      </c>
      <c r="Y262" s="28" t="n"/>
      <c r="Z262" s="28" t="n"/>
      <c r="AA262" s="29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1" t="n"/>
      <c r="AC262" s="21" t="n"/>
      <c r="AD262" s="27">
        <f>SUM(AB262:AC262)</f>
        <v/>
      </c>
      <c r="AE262" s="28" t="n"/>
      <c r="AF262" s="28" t="n"/>
      <c r="AG262" s="29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1" t="n"/>
      <c r="AI262" s="21" t="n"/>
      <c r="AJ262" s="27">
        <f>SUM(AH262:AI262)</f>
        <v/>
      </c>
      <c r="AK262" s="28" t="n"/>
      <c r="AL262" s="28" t="n"/>
      <c r="AM262" s="29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1" t="n"/>
      <c r="AO262" s="21" t="n"/>
      <c r="AP262" s="27">
        <f>SUM(AN262:AO262)</f>
        <v/>
      </c>
      <c r="AQ262" s="28" t="n"/>
      <c r="AR262" s="30" t="n"/>
      <c r="AS262" s="29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1" t="n"/>
      <c r="AU262" s="21" t="n"/>
      <c r="AV262" s="27">
        <f>SUM(AT262:AU262)</f>
        <v/>
      </c>
      <c r="AW262" s="28" t="n"/>
      <c r="AX262" s="30" t="n"/>
      <c r="AY262" s="29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1" t="n"/>
      <c r="BA262" s="21" t="n"/>
      <c r="BB262" s="27">
        <f>SUM(AZ262:BA262)</f>
        <v/>
      </c>
      <c r="BC262" s="28" t="n"/>
      <c r="BD262" s="28" t="n"/>
      <c r="BE262" s="29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1" t="n"/>
      <c r="BG262" s="21" t="n"/>
      <c r="BH262" s="27">
        <f>SUM(BF262:BG262)</f>
        <v/>
      </c>
      <c r="BI262" s="28" t="n"/>
      <c r="BJ262" s="28" t="n"/>
      <c r="BK262" s="29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1" t="n"/>
      <c r="BM262" s="21" t="n"/>
      <c r="BN262" s="27">
        <f>SUM(BL262:BM262)</f>
        <v/>
      </c>
      <c r="BO262" s="28" t="n"/>
      <c r="BP262" s="31" t="n"/>
      <c r="BQ262" s="29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1" t="n"/>
      <c r="BS262" s="21" t="n"/>
      <c r="BT262" s="27">
        <f>SUM(BR262:BS262)</f>
        <v/>
      </c>
      <c r="BU262" s="28" t="n"/>
      <c r="BV262" s="31" t="n"/>
      <c r="BW262" s="29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1" t="n"/>
      <c r="BY262" s="21" t="n"/>
      <c r="BZ262" s="27">
        <f>SUM(BX262:BY262)</f>
        <v/>
      </c>
      <c r="CA262" s="28" t="n"/>
      <c r="CB262" s="31" t="n"/>
      <c r="CC262" s="29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1" t="n"/>
      <c r="CE262" s="21" t="n"/>
      <c r="CF262" s="27">
        <f>SUM(CD262:CE262)</f>
        <v/>
      </c>
      <c r="CG262" s="28" t="n"/>
      <c r="CH262" s="31" t="n"/>
      <c r="CI262" s="29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1" t="n"/>
      <c r="CK262" s="21" t="n"/>
      <c r="CL262" s="27">
        <f>SUM(CJ262:CK262)</f>
        <v/>
      </c>
      <c r="CM262" s="28" t="n"/>
      <c r="CN262" s="31" t="n"/>
      <c r="CO262" s="29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1" t="n"/>
      <c r="CQ262" s="21" t="n"/>
      <c r="CR262" s="27">
        <f>SUM(CP262:CQ262)</f>
        <v/>
      </c>
      <c r="CS262" s="28" t="n"/>
      <c r="CT262" s="31" t="n"/>
      <c r="CU262" s="29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1" t="n"/>
      <c r="CW262" s="21" t="n"/>
      <c r="CX262" s="27">
        <f>SUM(CV262:CW262)</f>
        <v/>
      </c>
      <c r="CY262" s="28" t="n"/>
      <c r="CZ262" s="31" t="n"/>
      <c r="DA262" s="29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1" t="n"/>
      <c r="DC262" s="21" t="n"/>
      <c r="DD262" s="27">
        <f>SUM(DB262:DC262)</f>
        <v/>
      </c>
      <c r="DE262" s="28" t="n"/>
      <c r="DF262" s="31" t="n"/>
      <c r="DG262" s="29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34">
        <f>SUM(O262,U262,AA262,AG262,AM262,AS262,AY262,BE262,BK262,BQ262,BW262,CC262,CI262,CO262,CU262,DA262,DG262)</f>
        <v/>
      </c>
      <c r="DI262" s="39">
        <f>RANK(DH262,DH$4:DH$503)</f>
        <v/>
      </c>
      <c r="DJ262" s="40" t="inlineStr">
        <is>
          <t>CHOOSE RATING</t>
        </is>
      </c>
      <c r="DK262" s="40" t="inlineStr">
        <is>
          <t>CHOOSE RATING</t>
        </is>
      </c>
      <c r="DL262" s="40" t="inlineStr">
        <is>
          <t>CHOOSE RATING</t>
        </is>
      </c>
      <c r="DM262" s="40" t="inlineStr">
        <is>
          <t>CHOOSE RATING</t>
        </is>
      </c>
      <c r="DN262" s="40" t="inlineStr">
        <is>
          <t>CHOOSE RATING</t>
        </is>
      </c>
      <c r="DO262" s="40" t="inlineStr">
        <is>
          <t>CHOOSE RATING</t>
        </is>
      </c>
      <c r="DP262" s="40" t="inlineStr">
        <is>
          <t>CHOOSE RATING</t>
        </is>
      </c>
      <c r="DQ262" s="40" t="inlineStr">
        <is>
          <t>CHOOSE RATING</t>
        </is>
      </c>
      <c r="DR262" s="43" t="inlineStr">
        <is>
          <t>2024/2025</t>
        </is>
      </c>
      <c r="DS262" s="45" t="inlineStr">
        <is>
          <t>THIRD</t>
        </is>
      </c>
      <c r="DT262" s="40" t="inlineStr">
        <is>
          <t>CHOOSE RATING</t>
        </is>
      </c>
      <c r="DU262" s="40" t="inlineStr">
        <is>
          <t>CHOOSE RATING</t>
        </is>
      </c>
      <c r="DV262" s="40" t="inlineStr">
        <is>
          <t>CHOOSE RATING</t>
        </is>
      </c>
      <c r="DW262" s="40" t="inlineStr">
        <is>
          <t>CHOOSE RATING</t>
        </is>
      </c>
      <c r="DX262" s="40" t="inlineStr">
        <is>
          <t>CHOOSE RATING</t>
        </is>
      </c>
      <c r="DY262" s="40" t="inlineStr">
        <is>
          <t>CHOOSE RATING</t>
        </is>
      </c>
      <c r="DZ262" s="53" t="inlineStr">
        <is>
          <t>CHOOSE RATING</t>
        </is>
      </c>
      <c r="EA262" s="54" t="inlineStr">
        <is>
          <t>Add the Tutor's Comment . . .</t>
        </is>
      </c>
      <c r="EB262" s="55" t="inlineStr">
        <is>
          <t>Choose Principals comment</t>
        </is>
      </c>
      <c r="EC262" s="56" t="n"/>
      <c r="ED262" s="57" t="inlineStr">
        <is>
          <t>Next Term Begins on Monday, 22nd September, 2025</t>
        </is>
      </c>
    </row>
    <row r="263" ht="30.6" customHeight="1" s="6">
      <c r="A263" s="18" t="n">
        <v>260</v>
      </c>
      <c r="B263" s="19" t="n"/>
      <c r="C263" s="20" t="n"/>
      <c r="D263" s="128" t="n"/>
      <c r="E263" s="21" t="n"/>
      <c r="F263" s="22" t="n"/>
      <c r="G263" s="22" t="n"/>
      <c r="H263" s="22" t="n"/>
      <c r="I263" s="26">
        <f>G263-H263</f>
        <v/>
      </c>
      <c r="J263" s="21" t="n"/>
      <c r="K263" s="21" t="n"/>
      <c r="L263" s="27">
        <f>SUM(J263:K263)</f>
        <v/>
      </c>
      <c r="M263" s="28" t="n"/>
      <c r="N263" s="28" t="n"/>
      <c r="O263" s="29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1" t="n"/>
      <c r="Q263" s="21" t="n"/>
      <c r="R263" s="27">
        <f>SUM(P263:Q263)</f>
        <v/>
      </c>
      <c r="S263" s="28" t="n"/>
      <c r="T263" s="28" t="n"/>
      <c r="U263" s="29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1" t="n"/>
      <c r="W263" s="21" t="n"/>
      <c r="X263" s="27">
        <f>SUM(V263:W263)</f>
        <v/>
      </c>
      <c r="Y263" s="28" t="n"/>
      <c r="Z263" s="28" t="n"/>
      <c r="AA263" s="29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1" t="n"/>
      <c r="AC263" s="21" t="n"/>
      <c r="AD263" s="27">
        <f>SUM(AB263:AC263)</f>
        <v/>
      </c>
      <c r="AE263" s="28" t="n"/>
      <c r="AF263" s="28" t="n"/>
      <c r="AG263" s="29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1" t="n"/>
      <c r="AI263" s="21" t="n"/>
      <c r="AJ263" s="27">
        <f>SUM(AH263:AI263)</f>
        <v/>
      </c>
      <c r="AK263" s="28" t="n"/>
      <c r="AL263" s="28" t="n"/>
      <c r="AM263" s="29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1" t="n"/>
      <c r="AO263" s="21" t="n"/>
      <c r="AP263" s="27">
        <f>SUM(AN263:AO263)</f>
        <v/>
      </c>
      <c r="AQ263" s="28" t="n"/>
      <c r="AR263" s="30" t="n"/>
      <c r="AS263" s="29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1" t="n"/>
      <c r="AU263" s="21" t="n"/>
      <c r="AV263" s="27">
        <f>SUM(AT263:AU263)</f>
        <v/>
      </c>
      <c r="AW263" s="28" t="n"/>
      <c r="AX263" s="30" t="n"/>
      <c r="AY263" s="29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1" t="n"/>
      <c r="BA263" s="21" t="n"/>
      <c r="BB263" s="27">
        <f>SUM(AZ263:BA263)</f>
        <v/>
      </c>
      <c r="BC263" s="28" t="n"/>
      <c r="BD263" s="28" t="n"/>
      <c r="BE263" s="29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1" t="n"/>
      <c r="BG263" s="21" t="n"/>
      <c r="BH263" s="27">
        <f>SUM(BF263:BG263)</f>
        <v/>
      </c>
      <c r="BI263" s="28" t="n"/>
      <c r="BJ263" s="28" t="n"/>
      <c r="BK263" s="29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1" t="n"/>
      <c r="BM263" s="21" t="n"/>
      <c r="BN263" s="27">
        <f>SUM(BL263:BM263)</f>
        <v/>
      </c>
      <c r="BO263" s="28" t="n"/>
      <c r="BP263" s="31" t="n"/>
      <c r="BQ263" s="29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1" t="n"/>
      <c r="BS263" s="21" t="n"/>
      <c r="BT263" s="27">
        <f>SUM(BR263:BS263)</f>
        <v/>
      </c>
      <c r="BU263" s="28" t="n"/>
      <c r="BV263" s="31" t="n"/>
      <c r="BW263" s="29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1" t="n"/>
      <c r="BY263" s="21" t="n"/>
      <c r="BZ263" s="27">
        <f>SUM(BX263:BY263)</f>
        <v/>
      </c>
      <c r="CA263" s="28" t="n"/>
      <c r="CB263" s="31" t="n"/>
      <c r="CC263" s="29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1" t="n"/>
      <c r="CE263" s="21" t="n"/>
      <c r="CF263" s="27">
        <f>SUM(CD263:CE263)</f>
        <v/>
      </c>
      <c r="CG263" s="28" t="n"/>
      <c r="CH263" s="31" t="n"/>
      <c r="CI263" s="29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1" t="n"/>
      <c r="CK263" s="21" t="n"/>
      <c r="CL263" s="27">
        <f>SUM(CJ263:CK263)</f>
        <v/>
      </c>
      <c r="CM263" s="28" t="n"/>
      <c r="CN263" s="31" t="n"/>
      <c r="CO263" s="29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1" t="n"/>
      <c r="CQ263" s="21" t="n"/>
      <c r="CR263" s="27">
        <f>SUM(CP263:CQ263)</f>
        <v/>
      </c>
      <c r="CS263" s="28" t="n"/>
      <c r="CT263" s="31" t="n"/>
      <c r="CU263" s="29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1" t="n"/>
      <c r="CW263" s="21" t="n"/>
      <c r="CX263" s="27">
        <f>SUM(CV263:CW263)</f>
        <v/>
      </c>
      <c r="CY263" s="28" t="n"/>
      <c r="CZ263" s="31" t="n"/>
      <c r="DA263" s="29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1" t="n"/>
      <c r="DC263" s="21" t="n"/>
      <c r="DD263" s="27">
        <f>SUM(DB263:DC263)</f>
        <v/>
      </c>
      <c r="DE263" s="28" t="n"/>
      <c r="DF263" s="31" t="n"/>
      <c r="DG263" s="29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34">
        <f>SUM(O263,U263,AA263,AG263,AM263,AS263,AY263,BE263,BK263,BQ263,BW263,CC263,CI263,CO263,CU263,DA263,DG263)</f>
        <v/>
      </c>
      <c r="DI263" s="39">
        <f>RANK(DH263,DH$4:DH$503)</f>
        <v/>
      </c>
      <c r="DJ263" s="40" t="inlineStr">
        <is>
          <t>CHOOSE RATING</t>
        </is>
      </c>
      <c r="DK263" s="40" t="inlineStr">
        <is>
          <t>CHOOSE RATING</t>
        </is>
      </c>
      <c r="DL263" s="40" t="inlineStr">
        <is>
          <t>CHOOSE RATING</t>
        </is>
      </c>
      <c r="DM263" s="40" t="inlineStr">
        <is>
          <t>CHOOSE RATING</t>
        </is>
      </c>
      <c r="DN263" s="40" t="inlineStr">
        <is>
          <t>CHOOSE RATING</t>
        </is>
      </c>
      <c r="DO263" s="40" t="inlineStr">
        <is>
          <t>CHOOSE RATING</t>
        </is>
      </c>
      <c r="DP263" s="40" t="inlineStr">
        <is>
          <t>CHOOSE RATING</t>
        </is>
      </c>
      <c r="DQ263" s="40" t="inlineStr">
        <is>
          <t>CHOOSE RATING</t>
        </is>
      </c>
      <c r="DR263" s="43" t="inlineStr">
        <is>
          <t>2024/2025</t>
        </is>
      </c>
      <c r="DS263" s="45" t="inlineStr">
        <is>
          <t>THIRD</t>
        </is>
      </c>
      <c r="DT263" s="40" t="inlineStr">
        <is>
          <t>CHOOSE RATING</t>
        </is>
      </c>
      <c r="DU263" s="40" t="inlineStr">
        <is>
          <t>CHOOSE RATING</t>
        </is>
      </c>
      <c r="DV263" s="40" t="inlineStr">
        <is>
          <t>CHOOSE RATING</t>
        </is>
      </c>
      <c r="DW263" s="40" t="inlineStr">
        <is>
          <t>CHOOSE RATING</t>
        </is>
      </c>
      <c r="DX263" s="40" t="inlineStr">
        <is>
          <t>CHOOSE RATING</t>
        </is>
      </c>
      <c r="DY263" s="40" t="inlineStr">
        <is>
          <t>CHOOSE RATING</t>
        </is>
      </c>
      <c r="DZ263" s="53" t="inlineStr">
        <is>
          <t>CHOOSE RATING</t>
        </is>
      </c>
      <c r="EA263" s="54" t="inlineStr">
        <is>
          <t>Add the Tutor's Comment . . .</t>
        </is>
      </c>
      <c r="EB263" s="55" t="inlineStr">
        <is>
          <t>Choose Principals comment</t>
        </is>
      </c>
      <c r="EC263" s="56" t="n"/>
      <c r="ED263" s="57" t="inlineStr">
        <is>
          <t>Next Term Begins on Monday, 22nd September, 2025</t>
        </is>
      </c>
    </row>
    <row r="264" ht="30.6" customHeight="1" s="6">
      <c r="A264" s="18" t="n">
        <v>261</v>
      </c>
      <c r="B264" s="19" t="n"/>
      <c r="C264" s="20" t="n"/>
      <c r="D264" s="128" t="n"/>
      <c r="E264" s="21" t="n"/>
      <c r="F264" s="22" t="n"/>
      <c r="G264" s="22" t="n"/>
      <c r="H264" s="22" t="n"/>
      <c r="I264" s="26">
        <f>G264-H264</f>
        <v/>
      </c>
      <c r="J264" s="21" t="n"/>
      <c r="K264" s="21" t="n"/>
      <c r="L264" s="27">
        <f>SUM(J264:K264)</f>
        <v/>
      </c>
      <c r="M264" s="28" t="n"/>
      <c r="N264" s="28" t="n"/>
      <c r="O264" s="29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1" t="n"/>
      <c r="Q264" s="21" t="n"/>
      <c r="R264" s="27">
        <f>SUM(P264:Q264)</f>
        <v/>
      </c>
      <c r="S264" s="28" t="n"/>
      <c r="T264" s="28" t="n"/>
      <c r="U264" s="29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1" t="n"/>
      <c r="W264" s="21" t="n"/>
      <c r="X264" s="27">
        <f>SUM(V264:W264)</f>
        <v/>
      </c>
      <c r="Y264" s="28" t="n"/>
      <c r="Z264" s="28" t="n"/>
      <c r="AA264" s="29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1" t="n"/>
      <c r="AC264" s="21" t="n"/>
      <c r="AD264" s="27">
        <f>SUM(AB264:AC264)</f>
        <v/>
      </c>
      <c r="AE264" s="28" t="n"/>
      <c r="AF264" s="28" t="n"/>
      <c r="AG264" s="29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1" t="n"/>
      <c r="AI264" s="21" t="n"/>
      <c r="AJ264" s="27">
        <f>SUM(AH264:AI264)</f>
        <v/>
      </c>
      <c r="AK264" s="28" t="n"/>
      <c r="AL264" s="28" t="n"/>
      <c r="AM264" s="29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1" t="n"/>
      <c r="AO264" s="21" t="n"/>
      <c r="AP264" s="27">
        <f>SUM(AN264:AO264)</f>
        <v/>
      </c>
      <c r="AQ264" s="28" t="n"/>
      <c r="AR264" s="30" t="n"/>
      <c r="AS264" s="29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1" t="n"/>
      <c r="AU264" s="21" t="n"/>
      <c r="AV264" s="27">
        <f>SUM(AT264:AU264)</f>
        <v/>
      </c>
      <c r="AW264" s="28" t="n"/>
      <c r="AX264" s="30" t="n"/>
      <c r="AY264" s="29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1" t="n"/>
      <c r="BA264" s="21" t="n"/>
      <c r="BB264" s="27">
        <f>SUM(AZ264:BA264)</f>
        <v/>
      </c>
      <c r="BC264" s="28" t="n"/>
      <c r="BD264" s="28" t="n"/>
      <c r="BE264" s="29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1" t="n"/>
      <c r="BG264" s="21" t="n"/>
      <c r="BH264" s="27">
        <f>SUM(BF264:BG264)</f>
        <v/>
      </c>
      <c r="BI264" s="28" t="n"/>
      <c r="BJ264" s="28" t="n"/>
      <c r="BK264" s="29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1" t="n"/>
      <c r="BM264" s="21" t="n"/>
      <c r="BN264" s="27">
        <f>SUM(BL264:BM264)</f>
        <v/>
      </c>
      <c r="BO264" s="28" t="n"/>
      <c r="BP264" s="31" t="n"/>
      <c r="BQ264" s="29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1" t="n"/>
      <c r="BS264" s="21" t="n"/>
      <c r="BT264" s="27">
        <f>SUM(BR264:BS264)</f>
        <v/>
      </c>
      <c r="BU264" s="28" t="n"/>
      <c r="BV264" s="31" t="n"/>
      <c r="BW264" s="29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1" t="n"/>
      <c r="BY264" s="21" t="n"/>
      <c r="BZ264" s="27">
        <f>SUM(BX264:BY264)</f>
        <v/>
      </c>
      <c r="CA264" s="28" t="n"/>
      <c r="CB264" s="31" t="n"/>
      <c r="CC264" s="29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1" t="n"/>
      <c r="CE264" s="21" t="n"/>
      <c r="CF264" s="27">
        <f>SUM(CD264:CE264)</f>
        <v/>
      </c>
      <c r="CG264" s="28" t="n"/>
      <c r="CH264" s="31" t="n"/>
      <c r="CI264" s="29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1" t="n"/>
      <c r="CK264" s="21" t="n"/>
      <c r="CL264" s="27">
        <f>SUM(CJ264:CK264)</f>
        <v/>
      </c>
      <c r="CM264" s="28" t="n"/>
      <c r="CN264" s="31" t="n"/>
      <c r="CO264" s="29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1" t="n"/>
      <c r="CQ264" s="21" t="n"/>
      <c r="CR264" s="27">
        <f>SUM(CP264:CQ264)</f>
        <v/>
      </c>
      <c r="CS264" s="28" t="n"/>
      <c r="CT264" s="31" t="n"/>
      <c r="CU264" s="29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1" t="n"/>
      <c r="CW264" s="21" t="n"/>
      <c r="CX264" s="27">
        <f>SUM(CV264:CW264)</f>
        <v/>
      </c>
      <c r="CY264" s="28" t="n"/>
      <c r="CZ264" s="31" t="n"/>
      <c r="DA264" s="29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1" t="n"/>
      <c r="DC264" s="21" t="n"/>
      <c r="DD264" s="27">
        <f>SUM(DB264:DC264)</f>
        <v/>
      </c>
      <c r="DE264" s="28" t="n"/>
      <c r="DF264" s="31" t="n"/>
      <c r="DG264" s="29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34">
        <f>SUM(O264,U264,AA264,AG264,AM264,AS264,AY264,BE264,BK264,BQ264,BW264,CC264,CI264,CO264,CU264,DA264,DG264)</f>
        <v/>
      </c>
      <c r="DI264" s="39">
        <f>RANK(DH264,DH$4:DH$503)</f>
        <v/>
      </c>
      <c r="DJ264" s="40" t="inlineStr">
        <is>
          <t>CHOOSE RATING</t>
        </is>
      </c>
      <c r="DK264" s="40" t="inlineStr">
        <is>
          <t>CHOOSE RATING</t>
        </is>
      </c>
      <c r="DL264" s="40" t="inlineStr">
        <is>
          <t>CHOOSE RATING</t>
        </is>
      </c>
      <c r="DM264" s="40" t="inlineStr">
        <is>
          <t>CHOOSE RATING</t>
        </is>
      </c>
      <c r="DN264" s="40" t="inlineStr">
        <is>
          <t>CHOOSE RATING</t>
        </is>
      </c>
      <c r="DO264" s="40" t="inlineStr">
        <is>
          <t>CHOOSE RATING</t>
        </is>
      </c>
      <c r="DP264" s="40" t="inlineStr">
        <is>
          <t>CHOOSE RATING</t>
        </is>
      </c>
      <c r="DQ264" s="40" t="inlineStr">
        <is>
          <t>CHOOSE RATING</t>
        </is>
      </c>
      <c r="DR264" s="43" t="inlineStr">
        <is>
          <t>2024/2025</t>
        </is>
      </c>
      <c r="DS264" s="45" t="inlineStr">
        <is>
          <t>THIRD</t>
        </is>
      </c>
      <c r="DT264" s="40" t="inlineStr">
        <is>
          <t>CHOOSE RATING</t>
        </is>
      </c>
      <c r="DU264" s="40" t="inlineStr">
        <is>
          <t>CHOOSE RATING</t>
        </is>
      </c>
      <c r="DV264" s="40" t="inlineStr">
        <is>
          <t>CHOOSE RATING</t>
        </is>
      </c>
      <c r="DW264" s="40" t="inlineStr">
        <is>
          <t>CHOOSE RATING</t>
        </is>
      </c>
      <c r="DX264" s="40" t="inlineStr">
        <is>
          <t>CHOOSE RATING</t>
        </is>
      </c>
      <c r="DY264" s="40" t="inlineStr">
        <is>
          <t>CHOOSE RATING</t>
        </is>
      </c>
      <c r="DZ264" s="53" t="inlineStr">
        <is>
          <t>CHOOSE RATING</t>
        </is>
      </c>
      <c r="EA264" s="54" t="inlineStr">
        <is>
          <t>Add the Tutor's Comment . . .</t>
        </is>
      </c>
      <c r="EB264" s="55" t="inlineStr">
        <is>
          <t>Choose Principals comment</t>
        </is>
      </c>
      <c r="EC264" s="56" t="n"/>
      <c r="ED264" s="57" t="inlineStr">
        <is>
          <t>Next Term Begins on Monday, 22nd September, 2025</t>
        </is>
      </c>
    </row>
    <row r="265" ht="30.6" customHeight="1" s="6">
      <c r="A265" s="18" t="n">
        <v>262</v>
      </c>
      <c r="B265" s="19" t="n"/>
      <c r="C265" s="20" t="n"/>
      <c r="D265" s="128" t="n"/>
      <c r="E265" s="21" t="n"/>
      <c r="F265" s="22" t="n"/>
      <c r="G265" s="22" t="n"/>
      <c r="H265" s="22" t="n"/>
      <c r="I265" s="26">
        <f>G265-H265</f>
        <v/>
      </c>
      <c r="J265" s="21" t="n"/>
      <c r="K265" s="21" t="n"/>
      <c r="L265" s="27">
        <f>SUM(J265:K265)</f>
        <v/>
      </c>
      <c r="M265" s="28" t="n"/>
      <c r="N265" s="28" t="n"/>
      <c r="O265" s="29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1" t="n"/>
      <c r="Q265" s="21" t="n"/>
      <c r="R265" s="27">
        <f>SUM(P265:Q265)</f>
        <v/>
      </c>
      <c r="S265" s="28" t="n"/>
      <c r="T265" s="28" t="n"/>
      <c r="U265" s="29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1" t="n"/>
      <c r="W265" s="21" t="n"/>
      <c r="X265" s="27">
        <f>SUM(V265:W265)</f>
        <v/>
      </c>
      <c r="Y265" s="28" t="n"/>
      <c r="Z265" s="28" t="n"/>
      <c r="AA265" s="29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1" t="n"/>
      <c r="AC265" s="21" t="n"/>
      <c r="AD265" s="27">
        <f>SUM(AB265:AC265)</f>
        <v/>
      </c>
      <c r="AE265" s="28" t="n"/>
      <c r="AF265" s="28" t="n"/>
      <c r="AG265" s="29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1" t="n"/>
      <c r="AI265" s="21" t="n"/>
      <c r="AJ265" s="27">
        <f>SUM(AH265:AI265)</f>
        <v/>
      </c>
      <c r="AK265" s="28" t="n"/>
      <c r="AL265" s="28" t="n"/>
      <c r="AM265" s="29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1" t="n"/>
      <c r="AO265" s="21" t="n"/>
      <c r="AP265" s="27">
        <f>SUM(AN265:AO265)</f>
        <v/>
      </c>
      <c r="AQ265" s="28" t="n"/>
      <c r="AR265" s="30" t="n"/>
      <c r="AS265" s="29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1" t="n"/>
      <c r="AU265" s="21" t="n"/>
      <c r="AV265" s="27">
        <f>SUM(AT265:AU265)</f>
        <v/>
      </c>
      <c r="AW265" s="28" t="n"/>
      <c r="AX265" s="30" t="n"/>
      <c r="AY265" s="29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1" t="n"/>
      <c r="BA265" s="21" t="n"/>
      <c r="BB265" s="27">
        <f>SUM(AZ265:BA265)</f>
        <v/>
      </c>
      <c r="BC265" s="28" t="n"/>
      <c r="BD265" s="28" t="n"/>
      <c r="BE265" s="29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1" t="n"/>
      <c r="BG265" s="21" t="n"/>
      <c r="BH265" s="27">
        <f>SUM(BF265:BG265)</f>
        <v/>
      </c>
      <c r="BI265" s="28" t="n"/>
      <c r="BJ265" s="28" t="n"/>
      <c r="BK265" s="29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1" t="n"/>
      <c r="BM265" s="21" t="n"/>
      <c r="BN265" s="27">
        <f>SUM(BL265:BM265)</f>
        <v/>
      </c>
      <c r="BO265" s="28" t="n"/>
      <c r="BP265" s="31" t="n"/>
      <c r="BQ265" s="29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1" t="n"/>
      <c r="BS265" s="21" t="n"/>
      <c r="BT265" s="27">
        <f>SUM(BR265:BS265)</f>
        <v/>
      </c>
      <c r="BU265" s="28" t="n"/>
      <c r="BV265" s="31" t="n"/>
      <c r="BW265" s="29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1" t="n"/>
      <c r="BY265" s="21" t="n"/>
      <c r="BZ265" s="27">
        <f>SUM(BX265:BY265)</f>
        <v/>
      </c>
      <c r="CA265" s="28" t="n"/>
      <c r="CB265" s="31" t="n"/>
      <c r="CC265" s="29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1" t="n"/>
      <c r="CE265" s="21" t="n"/>
      <c r="CF265" s="27">
        <f>SUM(CD265:CE265)</f>
        <v/>
      </c>
      <c r="CG265" s="28" t="n"/>
      <c r="CH265" s="31" t="n"/>
      <c r="CI265" s="29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1" t="n"/>
      <c r="CK265" s="21" t="n"/>
      <c r="CL265" s="27">
        <f>SUM(CJ265:CK265)</f>
        <v/>
      </c>
      <c r="CM265" s="28" t="n"/>
      <c r="CN265" s="31" t="n"/>
      <c r="CO265" s="29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1" t="n"/>
      <c r="CQ265" s="21" t="n"/>
      <c r="CR265" s="27">
        <f>SUM(CP265:CQ265)</f>
        <v/>
      </c>
      <c r="CS265" s="28" t="n"/>
      <c r="CT265" s="31" t="n"/>
      <c r="CU265" s="29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1" t="n"/>
      <c r="CW265" s="21" t="n"/>
      <c r="CX265" s="27">
        <f>SUM(CV265:CW265)</f>
        <v/>
      </c>
      <c r="CY265" s="28" t="n"/>
      <c r="CZ265" s="31" t="n"/>
      <c r="DA265" s="29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1" t="n"/>
      <c r="DC265" s="21" t="n"/>
      <c r="DD265" s="27">
        <f>SUM(DB265:DC265)</f>
        <v/>
      </c>
      <c r="DE265" s="28" t="n"/>
      <c r="DF265" s="31" t="n"/>
      <c r="DG265" s="29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34">
        <f>SUM(O265,U265,AA265,AG265,AM265,AS265,AY265,BE265,BK265,BQ265,BW265,CC265,CI265,CO265,CU265,DA265,DG265)</f>
        <v/>
      </c>
      <c r="DI265" s="39">
        <f>RANK(DH265,DH$4:DH$503)</f>
        <v/>
      </c>
      <c r="DJ265" s="40" t="inlineStr">
        <is>
          <t>CHOOSE RATING</t>
        </is>
      </c>
      <c r="DK265" s="40" t="inlineStr">
        <is>
          <t>CHOOSE RATING</t>
        </is>
      </c>
      <c r="DL265" s="40" t="inlineStr">
        <is>
          <t>CHOOSE RATING</t>
        </is>
      </c>
      <c r="DM265" s="40" t="inlineStr">
        <is>
          <t>CHOOSE RATING</t>
        </is>
      </c>
      <c r="DN265" s="40" t="inlineStr">
        <is>
          <t>CHOOSE RATING</t>
        </is>
      </c>
      <c r="DO265" s="40" t="inlineStr">
        <is>
          <t>CHOOSE RATING</t>
        </is>
      </c>
      <c r="DP265" s="40" t="inlineStr">
        <is>
          <t>CHOOSE RATING</t>
        </is>
      </c>
      <c r="DQ265" s="40" t="inlineStr">
        <is>
          <t>CHOOSE RATING</t>
        </is>
      </c>
      <c r="DR265" s="43" t="inlineStr">
        <is>
          <t>2024/2025</t>
        </is>
      </c>
      <c r="DS265" s="45" t="inlineStr">
        <is>
          <t>THIRD</t>
        </is>
      </c>
      <c r="DT265" s="40" t="inlineStr">
        <is>
          <t>CHOOSE RATING</t>
        </is>
      </c>
      <c r="DU265" s="40" t="inlineStr">
        <is>
          <t>CHOOSE RATING</t>
        </is>
      </c>
      <c r="DV265" s="40" t="inlineStr">
        <is>
          <t>CHOOSE RATING</t>
        </is>
      </c>
      <c r="DW265" s="40" t="inlineStr">
        <is>
          <t>CHOOSE RATING</t>
        </is>
      </c>
      <c r="DX265" s="40" t="inlineStr">
        <is>
          <t>CHOOSE RATING</t>
        </is>
      </c>
      <c r="DY265" s="40" t="inlineStr">
        <is>
          <t>CHOOSE RATING</t>
        </is>
      </c>
      <c r="DZ265" s="53" t="inlineStr">
        <is>
          <t>CHOOSE RATING</t>
        </is>
      </c>
      <c r="EA265" s="54" t="inlineStr">
        <is>
          <t>Add the Tutor's Comment . . .</t>
        </is>
      </c>
      <c r="EB265" s="55" t="inlineStr">
        <is>
          <t>Choose Principals comment</t>
        </is>
      </c>
      <c r="EC265" s="56" t="n"/>
      <c r="ED265" s="57" t="inlineStr">
        <is>
          <t>Next Term Begins on Monday, 22nd September, 2025</t>
        </is>
      </c>
    </row>
    <row r="266" ht="30.6" customHeight="1" s="6">
      <c r="A266" s="18" t="n">
        <v>263</v>
      </c>
      <c r="B266" s="19" t="n"/>
      <c r="C266" s="20" t="n"/>
      <c r="D266" s="128" t="n"/>
      <c r="E266" s="21" t="n"/>
      <c r="F266" s="22" t="n"/>
      <c r="G266" s="22" t="n"/>
      <c r="H266" s="22" t="n"/>
      <c r="I266" s="26">
        <f>G266-H266</f>
        <v/>
      </c>
      <c r="J266" s="21" t="n"/>
      <c r="K266" s="21" t="n"/>
      <c r="L266" s="27">
        <f>SUM(J266:K266)</f>
        <v/>
      </c>
      <c r="M266" s="28" t="n"/>
      <c r="N266" s="28" t="n"/>
      <c r="O266" s="29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1" t="n"/>
      <c r="Q266" s="21" t="n"/>
      <c r="R266" s="27">
        <f>SUM(P266:Q266)</f>
        <v/>
      </c>
      <c r="S266" s="28" t="n"/>
      <c r="T266" s="28" t="n"/>
      <c r="U266" s="29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1" t="n"/>
      <c r="W266" s="21" t="n"/>
      <c r="X266" s="27">
        <f>SUM(V266:W266)</f>
        <v/>
      </c>
      <c r="Y266" s="28" t="n"/>
      <c r="Z266" s="28" t="n"/>
      <c r="AA266" s="29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1" t="n"/>
      <c r="AC266" s="21" t="n"/>
      <c r="AD266" s="27">
        <f>SUM(AB266:AC266)</f>
        <v/>
      </c>
      <c r="AE266" s="28" t="n"/>
      <c r="AF266" s="28" t="n"/>
      <c r="AG266" s="29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1" t="n"/>
      <c r="AI266" s="21" t="n"/>
      <c r="AJ266" s="27">
        <f>SUM(AH266:AI266)</f>
        <v/>
      </c>
      <c r="AK266" s="28" t="n"/>
      <c r="AL266" s="28" t="n"/>
      <c r="AM266" s="29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1" t="n"/>
      <c r="AO266" s="21" t="n"/>
      <c r="AP266" s="27">
        <f>SUM(AN266:AO266)</f>
        <v/>
      </c>
      <c r="AQ266" s="28" t="n"/>
      <c r="AR266" s="30" t="n"/>
      <c r="AS266" s="29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1" t="n"/>
      <c r="AU266" s="21" t="n"/>
      <c r="AV266" s="27">
        <f>SUM(AT266:AU266)</f>
        <v/>
      </c>
      <c r="AW266" s="28" t="n"/>
      <c r="AX266" s="30" t="n"/>
      <c r="AY266" s="29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1" t="n"/>
      <c r="BA266" s="21" t="n"/>
      <c r="BB266" s="27">
        <f>SUM(AZ266:BA266)</f>
        <v/>
      </c>
      <c r="BC266" s="28" t="n"/>
      <c r="BD266" s="28" t="n"/>
      <c r="BE266" s="29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1" t="n"/>
      <c r="BG266" s="21" t="n"/>
      <c r="BH266" s="27">
        <f>SUM(BF266:BG266)</f>
        <v/>
      </c>
      <c r="BI266" s="28" t="n"/>
      <c r="BJ266" s="28" t="n"/>
      <c r="BK266" s="29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1" t="n"/>
      <c r="BM266" s="21" t="n"/>
      <c r="BN266" s="27">
        <f>SUM(BL266:BM266)</f>
        <v/>
      </c>
      <c r="BO266" s="28" t="n"/>
      <c r="BP266" s="31" t="n"/>
      <c r="BQ266" s="29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1" t="n"/>
      <c r="BS266" s="21" t="n"/>
      <c r="BT266" s="27">
        <f>SUM(BR266:BS266)</f>
        <v/>
      </c>
      <c r="BU266" s="28" t="n"/>
      <c r="BV266" s="31" t="n"/>
      <c r="BW266" s="29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1" t="n"/>
      <c r="BY266" s="21" t="n"/>
      <c r="BZ266" s="27">
        <f>SUM(BX266:BY266)</f>
        <v/>
      </c>
      <c r="CA266" s="28" t="n"/>
      <c r="CB266" s="31" t="n"/>
      <c r="CC266" s="29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1" t="n"/>
      <c r="CE266" s="21" t="n"/>
      <c r="CF266" s="27">
        <f>SUM(CD266:CE266)</f>
        <v/>
      </c>
      <c r="CG266" s="28" t="n"/>
      <c r="CH266" s="31" t="n"/>
      <c r="CI266" s="29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1" t="n"/>
      <c r="CK266" s="21" t="n"/>
      <c r="CL266" s="27">
        <f>SUM(CJ266:CK266)</f>
        <v/>
      </c>
      <c r="CM266" s="28" t="n"/>
      <c r="CN266" s="31" t="n"/>
      <c r="CO266" s="29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1" t="n"/>
      <c r="CQ266" s="21" t="n"/>
      <c r="CR266" s="27">
        <f>SUM(CP266:CQ266)</f>
        <v/>
      </c>
      <c r="CS266" s="28" t="n"/>
      <c r="CT266" s="31" t="n"/>
      <c r="CU266" s="29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1" t="n"/>
      <c r="CW266" s="21" t="n"/>
      <c r="CX266" s="27">
        <f>SUM(CV266:CW266)</f>
        <v/>
      </c>
      <c r="CY266" s="28" t="n"/>
      <c r="CZ266" s="31" t="n"/>
      <c r="DA266" s="29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1" t="n"/>
      <c r="DC266" s="21" t="n"/>
      <c r="DD266" s="27">
        <f>SUM(DB266:DC266)</f>
        <v/>
      </c>
      <c r="DE266" s="28" t="n"/>
      <c r="DF266" s="31" t="n"/>
      <c r="DG266" s="29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34">
        <f>SUM(O266,U266,AA266,AG266,AM266,AS266,AY266,BE266,BK266,BQ266,BW266,CC266,CI266,CO266,CU266,DA266,DG266)</f>
        <v/>
      </c>
      <c r="DI266" s="39">
        <f>RANK(DH266,DH$4:DH$503)</f>
        <v/>
      </c>
      <c r="DJ266" s="40" t="inlineStr">
        <is>
          <t>CHOOSE RATING</t>
        </is>
      </c>
      <c r="DK266" s="40" t="inlineStr">
        <is>
          <t>CHOOSE RATING</t>
        </is>
      </c>
      <c r="DL266" s="40" t="inlineStr">
        <is>
          <t>CHOOSE RATING</t>
        </is>
      </c>
      <c r="DM266" s="40" t="inlineStr">
        <is>
          <t>CHOOSE RATING</t>
        </is>
      </c>
      <c r="DN266" s="40" t="inlineStr">
        <is>
          <t>CHOOSE RATING</t>
        </is>
      </c>
      <c r="DO266" s="40" t="inlineStr">
        <is>
          <t>CHOOSE RATING</t>
        </is>
      </c>
      <c r="DP266" s="40" t="inlineStr">
        <is>
          <t>CHOOSE RATING</t>
        </is>
      </c>
      <c r="DQ266" s="40" t="inlineStr">
        <is>
          <t>CHOOSE RATING</t>
        </is>
      </c>
      <c r="DR266" s="43" t="inlineStr">
        <is>
          <t>2024/2025</t>
        </is>
      </c>
      <c r="DS266" s="45" t="inlineStr">
        <is>
          <t>THIRD</t>
        </is>
      </c>
      <c r="DT266" s="40" t="inlineStr">
        <is>
          <t>CHOOSE RATING</t>
        </is>
      </c>
      <c r="DU266" s="40" t="inlineStr">
        <is>
          <t>CHOOSE RATING</t>
        </is>
      </c>
      <c r="DV266" s="40" t="inlineStr">
        <is>
          <t>CHOOSE RATING</t>
        </is>
      </c>
      <c r="DW266" s="40" t="inlineStr">
        <is>
          <t>CHOOSE RATING</t>
        </is>
      </c>
      <c r="DX266" s="40" t="inlineStr">
        <is>
          <t>CHOOSE RATING</t>
        </is>
      </c>
      <c r="DY266" s="40" t="inlineStr">
        <is>
          <t>CHOOSE RATING</t>
        </is>
      </c>
      <c r="DZ266" s="53" t="inlineStr">
        <is>
          <t>CHOOSE RATING</t>
        </is>
      </c>
      <c r="EA266" s="54" t="inlineStr">
        <is>
          <t>Add the Tutor's Comment . . .</t>
        </is>
      </c>
      <c r="EB266" s="55" t="inlineStr">
        <is>
          <t>Choose Principals comment</t>
        </is>
      </c>
      <c r="EC266" s="56" t="n"/>
      <c r="ED266" s="57" t="inlineStr">
        <is>
          <t>Next Term Begins on Monday, 22nd September, 2025</t>
        </is>
      </c>
    </row>
    <row r="267" ht="30.6" customHeight="1" s="6">
      <c r="A267" s="18" t="n">
        <v>264</v>
      </c>
      <c r="B267" s="19" t="n"/>
      <c r="C267" s="20" t="n"/>
      <c r="D267" s="128" t="n"/>
      <c r="E267" s="21" t="n"/>
      <c r="F267" s="22" t="n"/>
      <c r="G267" s="22" t="n"/>
      <c r="H267" s="22" t="n"/>
      <c r="I267" s="26">
        <f>G267-H267</f>
        <v/>
      </c>
      <c r="J267" s="21" t="n"/>
      <c r="K267" s="21" t="n"/>
      <c r="L267" s="27">
        <f>SUM(J267:K267)</f>
        <v/>
      </c>
      <c r="M267" s="28" t="n"/>
      <c r="N267" s="28" t="n"/>
      <c r="O267" s="29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1" t="n"/>
      <c r="Q267" s="21" t="n"/>
      <c r="R267" s="27">
        <f>SUM(P267:Q267)</f>
        <v/>
      </c>
      <c r="S267" s="28" t="n"/>
      <c r="T267" s="28" t="n"/>
      <c r="U267" s="29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1" t="n"/>
      <c r="W267" s="21" t="n"/>
      <c r="X267" s="27">
        <f>SUM(V267:W267)</f>
        <v/>
      </c>
      <c r="Y267" s="28" t="n"/>
      <c r="Z267" s="28" t="n"/>
      <c r="AA267" s="29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1" t="n"/>
      <c r="AC267" s="21" t="n"/>
      <c r="AD267" s="27">
        <f>SUM(AB267:AC267)</f>
        <v/>
      </c>
      <c r="AE267" s="28" t="n"/>
      <c r="AF267" s="28" t="n"/>
      <c r="AG267" s="29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1" t="n"/>
      <c r="AI267" s="21" t="n"/>
      <c r="AJ267" s="27">
        <f>SUM(AH267:AI267)</f>
        <v/>
      </c>
      <c r="AK267" s="28" t="n"/>
      <c r="AL267" s="28" t="n"/>
      <c r="AM267" s="29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1" t="n"/>
      <c r="AO267" s="21" t="n"/>
      <c r="AP267" s="27">
        <f>SUM(AN267:AO267)</f>
        <v/>
      </c>
      <c r="AQ267" s="28" t="n"/>
      <c r="AR267" s="30" t="n"/>
      <c r="AS267" s="29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1" t="n"/>
      <c r="AU267" s="21" t="n"/>
      <c r="AV267" s="27">
        <f>SUM(AT267:AU267)</f>
        <v/>
      </c>
      <c r="AW267" s="28" t="n"/>
      <c r="AX267" s="30" t="n"/>
      <c r="AY267" s="29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1" t="n"/>
      <c r="BA267" s="21" t="n"/>
      <c r="BB267" s="27">
        <f>SUM(AZ267:BA267)</f>
        <v/>
      </c>
      <c r="BC267" s="28" t="n"/>
      <c r="BD267" s="28" t="n"/>
      <c r="BE267" s="29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1" t="n"/>
      <c r="BG267" s="21" t="n"/>
      <c r="BH267" s="27">
        <f>SUM(BF267:BG267)</f>
        <v/>
      </c>
      <c r="BI267" s="28" t="n"/>
      <c r="BJ267" s="28" t="n"/>
      <c r="BK267" s="29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1" t="n"/>
      <c r="BM267" s="21" t="n"/>
      <c r="BN267" s="27">
        <f>SUM(BL267:BM267)</f>
        <v/>
      </c>
      <c r="BO267" s="28" t="n"/>
      <c r="BP267" s="31" t="n"/>
      <c r="BQ267" s="29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1" t="n"/>
      <c r="BS267" s="21" t="n"/>
      <c r="BT267" s="27">
        <f>SUM(BR267:BS267)</f>
        <v/>
      </c>
      <c r="BU267" s="28" t="n"/>
      <c r="BV267" s="31" t="n"/>
      <c r="BW267" s="29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1" t="n"/>
      <c r="BY267" s="21" t="n"/>
      <c r="BZ267" s="27">
        <f>SUM(BX267:BY267)</f>
        <v/>
      </c>
      <c r="CA267" s="28" t="n"/>
      <c r="CB267" s="31" t="n"/>
      <c r="CC267" s="29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1" t="n"/>
      <c r="CE267" s="21" t="n"/>
      <c r="CF267" s="27">
        <f>SUM(CD267:CE267)</f>
        <v/>
      </c>
      <c r="CG267" s="28" t="n"/>
      <c r="CH267" s="31" t="n"/>
      <c r="CI267" s="29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1" t="n"/>
      <c r="CK267" s="21" t="n"/>
      <c r="CL267" s="27">
        <f>SUM(CJ267:CK267)</f>
        <v/>
      </c>
      <c r="CM267" s="28" t="n"/>
      <c r="CN267" s="31" t="n"/>
      <c r="CO267" s="29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1" t="n"/>
      <c r="CQ267" s="21" t="n"/>
      <c r="CR267" s="27">
        <f>SUM(CP267:CQ267)</f>
        <v/>
      </c>
      <c r="CS267" s="28" t="n"/>
      <c r="CT267" s="31" t="n"/>
      <c r="CU267" s="29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1" t="n"/>
      <c r="CW267" s="21" t="n"/>
      <c r="CX267" s="27">
        <f>SUM(CV267:CW267)</f>
        <v/>
      </c>
      <c r="CY267" s="28" t="n"/>
      <c r="CZ267" s="31" t="n"/>
      <c r="DA267" s="29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1" t="n"/>
      <c r="DC267" s="21" t="n"/>
      <c r="DD267" s="27">
        <f>SUM(DB267:DC267)</f>
        <v/>
      </c>
      <c r="DE267" s="28" t="n"/>
      <c r="DF267" s="31" t="n"/>
      <c r="DG267" s="29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34">
        <f>SUM(O267,U267,AA267,AG267,AM267,AS267,AY267,BE267,BK267,BQ267,BW267,CC267,CI267,CO267,CU267,DA267,DG267)</f>
        <v/>
      </c>
      <c r="DI267" s="39">
        <f>RANK(DH267,DH$4:DH$503)</f>
        <v/>
      </c>
      <c r="DJ267" s="40" t="inlineStr">
        <is>
          <t>CHOOSE RATING</t>
        </is>
      </c>
      <c r="DK267" s="40" t="inlineStr">
        <is>
          <t>CHOOSE RATING</t>
        </is>
      </c>
      <c r="DL267" s="40" t="inlineStr">
        <is>
          <t>CHOOSE RATING</t>
        </is>
      </c>
      <c r="DM267" s="40" t="inlineStr">
        <is>
          <t>CHOOSE RATING</t>
        </is>
      </c>
      <c r="DN267" s="40" t="inlineStr">
        <is>
          <t>CHOOSE RATING</t>
        </is>
      </c>
      <c r="DO267" s="40" t="inlineStr">
        <is>
          <t>CHOOSE RATING</t>
        </is>
      </c>
      <c r="DP267" s="40" t="inlineStr">
        <is>
          <t>CHOOSE RATING</t>
        </is>
      </c>
      <c r="DQ267" s="40" t="inlineStr">
        <is>
          <t>CHOOSE RATING</t>
        </is>
      </c>
      <c r="DR267" s="43" t="inlineStr">
        <is>
          <t>2024/2025</t>
        </is>
      </c>
      <c r="DS267" s="45" t="inlineStr">
        <is>
          <t>THIRD</t>
        </is>
      </c>
      <c r="DT267" s="40" t="inlineStr">
        <is>
          <t>CHOOSE RATING</t>
        </is>
      </c>
      <c r="DU267" s="40" t="inlineStr">
        <is>
          <t>CHOOSE RATING</t>
        </is>
      </c>
      <c r="DV267" s="40" t="inlineStr">
        <is>
          <t>CHOOSE RATING</t>
        </is>
      </c>
      <c r="DW267" s="40" t="inlineStr">
        <is>
          <t>CHOOSE RATING</t>
        </is>
      </c>
      <c r="DX267" s="40" t="inlineStr">
        <is>
          <t>CHOOSE RATING</t>
        </is>
      </c>
      <c r="DY267" s="40" t="inlineStr">
        <is>
          <t>CHOOSE RATING</t>
        </is>
      </c>
      <c r="DZ267" s="53" t="inlineStr">
        <is>
          <t>CHOOSE RATING</t>
        </is>
      </c>
      <c r="EA267" s="54" t="inlineStr">
        <is>
          <t>Add the Tutor's Comment . . .</t>
        </is>
      </c>
      <c r="EB267" s="55" t="inlineStr">
        <is>
          <t>Choose Principals comment</t>
        </is>
      </c>
      <c r="EC267" s="56" t="n"/>
      <c r="ED267" s="57" t="inlineStr">
        <is>
          <t>Next Term Begins on Monday, 22nd September, 2025</t>
        </is>
      </c>
    </row>
    <row r="268" ht="30.6" customHeight="1" s="6">
      <c r="A268" s="18" t="n">
        <v>265</v>
      </c>
      <c r="B268" s="19" t="n"/>
      <c r="C268" s="20" t="n"/>
      <c r="D268" s="128" t="n"/>
      <c r="E268" s="21" t="n"/>
      <c r="F268" s="22" t="n"/>
      <c r="G268" s="22" t="n"/>
      <c r="H268" s="22" t="n"/>
      <c r="I268" s="26">
        <f>G268-H268</f>
        <v/>
      </c>
      <c r="J268" s="21" t="n"/>
      <c r="K268" s="21" t="n"/>
      <c r="L268" s="27">
        <f>SUM(J268:K268)</f>
        <v/>
      </c>
      <c r="M268" s="28" t="n"/>
      <c r="N268" s="28" t="n"/>
      <c r="O268" s="29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1" t="n"/>
      <c r="Q268" s="21" t="n"/>
      <c r="R268" s="27">
        <f>SUM(P268:Q268)</f>
        <v/>
      </c>
      <c r="S268" s="28" t="n"/>
      <c r="T268" s="28" t="n"/>
      <c r="U268" s="29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1" t="n"/>
      <c r="W268" s="21" t="n"/>
      <c r="X268" s="27">
        <f>SUM(V268:W268)</f>
        <v/>
      </c>
      <c r="Y268" s="28" t="n"/>
      <c r="Z268" s="28" t="n"/>
      <c r="AA268" s="29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1" t="n"/>
      <c r="AC268" s="21" t="n"/>
      <c r="AD268" s="27">
        <f>SUM(AB268:AC268)</f>
        <v/>
      </c>
      <c r="AE268" s="28" t="n"/>
      <c r="AF268" s="28" t="n"/>
      <c r="AG268" s="29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1" t="n"/>
      <c r="AI268" s="21" t="n"/>
      <c r="AJ268" s="27">
        <f>SUM(AH268:AI268)</f>
        <v/>
      </c>
      <c r="AK268" s="28" t="n"/>
      <c r="AL268" s="28" t="n"/>
      <c r="AM268" s="29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1" t="n"/>
      <c r="AO268" s="21" t="n"/>
      <c r="AP268" s="27">
        <f>SUM(AN268:AO268)</f>
        <v/>
      </c>
      <c r="AQ268" s="28" t="n"/>
      <c r="AR268" s="30" t="n"/>
      <c r="AS268" s="29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1" t="n"/>
      <c r="AU268" s="21" t="n"/>
      <c r="AV268" s="27">
        <f>SUM(AT268:AU268)</f>
        <v/>
      </c>
      <c r="AW268" s="28" t="n"/>
      <c r="AX268" s="30" t="n"/>
      <c r="AY268" s="29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1" t="n"/>
      <c r="BA268" s="21" t="n"/>
      <c r="BB268" s="27">
        <f>SUM(AZ268:BA268)</f>
        <v/>
      </c>
      <c r="BC268" s="28" t="n"/>
      <c r="BD268" s="28" t="n"/>
      <c r="BE268" s="29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1" t="n"/>
      <c r="BG268" s="21" t="n"/>
      <c r="BH268" s="27">
        <f>SUM(BF268:BG268)</f>
        <v/>
      </c>
      <c r="BI268" s="28" t="n"/>
      <c r="BJ268" s="28" t="n"/>
      <c r="BK268" s="29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1" t="n"/>
      <c r="BM268" s="21" t="n"/>
      <c r="BN268" s="27">
        <f>SUM(BL268:BM268)</f>
        <v/>
      </c>
      <c r="BO268" s="28" t="n"/>
      <c r="BP268" s="31" t="n"/>
      <c r="BQ268" s="29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1" t="n"/>
      <c r="BS268" s="21" t="n"/>
      <c r="BT268" s="27">
        <f>SUM(BR268:BS268)</f>
        <v/>
      </c>
      <c r="BU268" s="28" t="n"/>
      <c r="BV268" s="31" t="n"/>
      <c r="BW268" s="29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1" t="n"/>
      <c r="BY268" s="21" t="n"/>
      <c r="BZ268" s="27">
        <f>SUM(BX268:BY268)</f>
        <v/>
      </c>
      <c r="CA268" s="28" t="n"/>
      <c r="CB268" s="31" t="n"/>
      <c r="CC268" s="29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1" t="n"/>
      <c r="CE268" s="21" t="n"/>
      <c r="CF268" s="27">
        <f>SUM(CD268:CE268)</f>
        <v/>
      </c>
      <c r="CG268" s="28" t="n"/>
      <c r="CH268" s="31" t="n"/>
      <c r="CI268" s="29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1" t="n"/>
      <c r="CK268" s="21" t="n"/>
      <c r="CL268" s="27">
        <f>SUM(CJ268:CK268)</f>
        <v/>
      </c>
      <c r="CM268" s="28" t="n"/>
      <c r="CN268" s="31" t="n"/>
      <c r="CO268" s="29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1" t="n"/>
      <c r="CQ268" s="21" t="n"/>
      <c r="CR268" s="27">
        <f>SUM(CP268:CQ268)</f>
        <v/>
      </c>
      <c r="CS268" s="28" t="n"/>
      <c r="CT268" s="31" t="n"/>
      <c r="CU268" s="29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1" t="n"/>
      <c r="CW268" s="21" t="n"/>
      <c r="CX268" s="27">
        <f>SUM(CV268:CW268)</f>
        <v/>
      </c>
      <c r="CY268" s="28" t="n"/>
      <c r="CZ268" s="31" t="n"/>
      <c r="DA268" s="29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1" t="n"/>
      <c r="DC268" s="21" t="n"/>
      <c r="DD268" s="27">
        <f>SUM(DB268:DC268)</f>
        <v/>
      </c>
      <c r="DE268" s="28" t="n"/>
      <c r="DF268" s="31" t="n"/>
      <c r="DG268" s="29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34">
        <f>SUM(O268,U268,AA268,AG268,AM268,AS268,AY268,BE268,BK268,BQ268,BW268,CC268,CI268,CO268,CU268,DA268,DG268)</f>
        <v/>
      </c>
      <c r="DI268" s="39">
        <f>RANK(DH268,DH$4:DH$503)</f>
        <v/>
      </c>
      <c r="DJ268" s="40" t="inlineStr">
        <is>
          <t>CHOOSE RATING</t>
        </is>
      </c>
      <c r="DK268" s="40" t="inlineStr">
        <is>
          <t>CHOOSE RATING</t>
        </is>
      </c>
      <c r="DL268" s="40" t="inlineStr">
        <is>
          <t>CHOOSE RATING</t>
        </is>
      </c>
      <c r="DM268" s="40" t="inlineStr">
        <is>
          <t>CHOOSE RATING</t>
        </is>
      </c>
      <c r="DN268" s="40" t="inlineStr">
        <is>
          <t>CHOOSE RATING</t>
        </is>
      </c>
      <c r="DO268" s="40" t="inlineStr">
        <is>
          <t>CHOOSE RATING</t>
        </is>
      </c>
      <c r="DP268" s="40" t="inlineStr">
        <is>
          <t>CHOOSE RATING</t>
        </is>
      </c>
      <c r="DQ268" s="40" t="inlineStr">
        <is>
          <t>CHOOSE RATING</t>
        </is>
      </c>
      <c r="DR268" s="43" t="inlineStr">
        <is>
          <t>2024/2025</t>
        </is>
      </c>
      <c r="DS268" s="45" t="inlineStr">
        <is>
          <t>THIRD</t>
        </is>
      </c>
      <c r="DT268" s="40" t="inlineStr">
        <is>
          <t>CHOOSE RATING</t>
        </is>
      </c>
      <c r="DU268" s="40" t="inlineStr">
        <is>
          <t>CHOOSE RATING</t>
        </is>
      </c>
      <c r="DV268" s="40" t="inlineStr">
        <is>
          <t>CHOOSE RATING</t>
        </is>
      </c>
      <c r="DW268" s="40" t="inlineStr">
        <is>
          <t>CHOOSE RATING</t>
        </is>
      </c>
      <c r="DX268" s="40" t="inlineStr">
        <is>
          <t>CHOOSE RATING</t>
        </is>
      </c>
      <c r="DY268" s="40" t="inlineStr">
        <is>
          <t>CHOOSE RATING</t>
        </is>
      </c>
      <c r="DZ268" s="53" t="inlineStr">
        <is>
          <t>CHOOSE RATING</t>
        </is>
      </c>
      <c r="EA268" s="54" t="inlineStr">
        <is>
          <t>Add the Tutor's Comment . . .</t>
        </is>
      </c>
      <c r="EB268" s="55" t="inlineStr">
        <is>
          <t>Choose Principals comment</t>
        </is>
      </c>
      <c r="EC268" s="56" t="n"/>
      <c r="ED268" s="57" t="inlineStr">
        <is>
          <t>Next Term Begins on Monday, 22nd September, 2025</t>
        </is>
      </c>
    </row>
    <row r="269" ht="30.6" customHeight="1" s="6">
      <c r="A269" s="18" t="n">
        <v>266</v>
      </c>
      <c r="B269" s="19" t="n"/>
      <c r="C269" s="20" t="n"/>
      <c r="D269" s="128" t="n"/>
      <c r="E269" s="21" t="n"/>
      <c r="F269" s="22" t="n"/>
      <c r="G269" s="22" t="n"/>
      <c r="H269" s="22" t="n"/>
      <c r="I269" s="26">
        <f>G269-H269</f>
        <v/>
      </c>
      <c r="J269" s="21" t="n"/>
      <c r="K269" s="21" t="n"/>
      <c r="L269" s="27">
        <f>SUM(J269:K269)</f>
        <v/>
      </c>
      <c r="M269" s="28" t="n"/>
      <c r="N269" s="28" t="n"/>
      <c r="O269" s="29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1" t="n"/>
      <c r="Q269" s="21" t="n"/>
      <c r="R269" s="27">
        <f>SUM(P269:Q269)</f>
        <v/>
      </c>
      <c r="S269" s="28" t="n"/>
      <c r="T269" s="28" t="n"/>
      <c r="U269" s="29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1" t="n"/>
      <c r="W269" s="21" t="n"/>
      <c r="X269" s="27">
        <f>SUM(V269:W269)</f>
        <v/>
      </c>
      <c r="Y269" s="28" t="n"/>
      <c r="Z269" s="28" t="n"/>
      <c r="AA269" s="29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1" t="n"/>
      <c r="AC269" s="21" t="n"/>
      <c r="AD269" s="27">
        <f>SUM(AB269:AC269)</f>
        <v/>
      </c>
      <c r="AE269" s="28" t="n"/>
      <c r="AF269" s="28" t="n"/>
      <c r="AG269" s="29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1" t="n"/>
      <c r="AI269" s="21" t="n"/>
      <c r="AJ269" s="27">
        <f>SUM(AH269:AI269)</f>
        <v/>
      </c>
      <c r="AK269" s="28" t="n"/>
      <c r="AL269" s="28" t="n"/>
      <c r="AM269" s="29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1" t="n"/>
      <c r="AO269" s="21" t="n"/>
      <c r="AP269" s="27">
        <f>SUM(AN269:AO269)</f>
        <v/>
      </c>
      <c r="AQ269" s="28" t="n"/>
      <c r="AR269" s="30" t="n"/>
      <c r="AS269" s="29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1" t="n"/>
      <c r="AU269" s="21" t="n"/>
      <c r="AV269" s="27">
        <f>SUM(AT269:AU269)</f>
        <v/>
      </c>
      <c r="AW269" s="28" t="n"/>
      <c r="AX269" s="30" t="n"/>
      <c r="AY269" s="29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1" t="n"/>
      <c r="BA269" s="21" t="n"/>
      <c r="BB269" s="27">
        <f>SUM(AZ269:BA269)</f>
        <v/>
      </c>
      <c r="BC269" s="28" t="n"/>
      <c r="BD269" s="28" t="n"/>
      <c r="BE269" s="29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1" t="n"/>
      <c r="BG269" s="21" t="n"/>
      <c r="BH269" s="27">
        <f>SUM(BF269:BG269)</f>
        <v/>
      </c>
      <c r="BI269" s="28" t="n"/>
      <c r="BJ269" s="28" t="n"/>
      <c r="BK269" s="29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1" t="n"/>
      <c r="BM269" s="21" t="n"/>
      <c r="BN269" s="27">
        <f>SUM(BL269:BM269)</f>
        <v/>
      </c>
      <c r="BO269" s="28" t="n"/>
      <c r="BP269" s="31" t="n"/>
      <c r="BQ269" s="29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1" t="n"/>
      <c r="BS269" s="21" t="n"/>
      <c r="BT269" s="27">
        <f>SUM(BR269:BS269)</f>
        <v/>
      </c>
      <c r="BU269" s="28" t="n"/>
      <c r="BV269" s="31" t="n"/>
      <c r="BW269" s="29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1" t="n"/>
      <c r="BY269" s="21" t="n"/>
      <c r="BZ269" s="27">
        <f>SUM(BX269:BY269)</f>
        <v/>
      </c>
      <c r="CA269" s="28" t="n"/>
      <c r="CB269" s="31" t="n"/>
      <c r="CC269" s="29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1" t="n"/>
      <c r="CE269" s="21" t="n"/>
      <c r="CF269" s="27">
        <f>SUM(CD269:CE269)</f>
        <v/>
      </c>
      <c r="CG269" s="28" t="n"/>
      <c r="CH269" s="31" t="n"/>
      <c r="CI269" s="29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1" t="n"/>
      <c r="CK269" s="21" t="n"/>
      <c r="CL269" s="27">
        <f>SUM(CJ269:CK269)</f>
        <v/>
      </c>
      <c r="CM269" s="28" t="n"/>
      <c r="CN269" s="31" t="n"/>
      <c r="CO269" s="29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1" t="n"/>
      <c r="CQ269" s="21" t="n"/>
      <c r="CR269" s="27">
        <f>SUM(CP269:CQ269)</f>
        <v/>
      </c>
      <c r="CS269" s="28" t="n"/>
      <c r="CT269" s="31" t="n"/>
      <c r="CU269" s="29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1" t="n"/>
      <c r="CW269" s="21" t="n"/>
      <c r="CX269" s="27">
        <f>SUM(CV269:CW269)</f>
        <v/>
      </c>
      <c r="CY269" s="28" t="n"/>
      <c r="CZ269" s="31" t="n"/>
      <c r="DA269" s="29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1" t="n"/>
      <c r="DC269" s="21" t="n"/>
      <c r="DD269" s="27">
        <f>SUM(DB269:DC269)</f>
        <v/>
      </c>
      <c r="DE269" s="28" t="n"/>
      <c r="DF269" s="31" t="n"/>
      <c r="DG269" s="29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34">
        <f>SUM(O269,U269,AA269,AG269,AM269,AS269,AY269,BE269,BK269,BQ269,BW269,CC269,CI269,CO269,CU269,DA269,DG269)</f>
        <v/>
      </c>
      <c r="DI269" s="39">
        <f>RANK(DH269,DH$4:DH$503)</f>
        <v/>
      </c>
      <c r="DJ269" s="40" t="inlineStr">
        <is>
          <t>CHOOSE RATING</t>
        </is>
      </c>
      <c r="DK269" s="40" t="inlineStr">
        <is>
          <t>CHOOSE RATING</t>
        </is>
      </c>
      <c r="DL269" s="40" t="inlineStr">
        <is>
          <t>CHOOSE RATING</t>
        </is>
      </c>
      <c r="DM269" s="40" t="inlineStr">
        <is>
          <t>CHOOSE RATING</t>
        </is>
      </c>
      <c r="DN269" s="40" t="inlineStr">
        <is>
          <t>CHOOSE RATING</t>
        </is>
      </c>
      <c r="DO269" s="40" t="inlineStr">
        <is>
          <t>CHOOSE RATING</t>
        </is>
      </c>
      <c r="DP269" s="40" t="inlineStr">
        <is>
          <t>CHOOSE RATING</t>
        </is>
      </c>
      <c r="DQ269" s="40" t="inlineStr">
        <is>
          <t>CHOOSE RATING</t>
        </is>
      </c>
      <c r="DR269" s="43" t="inlineStr">
        <is>
          <t>2024/2025</t>
        </is>
      </c>
      <c r="DS269" s="45" t="inlineStr">
        <is>
          <t>THIRD</t>
        </is>
      </c>
      <c r="DT269" s="40" t="inlineStr">
        <is>
          <t>CHOOSE RATING</t>
        </is>
      </c>
      <c r="DU269" s="40" t="inlineStr">
        <is>
          <t>CHOOSE RATING</t>
        </is>
      </c>
      <c r="DV269" s="40" t="inlineStr">
        <is>
          <t>CHOOSE RATING</t>
        </is>
      </c>
      <c r="DW269" s="40" t="inlineStr">
        <is>
          <t>CHOOSE RATING</t>
        </is>
      </c>
      <c r="DX269" s="40" t="inlineStr">
        <is>
          <t>CHOOSE RATING</t>
        </is>
      </c>
      <c r="DY269" s="40" t="inlineStr">
        <is>
          <t>CHOOSE RATING</t>
        </is>
      </c>
      <c r="DZ269" s="53" t="inlineStr">
        <is>
          <t>CHOOSE RATING</t>
        </is>
      </c>
      <c r="EA269" s="54" t="inlineStr">
        <is>
          <t>Add the Tutor's Comment . . .</t>
        </is>
      </c>
      <c r="EB269" s="55" t="inlineStr">
        <is>
          <t>Choose Principals comment</t>
        </is>
      </c>
      <c r="EC269" s="56" t="n"/>
      <c r="ED269" s="57" t="inlineStr">
        <is>
          <t>Next Term Begins on Monday, 22nd September, 2025</t>
        </is>
      </c>
    </row>
    <row r="270" ht="30.6" customHeight="1" s="6">
      <c r="A270" s="18" t="n">
        <v>267</v>
      </c>
      <c r="B270" s="19" t="n"/>
      <c r="C270" s="20" t="n"/>
      <c r="D270" s="128" t="n"/>
      <c r="E270" s="21" t="n"/>
      <c r="F270" s="22" t="n"/>
      <c r="G270" s="22" t="n"/>
      <c r="H270" s="22" t="n"/>
      <c r="I270" s="26">
        <f>G270-H270</f>
        <v/>
      </c>
      <c r="J270" s="21" t="n"/>
      <c r="K270" s="21" t="n"/>
      <c r="L270" s="27">
        <f>SUM(J270:K270)</f>
        <v/>
      </c>
      <c r="M270" s="28" t="n"/>
      <c r="N270" s="28" t="n"/>
      <c r="O270" s="29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1" t="n"/>
      <c r="Q270" s="21" t="n"/>
      <c r="R270" s="27">
        <f>SUM(P270:Q270)</f>
        <v/>
      </c>
      <c r="S270" s="28" t="n"/>
      <c r="T270" s="28" t="n"/>
      <c r="U270" s="29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1" t="n"/>
      <c r="W270" s="21" t="n"/>
      <c r="X270" s="27">
        <f>SUM(V270:W270)</f>
        <v/>
      </c>
      <c r="Y270" s="28" t="n"/>
      <c r="Z270" s="28" t="n"/>
      <c r="AA270" s="29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1" t="n"/>
      <c r="AC270" s="21" t="n"/>
      <c r="AD270" s="27">
        <f>SUM(AB270:AC270)</f>
        <v/>
      </c>
      <c r="AE270" s="28" t="n"/>
      <c r="AF270" s="28" t="n"/>
      <c r="AG270" s="29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1" t="n"/>
      <c r="AI270" s="21" t="n"/>
      <c r="AJ270" s="27">
        <f>SUM(AH270:AI270)</f>
        <v/>
      </c>
      <c r="AK270" s="28" t="n"/>
      <c r="AL270" s="28" t="n"/>
      <c r="AM270" s="29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1" t="n"/>
      <c r="AO270" s="21" t="n"/>
      <c r="AP270" s="27">
        <f>SUM(AN270:AO270)</f>
        <v/>
      </c>
      <c r="AQ270" s="28" t="n"/>
      <c r="AR270" s="30" t="n"/>
      <c r="AS270" s="29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1" t="n"/>
      <c r="AU270" s="21" t="n"/>
      <c r="AV270" s="27">
        <f>SUM(AT270:AU270)</f>
        <v/>
      </c>
      <c r="AW270" s="28" t="n"/>
      <c r="AX270" s="30" t="n"/>
      <c r="AY270" s="29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1" t="n"/>
      <c r="BA270" s="21" t="n"/>
      <c r="BB270" s="27">
        <f>SUM(AZ270:BA270)</f>
        <v/>
      </c>
      <c r="BC270" s="28" t="n"/>
      <c r="BD270" s="28" t="n"/>
      <c r="BE270" s="29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1" t="n"/>
      <c r="BG270" s="21" t="n"/>
      <c r="BH270" s="27">
        <f>SUM(BF270:BG270)</f>
        <v/>
      </c>
      <c r="BI270" s="28" t="n"/>
      <c r="BJ270" s="28" t="n"/>
      <c r="BK270" s="29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1" t="n"/>
      <c r="BM270" s="21" t="n"/>
      <c r="BN270" s="27">
        <f>SUM(BL270:BM270)</f>
        <v/>
      </c>
      <c r="BO270" s="28" t="n"/>
      <c r="BP270" s="31" t="n"/>
      <c r="BQ270" s="29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1" t="n"/>
      <c r="BS270" s="21" t="n"/>
      <c r="BT270" s="27">
        <f>SUM(BR270:BS270)</f>
        <v/>
      </c>
      <c r="BU270" s="28" t="n"/>
      <c r="BV270" s="31" t="n"/>
      <c r="BW270" s="29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1" t="n"/>
      <c r="BY270" s="21" t="n"/>
      <c r="BZ270" s="27">
        <f>SUM(BX270:BY270)</f>
        <v/>
      </c>
      <c r="CA270" s="28" t="n"/>
      <c r="CB270" s="31" t="n"/>
      <c r="CC270" s="29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1" t="n"/>
      <c r="CE270" s="21" t="n"/>
      <c r="CF270" s="27">
        <f>SUM(CD270:CE270)</f>
        <v/>
      </c>
      <c r="CG270" s="28" t="n"/>
      <c r="CH270" s="31" t="n"/>
      <c r="CI270" s="29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1" t="n"/>
      <c r="CK270" s="21" t="n"/>
      <c r="CL270" s="27">
        <f>SUM(CJ270:CK270)</f>
        <v/>
      </c>
      <c r="CM270" s="28" t="n"/>
      <c r="CN270" s="31" t="n"/>
      <c r="CO270" s="29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1" t="n"/>
      <c r="CQ270" s="21" t="n"/>
      <c r="CR270" s="27">
        <f>SUM(CP270:CQ270)</f>
        <v/>
      </c>
      <c r="CS270" s="28" t="n"/>
      <c r="CT270" s="31" t="n"/>
      <c r="CU270" s="29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1" t="n"/>
      <c r="CW270" s="21" t="n"/>
      <c r="CX270" s="27">
        <f>SUM(CV270:CW270)</f>
        <v/>
      </c>
      <c r="CY270" s="28" t="n"/>
      <c r="CZ270" s="31" t="n"/>
      <c r="DA270" s="29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1" t="n"/>
      <c r="DC270" s="21" t="n"/>
      <c r="DD270" s="27">
        <f>SUM(DB270:DC270)</f>
        <v/>
      </c>
      <c r="DE270" s="28" t="n"/>
      <c r="DF270" s="31" t="n"/>
      <c r="DG270" s="29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34">
        <f>SUM(O270,U270,AA270,AG270,AM270,AS270,AY270,BE270,BK270,BQ270,BW270,CC270,CI270,CO270,CU270,DA270,DG270)</f>
        <v/>
      </c>
      <c r="DI270" s="39">
        <f>RANK(DH270,DH$4:DH$503)</f>
        <v/>
      </c>
      <c r="DJ270" s="40" t="inlineStr">
        <is>
          <t>CHOOSE RATING</t>
        </is>
      </c>
      <c r="DK270" s="40" t="inlineStr">
        <is>
          <t>CHOOSE RATING</t>
        </is>
      </c>
      <c r="DL270" s="40" t="inlineStr">
        <is>
          <t>CHOOSE RATING</t>
        </is>
      </c>
      <c r="DM270" s="40" t="inlineStr">
        <is>
          <t>CHOOSE RATING</t>
        </is>
      </c>
      <c r="DN270" s="40" t="inlineStr">
        <is>
          <t>CHOOSE RATING</t>
        </is>
      </c>
      <c r="DO270" s="40" t="inlineStr">
        <is>
          <t>CHOOSE RATING</t>
        </is>
      </c>
      <c r="DP270" s="40" t="inlineStr">
        <is>
          <t>CHOOSE RATING</t>
        </is>
      </c>
      <c r="DQ270" s="40" t="inlineStr">
        <is>
          <t>CHOOSE RATING</t>
        </is>
      </c>
      <c r="DR270" s="43" t="inlineStr">
        <is>
          <t>2024/2025</t>
        </is>
      </c>
      <c r="DS270" s="45" t="inlineStr">
        <is>
          <t>THIRD</t>
        </is>
      </c>
      <c r="DT270" s="40" t="inlineStr">
        <is>
          <t>CHOOSE RATING</t>
        </is>
      </c>
      <c r="DU270" s="40" t="inlineStr">
        <is>
          <t>CHOOSE RATING</t>
        </is>
      </c>
      <c r="DV270" s="40" t="inlineStr">
        <is>
          <t>CHOOSE RATING</t>
        </is>
      </c>
      <c r="DW270" s="40" t="inlineStr">
        <is>
          <t>CHOOSE RATING</t>
        </is>
      </c>
      <c r="DX270" s="40" t="inlineStr">
        <is>
          <t>CHOOSE RATING</t>
        </is>
      </c>
      <c r="DY270" s="40" t="inlineStr">
        <is>
          <t>CHOOSE RATING</t>
        </is>
      </c>
      <c r="DZ270" s="53" t="inlineStr">
        <is>
          <t>CHOOSE RATING</t>
        </is>
      </c>
      <c r="EA270" s="54" t="inlineStr">
        <is>
          <t>Add the Tutor's Comment . . .</t>
        </is>
      </c>
      <c r="EB270" s="55" t="inlineStr">
        <is>
          <t>Choose Principals comment</t>
        </is>
      </c>
      <c r="EC270" s="56" t="n"/>
      <c r="ED270" s="57" t="inlineStr">
        <is>
          <t>Next Term Begins on Monday, 22nd September, 2025</t>
        </is>
      </c>
    </row>
    <row r="271" ht="30.6" customHeight="1" s="6">
      <c r="A271" s="18" t="n">
        <v>268</v>
      </c>
      <c r="B271" s="19" t="n"/>
      <c r="C271" s="20" t="n"/>
      <c r="D271" s="128" t="n"/>
      <c r="E271" s="21" t="n"/>
      <c r="F271" s="22" t="n"/>
      <c r="G271" s="22" t="n"/>
      <c r="H271" s="22" t="n"/>
      <c r="I271" s="26">
        <f>G271-H271</f>
        <v/>
      </c>
      <c r="J271" s="21" t="n"/>
      <c r="K271" s="21" t="n"/>
      <c r="L271" s="27">
        <f>SUM(J271:K271)</f>
        <v/>
      </c>
      <c r="M271" s="28" t="n"/>
      <c r="N271" s="28" t="n"/>
      <c r="O271" s="29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1" t="n"/>
      <c r="Q271" s="21" t="n"/>
      <c r="R271" s="27">
        <f>SUM(P271:Q271)</f>
        <v/>
      </c>
      <c r="S271" s="28" t="n"/>
      <c r="T271" s="28" t="n"/>
      <c r="U271" s="29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1" t="n"/>
      <c r="W271" s="21" t="n"/>
      <c r="X271" s="27">
        <f>SUM(V271:W271)</f>
        <v/>
      </c>
      <c r="Y271" s="28" t="n"/>
      <c r="Z271" s="28" t="n"/>
      <c r="AA271" s="29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1" t="n"/>
      <c r="AC271" s="21" t="n"/>
      <c r="AD271" s="27">
        <f>SUM(AB271:AC271)</f>
        <v/>
      </c>
      <c r="AE271" s="28" t="n"/>
      <c r="AF271" s="28" t="n"/>
      <c r="AG271" s="29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1" t="n"/>
      <c r="AI271" s="21" t="n"/>
      <c r="AJ271" s="27">
        <f>SUM(AH271:AI271)</f>
        <v/>
      </c>
      <c r="AK271" s="28" t="n"/>
      <c r="AL271" s="28" t="n"/>
      <c r="AM271" s="29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1" t="n"/>
      <c r="AO271" s="21" t="n"/>
      <c r="AP271" s="27">
        <f>SUM(AN271:AO271)</f>
        <v/>
      </c>
      <c r="AQ271" s="28" t="n"/>
      <c r="AR271" s="30" t="n"/>
      <c r="AS271" s="29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1" t="n"/>
      <c r="AU271" s="21" t="n"/>
      <c r="AV271" s="27">
        <f>SUM(AT271:AU271)</f>
        <v/>
      </c>
      <c r="AW271" s="28" t="n"/>
      <c r="AX271" s="30" t="n"/>
      <c r="AY271" s="29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1" t="n"/>
      <c r="BA271" s="21" t="n"/>
      <c r="BB271" s="27">
        <f>SUM(AZ271:BA271)</f>
        <v/>
      </c>
      <c r="BC271" s="28" t="n"/>
      <c r="BD271" s="28" t="n"/>
      <c r="BE271" s="29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1" t="n"/>
      <c r="BG271" s="21" t="n"/>
      <c r="BH271" s="27">
        <f>SUM(BF271:BG271)</f>
        <v/>
      </c>
      <c r="BI271" s="28" t="n"/>
      <c r="BJ271" s="28" t="n"/>
      <c r="BK271" s="29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1" t="n"/>
      <c r="BM271" s="21" t="n"/>
      <c r="BN271" s="27">
        <f>SUM(BL271:BM271)</f>
        <v/>
      </c>
      <c r="BO271" s="28" t="n"/>
      <c r="BP271" s="31" t="n"/>
      <c r="BQ271" s="29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1" t="n"/>
      <c r="BS271" s="21" t="n"/>
      <c r="BT271" s="27">
        <f>SUM(BR271:BS271)</f>
        <v/>
      </c>
      <c r="BU271" s="28" t="n"/>
      <c r="BV271" s="31" t="n"/>
      <c r="BW271" s="29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1" t="n"/>
      <c r="BY271" s="21" t="n"/>
      <c r="BZ271" s="27">
        <f>SUM(BX271:BY271)</f>
        <v/>
      </c>
      <c r="CA271" s="28" t="n"/>
      <c r="CB271" s="31" t="n"/>
      <c r="CC271" s="29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1" t="n"/>
      <c r="CE271" s="21" t="n"/>
      <c r="CF271" s="27">
        <f>SUM(CD271:CE271)</f>
        <v/>
      </c>
      <c r="CG271" s="28" t="n"/>
      <c r="CH271" s="31" t="n"/>
      <c r="CI271" s="29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1" t="n"/>
      <c r="CK271" s="21" t="n"/>
      <c r="CL271" s="27">
        <f>SUM(CJ271:CK271)</f>
        <v/>
      </c>
      <c r="CM271" s="28" t="n"/>
      <c r="CN271" s="31" t="n"/>
      <c r="CO271" s="29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1" t="n"/>
      <c r="CQ271" s="21" t="n"/>
      <c r="CR271" s="27">
        <f>SUM(CP271:CQ271)</f>
        <v/>
      </c>
      <c r="CS271" s="28" t="n"/>
      <c r="CT271" s="31" t="n"/>
      <c r="CU271" s="29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1" t="n"/>
      <c r="CW271" s="21" t="n"/>
      <c r="CX271" s="27">
        <f>SUM(CV271:CW271)</f>
        <v/>
      </c>
      <c r="CY271" s="28" t="n"/>
      <c r="CZ271" s="31" t="n"/>
      <c r="DA271" s="29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1" t="n"/>
      <c r="DC271" s="21" t="n"/>
      <c r="DD271" s="27">
        <f>SUM(DB271:DC271)</f>
        <v/>
      </c>
      <c r="DE271" s="28" t="n"/>
      <c r="DF271" s="31" t="n"/>
      <c r="DG271" s="29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34">
        <f>SUM(O271,U271,AA271,AG271,AM271,AS271,AY271,BE271,BK271,BQ271,BW271,CC271,CI271,CO271,CU271,DA271,DG271)</f>
        <v/>
      </c>
      <c r="DI271" s="39">
        <f>RANK(DH271,DH$4:DH$503)</f>
        <v/>
      </c>
      <c r="DJ271" s="40" t="inlineStr">
        <is>
          <t>CHOOSE RATING</t>
        </is>
      </c>
      <c r="DK271" s="40" t="inlineStr">
        <is>
          <t>CHOOSE RATING</t>
        </is>
      </c>
      <c r="DL271" s="40" t="inlineStr">
        <is>
          <t>CHOOSE RATING</t>
        </is>
      </c>
      <c r="DM271" s="40" t="inlineStr">
        <is>
          <t>CHOOSE RATING</t>
        </is>
      </c>
      <c r="DN271" s="40" t="inlineStr">
        <is>
          <t>CHOOSE RATING</t>
        </is>
      </c>
      <c r="DO271" s="40" t="inlineStr">
        <is>
          <t>CHOOSE RATING</t>
        </is>
      </c>
      <c r="DP271" s="40" t="inlineStr">
        <is>
          <t>CHOOSE RATING</t>
        </is>
      </c>
      <c r="DQ271" s="40" t="inlineStr">
        <is>
          <t>CHOOSE RATING</t>
        </is>
      </c>
      <c r="DR271" s="43" t="inlineStr">
        <is>
          <t>2024/2025</t>
        </is>
      </c>
      <c r="DS271" s="45" t="inlineStr">
        <is>
          <t>THIRD</t>
        </is>
      </c>
      <c r="DT271" s="40" t="inlineStr">
        <is>
          <t>CHOOSE RATING</t>
        </is>
      </c>
      <c r="DU271" s="40" t="inlineStr">
        <is>
          <t>CHOOSE RATING</t>
        </is>
      </c>
      <c r="DV271" s="40" t="inlineStr">
        <is>
          <t>CHOOSE RATING</t>
        </is>
      </c>
      <c r="DW271" s="40" t="inlineStr">
        <is>
          <t>CHOOSE RATING</t>
        </is>
      </c>
      <c r="DX271" s="40" t="inlineStr">
        <is>
          <t>CHOOSE RATING</t>
        </is>
      </c>
      <c r="DY271" s="40" t="inlineStr">
        <is>
          <t>CHOOSE RATING</t>
        </is>
      </c>
      <c r="DZ271" s="53" t="inlineStr">
        <is>
          <t>CHOOSE RATING</t>
        </is>
      </c>
      <c r="EA271" s="54" t="inlineStr">
        <is>
          <t>Add the Tutor's Comment . . .</t>
        </is>
      </c>
      <c r="EB271" s="55" t="inlineStr">
        <is>
          <t>Choose Principals comment</t>
        </is>
      </c>
      <c r="EC271" s="56" t="n"/>
      <c r="ED271" s="57" t="inlineStr">
        <is>
          <t>Next Term Begins on Monday, 22nd September, 2025</t>
        </is>
      </c>
    </row>
    <row r="272" ht="30.6" customHeight="1" s="6">
      <c r="A272" s="18" t="n">
        <v>269</v>
      </c>
      <c r="B272" s="19" t="n"/>
      <c r="C272" s="20" t="n"/>
      <c r="D272" s="128" t="n"/>
      <c r="E272" s="21" t="n"/>
      <c r="F272" s="22" t="n"/>
      <c r="G272" s="22" t="n"/>
      <c r="H272" s="22" t="n"/>
      <c r="I272" s="26">
        <f>G272-H272</f>
        <v/>
      </c>
      <c r="J272" s="21" t="n"/>
      <c r="K272" s="21" t="n"/>
      <c r="L272" s="27">
        <f>SUM(J272:K272)</f>
        <v/>
      </c>
      <c r="M272" s="28" t="n"/>
      <c r="N272" s="28" t="n"/>
      <c r="O272" s="29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1" t="n"/>
      <c r="Q272" s="21" t="n"/>
      <c r="R272" s="27">
        <f>SUM(P272:Q272)</f>
        <v/>
      </c>
      <c r="S272" s="28" t="n"/>
      <c r="T272" s="28" t="n"/>
      <c r="U272" s="29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1" t="n"/>
      <c r="W272" s="21" t="n"/>
      <c r="X272" s="27">
        <f>SUM(V272:W272)</f>
        <v/>
      </c>
      <c r="Y272" s="28" t="n"/>
      <c r="Z272" s="28" t="n"/>
      <c r="AA272" s="29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1" t="n"/>
      <c r="AC272" s="21" t="n"/>
      <c r="AD272" s="27">
        <f>SUM(AB272:AC272)</f>
        <v/>
      </c>
      <c r="AE272" s="28" t="n"/>
      <c r="AF272" s="28" t="n"/>
      <c r="AG272" s="29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1" t="n"/>
      <c r="AI272" s="21" t="n"/>
      <c r="AJ272" s="27">
        <f>SUM(AH272:AI272)</f>
        <v/>
      </c>
      <c r="AK272" s="28" t="n"/>
      <c r="AL272" s="28" t="n"/>
      <c r="AM272" s="29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1" t="n"/>
      <c r="AO272" s="21" t="n"/>
      <c r="AP272" s="27">
        <f>SUM(AN272:AO272)</f>
        <v/>
      </c>
      <c r="AQ272" s="28" t="n"/>
      <c r="AR272" s="30" t="n"/>
      <c r="AS272" s="29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1" t="n"/>
      <c r="AU272" s="21" t="n"/>
      <c r="AV272" s="27">
        <f>SUM(AT272:AU272)</f>
        <v/>
      </c>
      <c r="AW272" s="28" t="n"/>
      <c r="AX272" s="30" t="n"/>
      <c r="AY272" s="29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1" t="n"/>
      <c r="BA272" s="21" t="n"/>
      <c r="BB272" s="27">
        <f>SUM(AZ272:BA272)</f>
        <v/>
      </c>
      <c r="BC272" s="28" t="n"/>
      <c r="BD272" s="28" t="n"/>
      <c r="BE272" s="29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1" t="n"/>
      <c r="BG272" s="21" t="n"/>
      <c r="BH272" s="27">
        <f>SUM(BF272:BG272)</f>
        <v/>
      </c>
      <c r="BI272" s="28" t="n"/>
      <c r="BJ272" s="28" t="n"/>
      <c r="BK272" s="29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1" t="n"/>
      <c r="BM272" s="21" t="n"/>
      <c r="BN272" s="27">
        <f>SUM(BL272:BM272)</f>
        <v/>
      </c>
      <c r="BO272" s="28" t="n"/>
      <c r="BP272" s="31" t="n"/>
      <c r="BQ272" s="29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1" t="n"/>
      <c r="BS272" s="21" t="n"/>
      <c r="BT272" s="27">
        <f>SUM(BR272:BS272)</f>
        <v/>
      </c>
      <c r="BU272" s="28" t="n"/>
      <c r="BV272" s="31" t="n"/>
      <c r="BW272" s="29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1" t="n"/>
      <c r="BY272" s="21" t="n"/>
      <c r="BZ272" s="27">
        <f>SUM(BX272:BY272)</f>
        <v/>
      </c>
      <c r="CA272" s="28" t="n"/>
      <c r="CB272" s="31" t="n"/>
      <c r="CC272" s="29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1" t="n"/>
      <c r="CE272" s="21" t="n"/>
      <c r="CF272" s="27">
        <f>SUM(CD272:CE272)</f>
        <v/>
      </c>
      <c r="CG272" s="28" t="n"/>
      <c r="CH272" s="31" t="n"/>
      <c r="CI272" s="29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1" t="n"/>
      <c r="CK272" s="21" t="n"/>
      <c r="CL272" s="27">
        <f>SUM(CJ272:CK272)</f>
        <v/>
      </c>
      <c r="CM272" s="28" t="n"/>
      <c r="CN272" s="31" t="n"/>
      <c r="CO272" s="29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1" t="n"/>
      <c r="CQ272" s="21" t="n"/>
      <c r="CR272" s="27">
        <f>SUM(CP272:CQ272)</f>
        <v/>
      </c>
      <c r="CS272" s="28" t="n"/>
      <c r="CT272" s="31" t="n"/>
      <c r="CU272" s="29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1" t="n"/>
      <c r="CW272" s="21" t="n"/>
      <c r="CX272" s="27">
        <f>SUM(CV272:CW272)</f>
        <v/>
      </c>
      <c r="CY272" s="28" t="n"/>
      <c r="CZ272" s="31" t="n"/>
      <c r="DA272" s="29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1" t="n"/>
      <c r="DC272" s="21" t="n"/>
      <c r="DD272" s="27">
        <f>SUM(DB272:DC272)</f>
        <v/>
      </c>
      <c r="DE272" s="28" t="n"/>
      <c r="DF272" s="31" t="n"/>
      <c r="DG272" s="29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34">
        <f>SUM(O272,U272,AA272,AG272,AM272,AS272,AY272,BE272,BK272,BQ272,BW272,CC272,CI272,CO272,CU272,DA272,DG272)</f>
        <v/>
      </c>
      <c r="DI272" s="39">
        <f>RANK(DH272,DH$4:DH$503)</f>
        <v/>
      </c>
      <c r="DJ272" s="40" t="inlineStr">
        <is>
          <t>CHOOSE RATING</t>
        </is>
      </c>
      <c r="DK272" s="40" t="inlineStr">
        <is>
          <t>CHOOSE RATING</t>
        </is>
      </c>
      <c r="DL272" s="40" t="inlineStr">
        <is>
          <t>CHOOSE RATING</t>
        </is>
      </c>
      <c r="DM272" s="40" t="inlineStr">
        <is>
          <t>CHOOSE RATING</t>
        </is>
      </c>
      <c r="DN272" s="40" t="inlineStr">
        <is>
          <t>CHOOSE RATING</t>
        </is>
      </c>
      <c r="DO272" s="40" t="inlineStr">
        <is>
          <t>CHOOSE RATING</t>
        </is>
      </c>
      <c r="DP272" s="40" t="inlineStr">
        <is>
          <t>CHOOSE RATING</t>
        </is>
      </c>
      <c r="DQ272" s="40" t="inlineStr">
        <is>
          <t>CHOOSE RATING</t>
        </is>
      </c>
      <c r="DR272" s="43" t="inlineStr">
        <is>
          <t>2024/2025</t>
        </is>
      </c>
      <c r="DS272" s="45" t="inlineStr">
        <is>
          <t>THIRD</t>
        </is>
      </c>
      <c r="DT272" s="40" t="inlineStr">
        <is>
          <t>CHOOSE RATING</t>
        </is>
      </c>
      <c r="DU272" s="40" t="inlineStr">
        <is>
          <t>CHOOSE RATING</t>
        </is>
      </c>
      <c r="DV272" s="40" t="inlineStr">
        <is>
          <t>CHOOSE RATING</t>
        </is>
      </c>
      <c r="DW272" s="40" t="inlineStr">
        <is>
          <t>CHOOSE RATING</t>
        </is>
      </c>
      <c r="DX272" s="40" t="inlineStr">
        <is>
          <t>CHOOSE RATING</t>
        </is>
      </c>
      <c r="DY272" s="40" t="inlineStr">
        <is>
          <t>CHOOSE RATING</t>
        </is>
      </c>
      <c r="DZ272" s="53" t="inlineStr">
        <is>
          <t>CHOOSE RATING</t>
        </is>
      </c>
      <c r="EA272" s="54" t="inlineStr">
        <is>
          <t>Add the Tutor's Comment . . .</t>
        </is>
      </c>
      <c r="EB272" s="55" t="inlineStr">
        <is>
          <t>Choose Principals comment</t>
        </is>
      </c>
      <c r="EC272" s="56" t="n"/>
      <c r="ED272" s="57" t="inlineStr">
        <is>
          <t>Next Term Begins on Monday, 22nd September, 2025</t>
        </is>
      </c>
    </row>
    <row r="273" ht="30.6" customHeight="1" s="6">
      <c r="A273" s="18" t="n">
        <v>270</v>
      </c>
      <c r="B273" s="19" t="n"/>
      <c r="C273" s="20" t="n"/>
      <c r="D273" s="128" t="n"/>
      <c r="E273" s="21" t="n"/>
      <c r="F273" s="22" t="n"/>
      <c r="G273" s="22" t="n"/>
      <c r="H273" s="22" t="n"/>
      <c r="I273" s="26">
        <f>G273-H273</f>
        <v/>
      </c>
      <c r="J273" s="21" t="n"/>
      <c r="K273" s="21" t="n"/>
      <c r="L273" s="27">
        <f>SUM(J273:K273)</f>
        <v/>
      </c>
      <c r="M273" s="28" t="n"/>
      <c r="N273" s="28" t="n"/>
      <c r="O273" s="29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1" t="n"/>
      <c r="Q273" s="21" t="n"/>
      <c r="R273" s="27">
        <f>SUM(P273:Q273)</f>
        <v/>
      </c>
      <c r="S273" s="28" t="n"/>
      <c r="T273" s="28" t="n"/>
      <c r="U273" s="29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1" t="n"/>
      <c r="W273" s="21" t="n"/>
      <c r="X273" s="27">
        <f>SUM(V273:W273)</f>
        <v/>
      </c>
      <c r="Y273" s="28" t="n"/>
      <c r="Z273" s="28" t="n"/>
      <c r="AA273" s="29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1" t="n"/>
      <c r="AC273" s="21" t="n"/>
      <c r="AD273" s="27">
        <f>SUM(AB273:AC273)</f>
        <v/>
      </c>
      <c r="AE273" s="28" t="n"/>
      <c r="AF273" s="28" t="n"/>
      <c r="AG273" s="29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1" t="n"/>
      <c r="AI273" s="21" t="n"/>
      <c r="AJ273" s="27">
        <f>SUM(AH273:AI273)</f>
        <v/>
      </c>
      <c r="AK273" s="28" t="n"/>
      <c r="AL273" s="28" t="n"/>
      <c r="AM273" s="29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1" t="n"/>
      <c r="AO273" s="21" t="n"/>
      <c r="AP273" s="27">
        <f>SUM(AN273:AO273)</f>
        <v/>
      </c>
      <c r="AQ273" s="28" t="n"/>
      <c r="AR273" s="30" t="n"/>
      <c r="AS273" s="29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1" t="n"/>
      <c r="AU273" s="21" t="n"/>
      <c r="AV273" s="27">
        <f>SUM(AT273:AU273)</f>
        <v/>
      </c>
      <c r="AW273" s="28" t="n"/>
      <c r="AX273" s="30" t="n"/>
      <c r="AY273" s="29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1" t="n"/>
      <c r="BA273" s="21" t="n"/>
      <c r="BB273" s="27">
        <f>SUM(AZ273:BA273)</f>
        <v/>
      </c>
      <c r="BC273" s="28" t="n"/>
      <c r="BD273" s="28" t="n"/>
      <c r="BE273" s="29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1" t="n"/>
      <c r="BG273" s="21" t="n"/>
      <c r="BH273" s="27">
        <f>SUM(BF273:BG273)</f>
        <v/>
      </c>
      <c r="BI273" s="28" t="n"/>
      <c r="BJ273" s="28" t="n"/>
      <c r="BK273" s="29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1" t="n"/>
      <c r="BM273" s="21" t="n"/>
      <c r="BN273" s="27">
        <f>SUM(BL273:BM273)</f>
        <v/>
      </c>
      <c r="BO273" s="28" t="n"/>
      <c r="BP273" s="31" t="n"/>
      <c r="BQ273" s="29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1" t="n"/>
      <c r="BS273" s="21" t="n"/>
      <c r="BT273" s="27">
        <f>SUM(BR273:BS273)</f>
        <v/>
      </c>
      <c r="BU273" s="28" t="n"/>
      <c r="BV273" s="31" t="n"/>
      <c r="BW273" s="29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1" t="n"/>
      <c r="BY273" s="21" t="n"/>
      <c r="BZ273" s="27">
        <f>SUM(BX273:BY273)</f>
        <v/>
      </c>
      <c r="CA273" s="28" t="n"/>
      <c r="CB273" s="31" t="n"/>
      <c r="CC273" s="29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1" t="n"/>
      <c r="CE273" s="21" t="n"/>
      <c r="CF273" s="27">
        <f>SUM(CD273:CE273)</f>
        <v/>
      </c>
      <c r="CG273" s="28" t="n"/>
      <c r="CH273" s="31" t="n"/>
      <c r="CI273" s="29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1" t="n"/>
      <c r="CK273" s="21" t="n"/>
      <c r="CL273" s="27">
        <f>SUM(CJ273:CK273)</f>
        <v/>
      </c>
      <c r="CM273" s="28" t="n"/>
      <c r="CN273" s="31" t="n"/>
      <c r="CO273" s="29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1" t="n"/>
      <c r="CQ273" s="21" t="n"/>
      <c r="CR273" s="27">
        <f>SUM(CP273:CQ273)</f>
        <v/>
      </c>
      <c r="CS273" s="28" t="n"/>
      <c r="CT273" s="31" t="n"/>
      <c r="CU273" s="29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1" t="n"/>
      <c r="CW273" s="21" t="n"/>
      <c r="CX273" s="27">
        <f>SUM(CV273:CW273)</f>
        <v/>
      </c>
      <c r="CY273" s="28" t="n"/>
      <c r="CZ273" s="31" t="n"/>
      <c r="DA273" s="29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1" t="n"/>
      <c r="DC273" s="21" t="n"/>
      <c r="DD273" s="27">
        <f>SUM(DB273:DC273)</f>
        <v/>
      </c>
      <c r="DE273" s="28" t="n"/>
      <c r="DF273" s="31" t="n"/>
      <c r="DG273" s="29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34">
        <f>SUM(O273,U273,AA273,AG273,AM273,AS273,AY273,BE273,BK273,BQ273,BW273,CC273,CI273,CO273,CU273,DA273,DG273)</f>
        <v/>
      </c>
      <c r="DI273" s="39">
        <f>RANK(DH273,DH$4:DH$503)</f>
        <v/>
      </c>
      <c r="DJ273" s="40" t="inlineStr">
        <is>
          <t>CHOOSE RATING</t>
        </is>
      </c>
      <c r="DK273" s="40" t="inlineStr">
        <is>
          <t>CHOOSE RATING</t>
        </is>
      </c>
      <c r="DL273" s="40" t="inlineStr">
        <is>
          <t>CHOOSE RATING</t>
        </is>
      </c>
      <c r="DM273" s="40" t="inlineStr">
        <is>
          <t>CHOOSE RATING</t>
        </is>
      </c>
      <c r="DN273" s="40" t="inlineStr">
        <is>
          <t>CHOOSE RATING</t>
        </is>
      </c>
      <c r="DO273" s="40" t="inlineStr">
        <is>
          <t>CHOOSE RATING</t>
        </is>
      </c>
      <c r="DP273" s="40" t="inlineStr">
        <is>
          <t>CHOOSE RATING</t>
        </is>
      </c>
      <c r="DQ273" s="40" t="inlineStr">
        <is>
          <t>CHOOSE RATING</t>
        </is>
      </c>
      <c r="DR273" s="43" t="inlineStr">
        <is>
          <t>2024/2025</t>
        </is>
      </c>
      <c r="DS273" s="45" t="inlineStr">
        <is>
          <t>THIRD</t>
        </is>
      </c>
      <c r="DT273" s="40" t="inlineStr">
        <is>
          <t>CHOOSE RATING</t>
        </is>
      </c>
      <c r="DU273" s="40" t="inlineStr">
        <is>
          <t>CHOOSE RATING</t>
        </is>
      </c>
      <c r="DV273" s="40" t="inlineStr">
        <is>
          <t>CHOOSE RATING</t>
        </is>
      </c>
      <c r="DW273" s="40" t="inlineStr">
        <is>
          <t>CHOOSE RATING</t>
        </is>
      </c>
      <c r="DX273" s="40" t="inlineStr">
        <is>
          <t>CHOOSE RATING</t>
        </is>
      </c>
      <c r="DY273" s="40" t="inlineStr">
        <is>
          <t>CHOOSE RATING</t>
        </is>
      </c>
      <c r="DZ273" s="53" t="inlineStr">
        <is>
          <t>CHOOSE RATING</t>
        </is>
      </c>
      <c r="EA273" s="54" t="inlineStr">
        <is>
          <t>Add the Tutor's Comment . . .</t>
        </is>
      </c>
      <c r="EB273" s="55" t="inlineStr">
        <is>
          <t>Choose Principals comment</t>
        </is>
      </c>
      <c r="EC273" s="56" t="n"/>
      <c r="ED273" s="57" t="inlineStr">
        <is>
          <t>Next Term Begins on Monday, 22nd September, 2025</t>
        </is>
      </c>
    </row>
    <row r="274" ht="30.6" customHeight="1" s="6">
      <c r="A274" s="18" t="n">
        <v>271</v>
      </c>
      <c r="B274" s="19" t="n"/>
      <c r="C274" s="20" t="n"/>
      <c r="D274" s="128" t="n"/>
      <c r="E274" s="21" t="n"/>
      <c r="F274" s="22" t="n"/>
      <c r="G274" s="22" t="n"/>
      <c r="H274" s="22" t="n"/>
      <c r="I274" s="26">
        <f>G274-H274</f>
        <v/>
      </c>
      <c r="J274" s="21" t="n"/>
      <c r="K274" s="21" t="n"/>
      <c r="L274" s="27">
        <f>SUM(J274:K274)</f>
        <v/>
      </c>
      <c r="M274" s="28" t="n"/>
      <c r="N274" s="28" t="n"/>
      <c r="O274" s="29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1" t="n"/>
      <c r="Q274" s="21" t="n"/>
      <c r="R274" s="27">
        <f>SUM(P274:Q274)</f>
        <v/>
      </c>
      <c r="S274" s="28" t="n"/>
      <c r="T274" s="28" t="n"/>
      <c r="U274" s="29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1" t="n"/>
      <c r="W274" s="21" t="n"/>
      <c r="X274" s="27">
        <f>SUM(V274:W274)</f>
        <v/>
      </c>
      <c r="Y274" s="28" t="n"/>
      <c r="Z274" s="28" t="n"/>
      <c r="AA274" s="29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1" t="n"/>
      <c r="AC274" s="21" t="n"/>
      <c r="AD274" s="27">
        <f>SUM(AB274:AC274)</f>
        <v/>
      </c>
      <c r="AE274" s="28" t="n"/>
      <c r="AF274" s="28" t="n"/>
      <c r="AG274" s="29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1" t="n"/>
      <c r="AI274" s="21" t="n"/>
      <c r="AJ274" s="27">
        <f>SUM(AH274:AI274)</f>
        <v/>
      </c>
      <c r="AK274" s="28" t="n"/>
      <c r="AL274" s="28" t="n"/>
      <c r="AM274" s="29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1" t="n"/>
      <c r="AO274" s="21" t="n"/>
      <c r="AP274" s="27">
        <f>SUM(AN274:AO274)</f>
        <v/>
      </c>
      <c r="AQ274" s="28" t="n"/>
      <c r="AR274" s="30" t="n"/>
      <c r="AS274" s="29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1" t="n"/>
      <c r="AU274" s="21" t="n"/>
      <c r="AV274" s="27">
        <f>SUM(AT274:AU274)</f>
        <v/>
      </c>
      <c r="AW274" s="28" t="n"/>
      <c r="AX274" s="30" t="n"/>
      <c r="AY274" s="29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1" t="n"/>
      <c r="BA274" s="21" t="n"/>
      <c r="BB274" s="27">
        <f>SUM(AZ274:BA274)</f>
        <v/>
      </c>
      <c r="BC274" s="28" t="n"/>
      <c r="BD274" s="28" t="n"/>
      <c r="BE274" s="29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1" t="n"/>
      <c r="BG274" s="21" t="n"/>
      <c r="BH274" s="27">
        <f>SUM(BF274:BG274)</f>
        <v/>
      </c>
      <c r="BI274" s="28" t="n"/>
      <c r="BJ274" s="28" t="n"/>
      <c r="BK274" s="29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1" t="n"/>
      <c r="BM274" s="21" t="n"/>
      <c r="BN274" s="27">
        <f>SUM(BL274:BM274)</f>
        <v/>
      </c>
      <c r="BO274" s="28" t="n"/>
      <c r="BP274" s="31" t="n"/>
      <c r="BQ274" s="29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1" t="n"/>
      <c r="BS274" s="21" t="n"/>
      <c r="BT274" s="27">
        <f>SUM(BR274:BS274)</f>
        <v/>
      </c>
      <c r="BU274" s="28" t="n"/>
      <c r="BV274" s="31" t="n"/>
      <c r="BW274" s="29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1" t="n"/>
      <c r="BY274" s="21" t="n"/>
      <c r="BZ274" s="27">
        <f>SUM(BX274:BY274)</f>
        <v/>
      </c>
      <c r="CA274" s="28" t="n"/>
      <c r="CB274" s="31" t="n"/>
      <c r="CC274" s="29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1" t="n"/>
      <c r="CE274" s="21" t="n"/>
      <c r="CF274" s="27">
        <f>SUM(CD274:CE274)</f>
        <v/>
      </c>
      <c r="CG274" s="28" t="n"/>
      <c r="CH274" s="31" t="n"/>
      <c r="CI274" s="29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1" t="n"/>
      <c r="CK274" s="21" t="n"/>
      <c r="CL274" s="27">
        <f>SUM(CJ274:CK274)</f>
        <v/>
      </c>
      <c r="CM274" s="28" t="n"/>
      <c r="CN274" s="31" t="n"/>
      <c r="CO274" s="29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1" t="n"/>
      <c r="CQ274" s="21" t="n"/>
      <c r="CR274" s="27">
        <f>SUM(CP274:CQ274)</f>
        <v/>
      </c>
      <c r="CS274" s="28" t="n"/>
      <c r="CT274" s="31" t="n"/>
      <c r="CU274" s="29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1" t="n"/>
      <c r="CW274" s="21" t="n"/>
      <c r="CX274" s="27">
        <f>SUM(CV274:CW274)</f>
        <v/>
      </c>
      <c r="CY274" s="28" t="n"/>
      <c r="CZ274" s="31" t="n"/>
      <c r="DA274" s="29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1" t="n"/>
      <c r="DC274" s="21" t="n"/>
      <c r="DD274" s="27">
        <f>SUM(DB274:DC274)</f>
        <v/>
      </c>
      <c r="DE274" s="28" t="n"/>
      <c r="DF274" s="31" t="n"/>
      <c r="DG274" s="29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34">
        <f>SUM(O274,U274,AA274,AG274,AM274,AS274,AY274,BE274,BK274,BQ274,BW274,CC274,CI274,CO274,CU274,DA274,DG274)</f>
        <v/>
      </c>
      <c r="DI274" s="39">
        <f>RANK(DH274,DH$4:DH$503)</f>
        <v/>
      </c>
      <c r="DJ274" s="40" t="inlineStr">
        <is>
          <t>CHOOSE RATING</t>
        </is>
      </c>
      <c r="DK274" s="40" t="inlineStr">
        <is>
          <t>CHOOSE RATING</t>
        </is>
      </c>
      <c r="DL274" s="40" t="inlineStr">
        <is>
          <t>CHOOSE RATING</t>
        </is>
      </c>
      <c r="DM274" s="40" t="inlineStr">
        <is>
          <t>CHOOSE RATING</t>
        </is>
      </c>
      <c r="DN274" s="40" t="inlineStr">
        <is>
          <t>CHOOSE RATING</t>
        </is>
      </c>
      <c r="DO274" s="40" t="inlineStr">
        <is>
          <t>CHOOSE RATING</t>
        </is>
      </c>
      <c r="DP274" s="40" t="inlineStr">
        <is>
          <t>CHOOSE RATING</t>
        </is>
      </c>
      <c r="DQ274" s="40" t="inlineStr">
        <is>
          <t>CHOOSE RATING</t>
        </is>
      </c>
      <c r="DR274" s="43" t="inlineStr">
        <is>
          <t>2024/2025</t>
        </is>
      </c>
      <c r="DS274" s="45" t="inlineStr">
        <is>
          <t>THIRD</t>
        </is>
      </c>
      <c r="DT274" s="40" t="inlineStr">
        <is>
          <t>CHOOSE RATING</t>
        </is>
      </c>
      <c r="DU274" s="40" t="inlineStr">
        <is>
          <t>CHOOSE RATING</t>
        </is>
      </c>
      <c r="DV274" s="40" t="inlineStr">
        <is>
          <t>CHOOSE RATING</t>
        </is>
      </c>
      <c r="DW274" s="40" t="inlineStr">
        <is>
          <t>CHOOSE RATING</t>
        </is>
      </c>
      <c r="DX274" s="40" t="inlineStr">
        <is>
          <t>CHOOSE RATING</t>
        </is>
      </c>
      <c r="DY274" s="40" t="inlineStr">
        <is>
          <t>CHOOSE RATING</t>
        </is>
      </c>
      <c r="DZ274" s="53" t="inlineStr">
        <is>
          <t>CHOOSE RATING</t>
        </is>
      </c>
      <c r="EA274" s="54" t="inlineStr">
        <is>
          <t>Add the Tutor's Comment . . .</t>
        </is>
      </c>
      <c r="EB274" s="55" t="inlineStr">
        <is>
          <t>Choose Principals comment</t>
        </is>
      </c>
      <c r="EC274" s="56" t="n"/>
      <c r="ED274" s="57" t="inlineStr">
        <is>
          <t>Next Term Begins on Monday, 22nd September, 2025</t>
        </is>
      </c>
    </row>
    <row r="275" ht="30.6" customHeight="1" s="6">
      <c r="A275" s="18" t="n">
        <v>272</v>
      </c>
      <c r="B275" s="19" t="n"/>
      <c r="C275" s="20" t="n"/>
      <c r="D275" s="128" t="n"/>
      <c r="E275" s="21" t="n"/>
      <c r="F275" s="22" t="n"/>
      <c r="G275" s="22" t="n"/>
      <c r="H275" s="22" t="n"/>
      <c r="I275" s="26">
        <f>G275-H275</f>
        <v/>
      </c>
      <c r="J275" s="21" t="n"/>
      <c r="K275" s="21" t="n"/>
      <c r="L275" s="27">
        <f>SUM(J275:K275)</f>
        <v/>
      </c>
      <c r="M275" s="28" t="n"/>
      <c r="N275" s="28" t="n"/>
      <c r="O275" s="29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1" t="n"/>
      <c r="Q275" s="21" t="n"/>
      <c r="R275" s="27">
        <f>SUM(P275:Q275)</f>
        <v/>
      </c>
      <c r="S275" s="28" t="n"/>
      <c r="T275" s="28" t="n"/>
      <c r="U275" s="29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1" t="n"/>
      <c r="W275" s="21" t="n"/>
      <c r="X275" s="27">
        <f>SUM(V275:W275)</f>
        <v/>
      </c>
      <c r="Y275" s="28" t="n"/>
      <c r="Z275" s="28" t="n"/>
      <c r="AA275" s="29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1" t="n"/>
      <c r="AC275" s="21" t="n"/>
      <c r="AD275" s="27">
        <f>SUM(AB275:AC275)</f>
        <v/>
      </c>
      <c r="AE275" s="28" t="n"/>
      <c r="AF275" s="28" t="n"/>
      <c r="AG275" s="29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1" t="n"/>
      <c r="AI275" s="21" t="n"/>
      <c r="AJ275" s="27">
        <f>SUM(AH275:AI275)</f>
        <v/>
      </c>
      <c r="AK275" s="28" t="n"/>
      <c r="AL275" s="28" t="n"/>
      <c r="AM275" s="29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1" t="n"/>
      <c r="AO275" s="21" t="n"/>
      <c r="AP275" s="27">
        <f>SUM(AN275:AO275)</f>
        <v/>
      </c>
      <c r="AQ275" s="28" t="n"/>
      <c r="AR275" s="30" t="n"/>
      <c r="AS275" s="29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1" t="n"/>
      <c r="AU275" s="21" t="n"/>
      <c r="AV275" s="27">
        <f>SUM(AT275:AU275)</f>
        <v/>
      </c>
      <c r="AW275" s="28" t="n"/>
      <c r="AX275" s="30" t="n"/>
      <c r="AY275" s="29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1" t="n"/>
      <c r="BA275" s="21" t="n"/>
      <c r="BB275" s="27">
        <f>SUM(AZ275:BA275)</f>
        <v/>
      </c>
      <c r="BC275" s="28" t="n"/>
      <c r="BD275" s="28" t="n"/>
      <c r="BE275" s="29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1" t="n"/>
      <c r="BG275" s="21" t="n"/>
      <c r="BH275" s="27">
        <f>SUM(BF275:BG275)</f>
        <v/>
      </c>
      <c r="BI275" s="28" t="n"/>
      <c r="BJ275" s="28" t="n"/>
      <c r="BK275" s="29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1" t="n"/>
      <c r="BM275" s="21" t="n"/>
      <c r="BN275" s="27">
        <f>SUM(BL275:BM275)</f>
        <v/>
      </c>
      <c r="BO275" s="28" t="n"/>
      <c r="BP275" s="31" t="n"/>
      <c r="BQ275" s="29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1" t="n"/>
      <c r="BS275" s="21" t="n"/>
      <c r="BT275" s="27">
        <f>SUM(BR275:BS275)</f>
        <v/>
      </c>
      <c r="BU275" s="28" t="n"/>
      <c r="BV275" s="31" t="n"/>
      <c r="BW275" s="29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1" t="n"/>
      <c r="BY275" s="21" t="n"/>
      <c r="BZ275" s="27">
        <f>SUM(BX275:BY275)</f>
        <v/>
      </c>
      <c r="CA275" s="28" t="n"/>
      <c r="CB275" s="31" t="n"/>
      <c r="CC275" s="29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1" t="n"/>
      <c r="CE275" s="21" t="n"/>
      <c r="CF275" s="27">
        <f>SUM(CD275:CE275)</f>
        <v/>
      </c>
      <c r="CG275" s="28" t="n"/>
      <c r="CH275" s="31" t="n"/>
      <c r="CI275" s="29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1" t="n"/>
      <c r="CK275" s="21" t="n"/>
      <c r="CL275" s="27">
        <f>SUM(CJ275:CK275)</f>
        <v/>
      </c>
      <c r="CM275" s="28" t="n"/>
      <c r="CN275" s="31" t="n"/>
      <c r="CO275" s="29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1" t="n"/>
      <c r="CQ275" s="21" t="n"/>
      <c r="CR275" s="27">
        <f>SUM(CP275:CQ275)</f>
        <v/>
      </c>
      <c r="CS275" s="28" t="n"/>
      <c r="CT275" s="31" t="n"/>
      <c r="CU275" s="29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1" t="n"/>
      <c r="CW275" s="21" t="n"/>
      <c r="CX275" s="27">
        <f>SUM(CV275:CW275)</f>
        <v/>
      </c>
      <c r="CY275" s="28" t="n"/>
      <c r="CZ275" s="31" t="n"/>
      <c r="DA275" s="29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1" t="n"/>
      <c r="DC275" s="21" t="n"/>
      <c r="DD275" s="27">
        <f>SUM(DB275:DC275)</f>
        <v/>
      </c>
      <c r="DE275" s="28" t="n"/>
      <c r="DF275" s="31" t="n"/>
      <c r="DG275" s="29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34">
        <f>SUM(O275,U275,AA275,AG275,AM275,AS275,AY275,BE275,BK275,BQ275,BW275,CC275,CI275,CO275,CU275,DA275,DG275)</f>
        <v/>
      </c>
      <c r="DI275" s="39">
        <f>RANK(DH275,DH$4:DH$503)</f>
        <v/>
      </c>
      <c r="DJ275" s="40" t="inlineStr">
        <is>
          <t>CHOOSE RATING</t>
        </is>
      </c>
      <c r="DK275" s="40" t="inlineStr">
        <is>
          <t>CHOOSE RATING</t>
        </is>
      </c>
      <c r="DL275" s="40" t="inlineStr">
        <is>
          <t>CHOOSE RATING</t>
        </is>
      </c>
      <c r="DM275" s="40" t="inlineStr">
        <is>
          <t>CHOOSE RATING</t>
        </is>
      </c>
      <c r="DN275" s="40" t="inlineStr">
        <is>
          <t>CHOOSE RATING</t>
        </is>
      </c>
      <c r="DO275" s="40" t="inlineStr">
        <is>
          <t>CHOOSE RATING</t>
        </is>
      </c>
      <c r="DP275" s="40" t="inlineStr">
        <is>
          <t>CHOOSE RATING</t>
        </is>
      </c>
      <c r="DQ275" s="40" t="inlineStr">
        <is>
          <t>CHOOSE RATING</t>
        </is>
      </c>
      <c r="DR275" s="43" t="inlineStr">
        <is>
          <t>2024/2025</t>
        </is>
      </c>
      <c r="DS275" s="45" t="inlineStr">
        <is>
          <t>THIRD</t>
        </is>
      </c>
      <c r="DT275" s="40" t="inlineStr">
        <is>
          <t>CHOOSE RATING</t>
        </is>
      </c>
      <c r="DU275" s="40" t="inlineStr">
        <is>
          <t>CHOOSE RATING</t>
        </is>
      </c>
      <c r="DV275" s="40" t="inlineStr">
        <is>
          <t>CHOOSE RATING</t>
        </is>
      </c>
      <c r="DW275" s="40" t="inlineStr">
        <is>
          <t>CHOOSE RATING</t>
        </is>
      </c>
      <c r="DX275" s="40" t="inlineStr">
        <is>
          <t>CHOOSE RATING</t>
        </is>
      </c>
      <c r="DY275" s="40" t="inlineStr">
        <is>
          <t>CHOOSE RATING</t>
        </is>
      </c>
      <c r="DZ275" s="53" t="inlineStr">
        <is>
          <t>CHOOSE RATING</t>
        </is>
      </c>
      <c r="EA275" s="54" t="inlineStr">
        <is>
          <t>Add the Tutor's Comment . . .</t>
        </is>
      </c>
      <c r="EB275" s="55" t="inlineStr">
        <is>
          <t>Choose Principals comment</t>
        </is>
      </c>
      <c r="EC275" s="56" t="n"/>
      <c r="ED275" s="57" t="inlineStr">
        <is>
          <t>Next Term Begins on Monday, 22nd September, 2025</t>
        </is>
      </c>
    </row>
    <row r="276" ht="30.6" customHeight="1" s="6">
      <c r="A276" s="18" t="n">
        <v>273</v>
      </c>
      <c r="B276" s="19" t="n"/>
      <c r="C276" s="20" t="n"/>
      <c r="D276" s="128" t="n"/>
      <c r="E276" s="21" t="n"/>
      <c r="F276" s="22" t="n"/>
      <c r="G276" s="22" t="n"/>
      <c r="H276" s="22" t="n"/>
      <c r="I276" s="26">
        <f>G276-H276</f>
        <v/>
      </c>
      <c r="J276" s="21" t="n"/>
      <c r="K276" s="21" t="n"/>
      <c r="L276" s="27">
        <f>SUM(J276:K276)</f>
        <v/>
      </c>
      <c r="M276" s="28" t="n"/>
      <c r="N276" s="28" t="n"/>
      <c r="O276" s="29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1" t="n"/>
      <c r="Q276" s="21" t="n"/>
      <c r="R276" s="27">
        <f>SUM(P276:Q276)</f>
        <v/>
      </c>
      <c r="S276" s="28" t="n"/>
      <c r="T276" s="28" t="n"/>
      <c r="U276" s="29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1" t="n"/>
      <c r="W276" s="21" t="n"/>
      <c r="X276" s="27">
        <f>SUM(V276:W276)</f>
        <v/>
      </c>
      <c r="Y276" s="28" t="n"/>
      <c r="Z276" s="28" t="n"/>
      <c r="AA276" s="29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1" t="n"/>
      <c r="AC276" s="21" t="n"/>
      <c r="AD276" s="27">
        <f>SUM(AB276:AC276)</f>
        <v/>
      </c>
      <c r="AE276" s="28" t="n"/>
      <c r="AF276" s="28" t="n"/>
      <c r="AG276" s="29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1" t="n"/>
      <c r="AI276" s="21" t="n"/>
      <c r="AJ276" s="27">
        <f>SUM(AH276:AI276)</f>
        <v/>
      </c>
      <c r="AK276" s="28" t="n"/>
      <c r="AL276" s="28" t="n"/>
      <c r="AM276" s="29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1" t="n"/>
      <c r="AO276" s="21" t="n"/>
      <c r="AP276" s="27">
        <f>SUM(AN276:AO276)</f>
        <v/>
      </c>
      <c r="AQ276" s="28" t="n"/>
      <c r="AR276" s="30" t="n"/>
      <c r="AS276" s="29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1" t="n"/>
      <c r="AU276" s="21" t="n"/>
      <c r="AV276" s="27">
        <f>SUM(AT276:AU276)</f>
        <v/>
      </c>
      <c r="AW276" s="28" t="n"/>
      <c r="AX276" s="30" t="n"/>
      <c r="AY276" s="29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1" t="n"/>
      <c r="BA276" s="21" t="n"/>
      <c r="BB276" s="27">
        <f>SUM(AZ276:BA276)</f>
        <v/>
      </c>
      <c r="BC276" s="28" t="n"/>
      <c r="BD276" s="28" t="n"/>
      <c r="BE276" s="29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1" t="n"/>
      <c r="BG276" s="21" t="n"/>
      <c r="BH276" s="27">
        <f>SUM(BF276:BG276)</f>
        <v/>
      </c>
      <c r="BI276" s="28" t="n"/>
      <c r="BJ276" s="28" t="n"/>
      <c r="BK276" s="29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1" t="n"/>
      <c r="BM276" s="21" t="n"/>
      <c r="BN276" s="27">
        <f>SUM(BL276:BM276)</f>
        <v/>
      </c>
      <c r="BO276" s="28" t="n"/>
      <c r="BP276" s="31" t="n"/>
      <c r="BQ276" s="29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1" t="n"/>
      <c r="BS276" s="21" t="n"/>
      <c r="BT276" s="27">
        <f>SUM(BR276:BS276)</f>
        <v/>
      </c>
      <c r="BU276" s="28" t="n"/>
      <c r="BV276" s="31" t="n"/>
      <c r="BW276" s="29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1" t="n"/>
      <c r="BY276" s="21" t="n"/>
      <c r="BZ276" s="27">
        <f>SUM(BX276:BY276)</f>
        <v/>
      </c>
      <c r="CA276" s="28" t="n"/>
      <c r="CB276" s="31" t="n"/>
      <c r="CC276" s="29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1" t="n"/>
      <c r="CE276" s="21" t="n"/>
      <c r="CF276" s="27">
        <f>SUM(CD276:CE276)</f>
        <v/>
      </c>
      <c r="CG276" s="28" t="n"/>
      <c r="CH276" s="31" t="n"/>
      <c r="CI276" s="29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1" t="n"/>
      <c r="CK276" s="21" t="n"/>
      <c r="CL276" s="27">
        <f>SUM(CJ276:CK276)</f>
        <v/>
      </c>
      <c r="CM276" s="28" t="n"/>
      <c r="CN276" s="31" t="n"/>
      <c r="CO276" s="29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1" t="n"/>
      <c r="CQ276" s="21" t="n"/>
      <c r="CR276" s="27">
        <f>SUM(CP276:CQ276)</f>
        <v/>
      </c>
      <c r="CS276" s="28" t="n"/>
      <c r="CT276" s="31" t="n"/>
      <c r="CU276" s="29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1" t="n"/>
      <c r="CW276" s="21" t="n"/>
      <c r="CX276" s="27">
        <f>SUM(CV276:CW276)</f>
        <v/>
      </c>
      <c r="CY276" s="28" t="n"/>
      <c r="CZ276" s="31" t="n"/>
      <c r="DA276" s="29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1" t="n"/>
      <c r="DC276" s="21" t="n"/>
      <c r="DD276" s="27">
        <f>SUM(DB276:DC276)</f>
        <v/>
      </c>
      <c r="DE276" s="28" t="n"/>
      <c r="DF276" s="31" t="n"/>
      <c r="DG276" s="29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34">
        <f>SUM(O276,U276,AA276,AG276,AM276,AS276,AY276,BE276,BK276,BQ276,BW276,CC276,CI276,CO276,CU276,DA276,DG276)</f>
        <v/>
      </c>
      <c r="DI276" s="39">
        <f>RANK(DH276,DH$4:DH$503)</f>
        <v/>
      </c>
      <c r="DJ276" s="40" t="inlineStr">
        <is>
          <t>CHOOSE RATING</t>
        </is>
      </c>
      <c r="DK276" s="40" t="inlineStr">
        <is>
          <t>CHOOSE RATING</t>
        </is>
      </c>
      <c r="DL276" s="40" t="inlineStr">
        <is>
          <t>CHOOSE RATING</t>
        </is>
      </c>
      <c r="DM276" s="40" t="inlineStr">
        <is>
          <t>CHOOSE RATING</t>
        </is>
      </c>
      <c r="DN276" s="40" t="inlineStr">
        <is>
          <t>CHOOSE RATING</t>
        </is>
      </c>
      <c r="DO276" s="40" t="inlineStr">
        <is>
          <t>CHOOSE RATING</t>
        </is>
      </c>
      <c r="DP276" s="40" t="inlineStr">
        <is>
          <t>CHOOSE RATING</t>
        </is>
      </c>
      <c r="DQ276" s="40" t="inlineStr">
        <is>
          <t>CHOOSE RATING</t>
        </is>
      </c>
      <c r="DR276" s="43" t="inlineStr">
        <is>
          <t>2024/2025</t>
        </is>
      </c>
      <c r="DS276" s="45" t="inlineStr">
        <is>
          <t>THIRD</t>
        </is>
      </c>
      <c r="DT276" s="40" t="inlineStr">
        <is>
          <t>CHOOSE RATING</t>
        </is>
      </c>
      <c r="DU276" s="40" t="inlineStr">
        <is>
          <t>CHOOSE RATING</t>
        </is>
      </c>
      <c r="DV276" s="40" t="inlineStr">
        <is>
          <t>CHOOSE RATING</t>
        </is>
      </c>
      <c r="DW276" s="40" t="inlineStr">
        <is>
          <t>CHOOSE RATING</t>
        </is>
      </c>
      <c r="DX276" s="40" t="inlineStr">
        <is>
          <t>CHOOSE RATING</t>
        </is>
      </c>
      <c r="DY276" s="40" t="inlineStr">
        <is>
          <t>CHOOSE RATING</t>
        </is>
      </c>
      <c r="DZ276" s="53" t="inlineStr">
        <is>
          <t>CHOOSE RATING</t>
        </is>
      </c>
      <c r="EA276" s="54" t="inlineStr">
        <is>
          <t>Add the Tutor's Comment . . .</t>
        </is>
      </c>
      <c r="EB276" s="55" t="inlineStr">
        <is>
          <t>Choose Principals comment</t>
        </is>
      </c>
      <c r="EC276" s="56" t="n"/>
      <c r="ED276" s="57" t="inlineStr">
        <is>
          <t>Next Term Begins on Monday, 22nd September, 2025</t>
        </is>
      </c>
    </row>
    <row r="277" ht="30.6" customHeight="1" s="6">
      <c r="A277" s="18" t="n">
        <v>274</v>
      </c>
      <c r="B277" s="19" t="n"/>
      <c r="C277" s="20" t="n"/>
      <c r="D277" s="128" t="n"/>
      <c r="E277" s="21" t="n"/>
      <c r="F277" s="22" t="n"/>
      <c r="G277" s="22" t="n"/>
      <c r="H277" s="22" t="n"/>
      <c r="I277" s="26">
        <f>G277-H277</f>
        <v/>
      </c>
      <c r="J277" s="21" t="n"/>
      <c r="K277" s="21" t="n"/>
      <c r="L277" s="27">
        <f>SUM(J277:K277)</f>
        <v/>
      </c>
      <c r="M277" s="28" t="n"/>
      <c r="N277" s="28" t="n"/>
      <c r="O277" s="29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1" t="n"/>
      <c r="Q277" s="21" t="n"/>
      <c r="R277" s="27">
        <f>SUM(P277:Q277)</f>
        <v/>
      </c>
      <c r="S277" s="28" t="n"/>
      <c r="T277" s="28" t="n"/>
      <c r="U277" s="29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1" t="n"/>
      <c r="W277" s="21" t="n"/>
      <c r="X277" s="27">
        <f>SUM(V277:W277)</f>
        <v/>
      </c>
      <c r="Y277" s="28" t="n"/>
      <c r="Z277" s="28" t="n"/>
      <c r="AA277" s="29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1" t="n"/>
      <c r="AC277" s="21" t="n"/>
      <c r="AD277" s="27">
        <f>SUM(AB277:AC277)</f>
        <v/>
      </c>
      <c r="AE277" s="28" t="n"/>
      <c r="AF277" s="28" t="n"/>
      <c r="AG277" s="29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1" t="n"/>
      <c r="AI277" s="21" t="n"/>
      <c r="AJ277" s="27">
        <f>SUM(AH277:AI277)</f>
        <v/>
      </c>
      <c r="AK277" s="28" t="n"/>
      <c r="AL277" s="28" t="n"/>
      <c r="AM277" s="29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1" t="n"/>
      <c r="AO277" s="21" t="n"/>
      <c r="AP277" s="27">
        <f>SUM(AN277:AO277)</f>
        <v/>
      </c>
      <c r="AQ277" s="28" t="n"/>
      <c r="AR277" s="30" t="n"/>
      <c r="AS277" s="29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1" t="n"/>
      <c r="AU277" s="21" t="n"/>
      <c r="AV277" s="27">
        <f>SUM(AT277:AU277)</f>
        <v/>
      </c>
      <c r="AW277" s="28" t="n"/>
      <c r="AX277" s="30" t="n"/>
      <c r="AY277" s="29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1" t="n"/>
      <c r="BA277" s="21" t="n"/>
      <c r="BB277" s="27">
        <f>SUM(AZ277:BA277)</f>
        <v/>
      </c>
      <c r="BC277" s="28" t="n"/>
      <c r="BD277" s="28" t="n"/>
      <c r="BE277" s="29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1" t="n"/>
      <c r="BG277" s="21" t="n"/>
      <c r="BH277" s="27">
        <f>SUM(BF277:BG277)</f>
        <v/>
      </c>
      <c r="BI277" s="28" t="n"/>
      <c r="BJ277" s="28" t="n"/>
      <c r="BK277" s="29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1" t="n"/>
      <c r="BM277" s="21" t="n"/>
      <c r="BN277" s="27">
        <f>SUM(BL277:BM277)</f>
        <v/>
      </c>
      <c r="BO277" s="28" t="n"/>
      <c r="BP277" s="31" t="n"/>
      <c r="BQ277" s="29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1" t="n"/>
      <c r="BS277" s="21" t="n"/>
      <c r="BT277" s="27">
        <f>SUM(BR277:BS277)</f>
        <v/>
      </c>
      <c r="BU277" s="28" t="n"/>
      <c r="BV277" s="31" t="n"/>
      <c r="BW277" s="29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1" t="n"/>
      <c r="BY277" s="21" t="n"/>
      <c r="BZ277" s="27">
        <f>SUM(BX277:BY277)</f>
        <v/>
      </c>
      <c r="CA277" s="28" t="n"/>
      <c r="CB277" s="31" t="n"/>
      <c r="CC277" s="29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1" t="n"/>
      <c r="CE277" s="21" t="n"/>
      <c r="CF277" s="27">
        <f>SUM(CD277:CE277)</f>
        <v/>
      </c>
      <c r="CG277" s="28" t="n"/>
      <c r="CH277" s="31" t="n"/>
      <c r="CI277" s="29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1" t="n"/>
      <c r="CK277" s="21" t="n"/>
      <c r="CL277" s="27">
        <f>SUM(CJ277:CK277)</f>
        <v/>
      </c>
      <c r="CM277" s="28" t="n"/>
      <c r="CN277" s="31" t="n"/>
      <c r="CO277" s="29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1" t="n"/>
      <c r="CQ277" s="21" t="n"/>
      <c r="CR277" s="27">
        <f>SUM(CP277:CQ277)</f>
        <v/>
      </c>
      <c r="CS277" s="28" t="n"/>
      <c r="CT277" s="31" t="n"/>
      <c r="CU277" s="29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1" t="n"/>
      <c r="CW277" s="21" t="n"/>
      <c r="CX277" s="27">
        <f>SUM(CV277:CW277)</f>
        <v/>
      </c>
      <c r="CY277" s="28" t="n"/>
      <c r="CZ277" s="31" t="n"/>
      <c r="DA277" s="29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1" t="n"/>
      <c r="DC277" s="21" t="n"/>
      <c r="DD277" s="27">
        <f>SUM(DB277:DC277)</f>
        <v/>
      </c>
      <c r="DE277" s="28" t="n"/>
      <c r="DF277" s="31" t="n"/>
      <c r="DG277" s="29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34">
        <f>SUM(O277,U277,AA277,AG277,AM277,AS277,AY277,BE277,BK277,BQ277,BW277,CC277,CI277,CO277,CU277,DA277,DG277)</f>
        <v/>
      </c>
      <c r="DI277" s="39">
        <f>RANK(DH277,DH$4:DH$503)</f>
        <v/>
      </c>
      <c r="DJ277" s="40" t="inlineStr">
        <is>
          <t>CHOOSE RATING</t>
        </is>
      </c>
      <c r="DK277" s="40" t="inlineStr">
        <is>
          <t>CHOOSE RATING</t>
        </is>
      </c>
      <c r="DL277" s="40" t="inlineStr">
        <is>
          <t>CHOOSE RATING</t>
        </is>
      </c>
      <c r="DM277" s="40" t="inlineStr">
        <is>
          <t>CHOOSE RATING</t>
        </is>
      </c>
      <c r="DN277" s="40" t="inlineStr">
        <is>
          <t>CHOOSE RATING</t>
        </is>
      </c>
      <c r="DO277" s="40" t="inlineStr">
        <is>
          <t>CHOOSE RATING</t>
        </is>
      </c>
      <c r="DP277" s="40" t="inlineStr">
        <is>
          <t>CHOOSE RATING</t>
        </is>
      </c>
      <c r="DQ277" s="40" t="inlineStr">
        <is>
          <t>CHOOSE RATING</t>
        </is>
      </c>
      <c r="DR277" s="43" t="inlineStr">
        <is>
          <t>2024/2025</t>
        </is>
      </c>
      <c r="DS277" s="45" t="inlineStr">
        <is>
          <t>THIRD</t>
        </is>
      </c>
      <c r="DT277" s="40" t="inlineStr">
        <is>
          <t>CHOOSE RATING</t>
        </is>
      </c>
      <c r="DU277" s="40" t="inlineStr">
        <is>
          <t>CHOOSE RATING</t>
        </is>
      </c>
      <c r="DV277" s="40" t="inlineStr">
        <is>
          <t>CHOOSE RATING</t>
        </is>
      </c>
      <c r="DW277" s="40" t="inlineStr">
        <is>
          <t>CHOOSE RATING</t>
        </is>
      </c>
      <c r="DX277" s="40" t="inlineStr">
        <is>
          <t>CHOOSE RATING</t>
        </is>
      </c>
      <c r="DY277" s="40" t="inlineStr">
        <is>
          <t>CHOOSE RATING</t>
        </is>
      </c>
      <c r="DZ277" s="53" t="inlineStr">
        <is>
          <t>CHOOSE RATING</t>
        </is>
      </c>
      <c r="EA277" s="54" t="inlineStr">
        <is>
          <t>Add the Tutor's Comment . . .</t>
        </is>
      </c>
      <c r="EB277" s="55" t="inlineStr">
        <is>
          <t>Choose Principals comment</t>
        </is>
      </c>
      <c r="EC277" s="56" t="n"/>
      <c r="ED277" s="57" t="inlineStr">
        <is>
          <t>Next Term Begins on Monday, 22nd September, 2025</t>
        </is>
      </c>
    </row>
    <row r="278" ht="30.6" customHeight="1" s="6">
      <c r="A278" s="18" t="n">
        <v>275</v>
      </c>
      <c r="B278" s="19" t="n"/>
      <c r="C278" s="20" t="n"/>
      <c r="D278" s="128" t="n"/>
      <c r="E278" s="21" t="n"/>
      <c r="F278" s="22" t="n"/>
      <c r="G278" s="22" t="n"/>
      <c r="H278" s="22" t="n"/>
      <c r="I278" s="26">
        <f>G278-H278</f>
        <v/>
      </c>
      <c r="J278" s="21" t="n"/>
      <c r="K278" s="21" t="n"/>
      <c r="L278" s="27">
        <f>SUM(J278:K278)</f>
        <v/>
      </c>
      <c r="M278" s="28" t="n"/>
      <c r="N278" s="28" t="n"/>
      <c r="O278" s="29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1" t="n"/>
      <c r="Q278" s="21" t="n"/>
      <c r="R278" s="27">
        <f>SUM(P278:Q278)</f>
        <v/>
      </c>
      <c r="S278" s="28" t="n"/>
      <c r="T278" s="28" t="n"/>
      <c r="U278" s="29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1" t="n"/>
      <c r="W278" s="21" t="n"/>
      <c r="X278" s="27">
        <f>SUM(V278:W278)</f>
        <v/>
      </c>
      <c r="Y278" s="28" t="n"/>
      <c r="Z278" s="28" t="n"/>
      <c r="AA278" s="29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1" t="n"/>
      <c r="AC278" s="21" t="n"/>
      <c r="AD278" s="27">
        <f>SUM(AB278:AC278)</f>
        <v/>
      </c>
      <c r="AE278" s="28" t="n"/>
      <c r="AF278" s="28" t="n"/>
      <c r="AG278" s="29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1" t="n"/>
      <c r="AI278" s="21" t="n"/>
      <c r="AJ278" s="27">
        <f>SUM(AH278:AI278)</f>
        <v/>
      </c>
      <c r="AK278" s="28" t="n"/>
      <c r="AL278" s="28" t="n"/>
      <c r="AM278" s="29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1" t="n"/>
      <c r="AO278" s="21" t="n"/>
      <c r="AP278" s="27">
        <f>SUM(AN278:AO278)</f>
        <v/>
      </c>
      <c r="AQ278" s="28" t="n"/>
      <c r="AR278" s="30" t="n"/>
      <c r="AS278" s="29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1" t="n"/>
      <c r="AU278" s="21" t="n"/>
      <c r="AV278" s="27">
        <f>SUM(AT278:AU278)</f>
        <v/>
      </c>
      <c r="AW278" s="28" t="n"/>
      <c r="AX278" s="30" t="n"/>
      <c r="AY278" s="29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1" t="n"/>
      <c r="BA278" s="21" t="n"/>
      <c r="BB278" s="27">
        <f>SUM(AZ278:BA278)</f>
        <v/>
      </c>
      <c r="BC278" s="28" t="n"/>
      <c r="BD278" s="28" t="n"/>
      <c r="BE278" s="29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1" t="n"/>
      <c r="BG278" s="21" t="n"/>
      <c r="BH278" s="27">
        <f>SUM(BF278:BG278)</f>
        <v/>
      </c>
      <c r="BI278" s="28" t="n"/>
      <c r="BJ278" s="28" t="n"/>
      <c r="BK278" s="29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1" t="n"/>
      <c r="BM278" s="21" t="n"/>
      <c r="BN278" s="27">
        <f>SUM(BL278:BM278)</f>
        <v/>
      </c>
      <c r="BO278" s="28" t="n"/>
      <c r="BP278" s="31" t="n"/>
      <c r="BQ278" s="29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1" t="n"/>
      <c r="BS278" s="21" t="n"/>
      <c r="BT278" s="27">
        <f>SUM(BR278:BS278)</f>
        <v/>
      </c>
      <c r="BU278" s="28" t="n"/>
      <c r="BV278" s="31" t="n"/>
      <c r="BW278" s="29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1" t="n"/>
      <c r="BY278" s="21" t="n"/>
      <c r="BZ278" s="27">
        <f>SUM(BX278:BY278)</f>
        <v/>
      </c>
      <c r="CA278" s="28" t="n"/>
      <c r="CB278" s="31" t="n"/>
      <c r="CC278" s="29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1" t="n"/>
      <c r="CE278" s="21" t="n"/>
      <c r="CF278" s="27">
        <f>SUM(CD278:CE278)</f>
        <v/>
      </c>
      <c r="CG278" s="28" t="n"/>
      <c r="CH278" s="31" t="n"/>
      <c r="CI278" s="29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1" t="n"/>
      <c r="CK278" s="21" t="n"/>
      <c r="CL278" s="27">
        <f>SUM(CJ278:CK278)</f>
        <v/>
      </c>
      <c r="CM278" s="28" t="n"/>
      <c r="CN278" s="31" t="n"/>
      <c r="CO278" s="29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1" t="n"/>
      <c r="CQ278" s="21" t="n"/>
      <c r="CR278" s="27">
        <f>SUM(CP278:CQ278)</f>
        <v/>
      </c>
      <c r="CS278" s="28" t="n"/>
      <c r="CT278" s="31" t="n"/>
      <c r="CU278" s="29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1" t="n"/>
      <c r="CW278" s="21" t="n"/>
      <c r="CX278" s="27">
        <f>SUM(CV278:CW278)</f>
        <v/>
      </c>
      <c r="CY278" s="28" t="n"/>
      <c r="CZ278" s="31" t="n"/>
      <c r="DA278" s="29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1" t="n"/>
      <c r="DC278" s="21" t="n"/>
      <c r="DD278" s="27">
        <f>SUM(DB278:DC278)</f>
        <v/>
      </c>
      <c r="DE278" s="28" t="n"/>
      <c r="DF278" s="31" t="n"/>
      <c r="DG278" s="29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34">
        <f>SUM(O278,U278,AA278,AG278,AM278,AS278,AY278,BE278,BK278,BQ278,BW278,CC278,CI278,CO278,CU278,DA278,DG278)</f>
        <v/>
      </c>
      <c r="DI278" s="39">
        <f>RANK(DH278,DH$4:DH$503)</f>
        <v/>
      </c>
      <c r="DJ278" s="40" t="inlineStr">
        <is>
          <t>CHOOSE RATING</t>
        </is>
      </c>
      <c r="DK278" s="40" t="inlineStr">
        <is>
          <t>CHOOSE RATING</t>
        </is>
      </c>
      <c r="DL278" s="40" t="inlineStr">
        <is>
          <t>CHOOSE RATING</t>
        </is>
      </c>
      <c r="DM278" s="40" t="inlineStr">
        <is>
          <t>CHOOSE RATING</t>
        </is>
      </c>
      <c r="DN278" s="40" t="inlineStr">
        <is>
          <t>CHOOSE RATING</t>
        </is>
      </c>
      <c r="DO278" s="40" t="inlineStr">
        <is>
          <t>CHOOSE RATING</t>
        </is>
      </c>
      <c r="DP278" s="40" t="inlineStr">
        <is>
          <t>CHOOSE RATING</t>
        </is>
      </c>
      <c r="DQ278" s="40" t="inlineStr">
        <is>
          <t>CHOOSE RATING</t>
        </is>
      </c>
      <c r="DR278" s="43" t="inlineStr">
        <is>
          <t>2024/2025</t>
        </is>
      </c>
      <c r="DS278" s="45" t="inlineStr">
        <is>
          <t>THIRD</t>
        </is>
      </c>
      <c r="DT278" s="40" t="inlineStr">
        <is>
          <t>CHOOSE RATING</t>
        </is>
      </c>
      <c r="DU278" s="40" t="inlineStr">
        <is>
          <t>CHOOSE RATING</t>
        </is>
      </c>
      <c r="DV278" s="40" t="inlineStr">
        <is>
          <t>CHOOSE RATING</t>
        </is>
      </c>
      <c r="DW278" s="40" t="inlineStr">
        <is>
          <t>CHOOSE RATING</t>
        </is>
      </c>
      <c r="DX278" s="40" t="inlineStr">
        <is>
          <t>CHOOSE RATING</t>
        </is>
      </c>
      <c r="DY278" s="40" t="inlineStr">
        <is>
          <t>CHOOSE RATING</t>
        </is>
      </c>
      <c r="DZ278" s="53" t="inlineStr">
        <is>
          <t>CHOOSE RATING</t>
        </is>
      </c>
      <c r="EA278" s="54" t="inlineStr">
        <is>
          <t>Add the Tutor's Comment . . .</t>
        </is>
      </c>
      <c r="EB278" s="55" t="inlineStr">
        <is>
          <t>Choose Principals comment</t>
        </is>
      </c>
      <c r="EC278" s="56" t="n"/>
      <c r="ED278" s="57" t="inlineStr">
        <is>
          <t>Next Term Begins on Monday, 22nd September, 2025</t>
        </is>
      </c>
    </row>
    <row r="279" ht="30.6" customHeight="1" s="6">
      <c r="A279" s="18" t="n">
        <v>276</v>
      </c>
      <c r="B279" s="19" t="n"/>
      <c r="C279" s="20" t="n"/>
      <c r="D279" s="128" t="n"/>
      <c r="E279" s="21" t="n"/>
      <c r="F279" s="22" t="n"/>
      <c r="G279" s="22" t="n"/>
      <c r="H279" s="22" t="n"/>
      <c r="I279" s="26">
        <f>G279-H279</f>
        <v/>
      </c>
      <c r="J279" s="21" t="n"/>
      <c r="K279" s="21" t="n"/>
      <c r="L279" s="27">
        <f>SUM(J279:K279)</f>
        <v/>
      </c>
      <c r="M279" s="28" t="n"/>
      <c r="N279" s="28" t="n"/>
      <c r="O279" s="29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1" t="n"/>
      <c r="Q279" s="21" t="n"/>
      <c r="R279" s="27">
        <f>SUM(P279:Q279)</f>
        <v/>
      </c>
      <c r="S279" s="28" t="n"/>
      <c r="T279" s="28" t="n"/>
      <c r="U279" s="29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1" t="n"/>
      <c r="W279" s="21" t="n"/>
      <c r="X279" s="27">
        <f>SUM(V279:W279)</f>
        <v/>
      </c>
      <c r="Y279" s="28" t="n"/>
      <c r="Z279" s="28" t="n"/>
      <c r="AA279" s="29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1" t="n"/>
      <c r="AC279" s="21" t="n"/>
      <c r="AD279" s="27">
        <f>SUM(AB279:AC279)</f>
        <v/>
      </c>
      <c r="AE279" s="28" t="n"/>
      <c r="AF279" s="28" t="n"/>
      <c r="AG279" s="29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1" t="n"/>
      <c r="AI279" s="21" t="n"/>
      <c r="AJ279" s="27">
        <f>SUM(AH279:AI279)</f>
        <v/>
      </c>
      <c r="AK279" s="28" t="n"/>
      <c r="AL279" s="28" t="n"/>
      <c r="AM279" s="29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1" t="n"/>
      <c r="AO279" s="21" t="n"/>
      <c r="AP279" s="27">
        <f>SUM(AN279:AO279)</f>
        <v/>
      </c>
      <c r="AQ279" s="28" t="n"/>
      <c r="AR279" s="30" t="n"/>
      <c r="AS279" s="29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1" t="n"/>
      <c r="AU279" s="21" t="n"/>
      <c r="AV279" s="27">
        <f>SUM(AT279:AU279)</f>
        <v/>
      </c>
      <c r="AW279" s="28" t="n"/>
      <c r="AX279" s="30" t="n"/>
      <c r="AY279" s="29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1" t="n"/>
      <c r="BA279" s="21" t="n"/>
      <c r="BB279" s="27">
        <f>SUM(AZ279:BA279)</f>
        <v/>
      </c>
      <c r="BC279" s="28" t="n"/>
      <c r="BD279" s="28" t="n"/>
      <c r="BE279" s="29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1" t="n"/>
      <c r="BG279" s="21" t="n"/>
      <c r="BH279" s="27">
        <f>SUM(BF279:BG279)</f>
        <v/>
      </c>
      <c r="BI279" s="28" t="n"/>
      <c r="BJ279" s="28" t="n"/>
      <c r="BK279" s="29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1" t="n"/>
      <c r="BM279" s="21" t="n"/>
      <c r="BN279" s="27">
        <f>SUM(BL279:BM279)</f>
        <v/>
      </c>
      <c r="BO279" s="28" t="n"/>
      <c r="BP279" s="31" t="n"/>
      <c r="BQ279" s="29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1" t="n"/>
      <c r="BS279" s="21" t="n"/>
      <c r="BT279" s="27">
        <f>SUM(BR279:BS279)</f>
        <v/>
      </c>
      <c r="BU279" s="28" t="n"/>
      <c r="BV279" s="31" t="n"/>
      <c r="BW279" s="29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1" t="n"/>
      <c r="BY279" s="21" t="n"/>
      <c r="BZ279" s="27">
        <f>SUM(BX279:BY279)</f>
        <v/>
      </c>
      <c r="CA279" s="28" t="n"/>
      <c r="CB279" s="31" t="n"/>
      <c r="CC279" s="29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1" t="n"/>
      <c r="CE279" s="21" t="n"/>
      <c r="CF279" s="27">
        <f>SUM(CD279:CE279)</f>
        <v/>
      </c>
      <c r="CG279" s="28" t="n"/>
      <c r="CH279" s="31" t="n"/>
      <c r="CI279" s="29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1" t="n"/>
      <c r="CK279" s="21" t="n"/>
      <c r="CL279" s="27">
        <f>SUM(CJ279:CK279)</f>
        <v/>
      </c>
      <c r="CM279" s="28" t="n"/>
      <c r="CN279" s="31" t="n"/>
      <c r="CO279" s="29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1" t="n"/>
      <c r="CQ279" s="21" t="n"/>
      <c r="CR279" s="27">
        <f>SUM(CP279:CQ279)</f>
        <v/>
      </c>
      <c r="CS279" s="28" t="n"/>
      <c r="CT279" s="31" t="n"/>
      <c r="CU279" s="29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1" t="n"/>
      <c r="CW279" s="21" t="n"/>
      <c r="CX279" s="27">
        <f>SUM(CV279:CW279)</f>
        <v/>
      </c>
      <c r="CY279" s="28" t="n"/>
      <c r="CZ279" s="31" t="n"/>
      <c r="DA279" s="29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1" t="n"/>
      <c r="DC279" s="21" t="n"/>
      <c r="DD279" s="27">
        <f>SUM(DB279:DC279)</f>
        <v/>
      </c>
      <c r="DE279" s="28" t="n"/>
      <c r="DF279" s="31" t="n"/>
      <c r="DG279" s="29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34">
        <f>SUM(O279,U279,AA279,AG279,AM279,AS279,AY279,BE279,BK279,BQ279,BW279,CC279,CI279,CO279,CU279,DA279,DG279)</f>
        <v/>
      </c>
      <c r="DI279" s="39">
        <f>RANK(DH279,DH$4:DH$503)</f>
        <v/>
      </c>
      <c r="DJ279" s="40" t="inlineStr">
        <is>
          <t>CHOOSE RATING</t>
        </is>
      </c>
      <c r="DK279" s="40" t="inlineStr">
        <is>
          <t>CHOOSE RATING</t>
        </is>
      </c>
      <c r="DL279" s="40" t="inlineStr">
        <is>
          <t>CHOOSE RATING</t>
        </is>
      </c>
      <c r="DM279" s="40" t="inlineStr">
        <is>
          <t>CHOOSE RATING</t>
        </is>
      </c>
      <c r="DN279" s="40" t="inlineStr">
        <is>
          <t>CHOOSE RATING</t>
        </is>
      </c>
      <c r="DO279" s="40" t="inlineStr">
        <is>
          <t>CHOOSE RATING</t>
        </is>
      </c>
      <c r="DP279" s="40" t="inlineStr">
        <is>
          <t>CHOOSE RATING</t>
        </is>
      </c>
      <c r="DQ279" s="40" t="inlineStr">
        <is>
          <t>CHOOSE RATING</t>
        </is>
      </c>
      <c r="DR279" s="43" t="inlineStr">
        <is>
          <t>2024/2025</t>
        </is>
      </c>
      <c r="DS279" s="45" t="inlineStr">
        <is>
          <t>THIRD</t>
        </is>
      </c>
      <c r="DT279" s="40" t="inlineStr">
        <is>
          <t>CHOOSE RATING</t>
        </is>
      </c>
      <c r="DU279" s="40" t="inlineStr">
        <is>
          <t>CHOOSE RATING</t>
        </is>
      </c>
      <c r="DV279" s="40" t="inlineStr">
        <is>
          <t>CHOOSE RATING</t>
        </is>
      </c>
      <c r="DW279" s="40" t="inlineStr">
        <is>
          <t>CHOOSE RATING</t>
        </is>
      </c>
      <c r="DX279" s="40" t="inlineStr">
        <is>
          <t>CHOOSE RATING</t>
        </is>
      </c>
      <c r="DY279" s="40" t="inlineStr">
        <is>
          <t>CHOOSE RATING</t>
        </is>
      </c>
      <c r="DZ279" s="53" t="inlineStr">
        <is>
          <t>CHOOSE RATING</t>
        </is>
      </c>
      <c r="EA279" s="54" t="inlineStr">
        <is>
          <t>Add the Tutor's Comment . . .</t>
        </is>
      </c>
      <c r="EB279" s="55" t="inlineStr">
        <is>
          <t>Choose Principals comment</t>
        </is>
      </c>
      <c r="EC279" s="56" t="n"/>
      <c r="ED279" s="57" t="inlineStr">
        <is>
          <t>Next Term Begins on Monday, 22nd September, 2025</t>
        </is>
      </c>
    </row>
    <row r="280" ht="30.6" customHeight="1" s="6">
      <c r="A280" s="18" t="n">
        <v>277</v>
      </c>
      <c r="B280" s="19" t="n"/>
      <c r="C280" s="20" t="n"/>
      <c r="D280" s="128" t="n"/>
      <c r="E280" s="21" t="n"/>
      <c r="F280" s="22" t="n"/>
      <c r="G280" s="22" t="n"/>
      <c r="H280" s="22" t="n"/>
      <c r="I280" s="26">
        <f>G280-H280</f>
        <v/>
      </c>
      <c r="J280" s="21" t="n"/>
      <c r="K280" s="21" t="n"/>
      <c r="L280" s="27">
        <f>SUM(J280:K280)</f>
        <v/>
      </c>
      <c r="M280" s="28" t="n"/>
      <c r="N280" s="28" t="n"/>
      <c r="O280" s="29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1" t="n"/>
      <c r="Q280" s="21" t="n"/>
      <c r="R280" s="27">
        <f>SUM(P280:Q280)</f>
        <v/>
      </c>
      <c r="S280" s="28" t="n"/>
      <c r="T280" s="28" t="n"/>
      <c r="U280" s="29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1" t="n"/>
      <c r="W280" s="21" t="n"/>
      <c r="X280" s="27">
        <f>SUM(V280:W280)</f>
        <v/>
      </c>
      <c r="Y280" s="28" t="n"/>
      <c r="Z280" s="28" t="n"/>
      <c r="AA280" s="29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1" t="n"/>
      <c r="AC280" s="21" t="n"/>
      <c r="AD280" s="27">
        <f>SUM(AB280:AC280)</f>
        <v/>
      </c>
      <c r="AE280" s="28" t="n"/>
      <c r="AF280" s="28" t="n"/>
      <c r="AG280" s="29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1" t="n"/>
      <c r="AI280" s="21" t="n"/>
      <c r="AJ280" s="27">
        <f>SUM(AH280:AI280)</f>
        <v/>
      </c>
      <c r="AK280" s="28" t="n"/>
      <c r="AL280" s="28" t="n"/>
      <c r="AM280" s="29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1" t="n"/>
      <c r="AO280" s="21" t="n"/>
      <c r="AP280" s="27">
        <f>SUM(AN280:AO280)</f>
        <v/>
      </c>
      <c r="AQ280" s="28" t="n"/>
      <c r="AR280" s="30" t="n"/>
      <c r="AS280" s="29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1" t="n"/>
      <c r="AU280" s="21" t="n"/>
      <c r="AV280" s="27">
        <f>SUM(AT280:AU280)</f>
        <v/>
      </c>
      <c r="AW280" s="28" t="n"/>
      <c r="AX280" s="30" t="n"/>
      <c r="AY280" s="29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1" t="n"/>
      <c r="BA280" s="21" t="n"/>
      <c r="BB280" s="27">
        <f>SUM(AZ280:BA280)</f>
        <v/>
      </c>
      <c r="BC280" s="28" t="n"/>
      <c r="BD280" s="28" t="n"/>
      <c r="BE280" s="29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1" t="n"/>
      <c r="BG280" s="21" t="n"/>
      <c r="BH280" s="27">
        <f>SUM(BF280:BG280)</f>
        <v/>
      </c>
      <c r="BI280" s="28" t="n"/>
      <c r="BJ280" s="28" t="n"/>
      <c r="BK280" s="29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1" t="n"/>
      <c r="BM280" s="21" t="n"/>
      <c r="BN280" s="27">
        <f>SUM(BL280:BM280)</f>
        <v/>
      </c>
      <c r="BO280" s="28" t="n"/>
      <c r="BP280" s="31" t="n"/>
      <c r="BQ280" s="29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1" t="n"/>
      <c r="BS280" s="21" t="n"/>
      <c r="BT280" s="27">
        <f>SUM(BR280:BS280)</f>
        <v/>
      </c>
      <c r="BU280" s="28" t="n"/>
      <c r="BV280" s="31" t="n"/>
      <c r="BW280" s="29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1" t="n"/>
      <c r="BY280" s="21" t="n"/>
      <c r="BZ280" s="27">
        <f>SUM(BX280:BY280)</f>
        <v/>
      </c>
      <c r="CA280" s="28" t="n"/>
      <c r="CB280" s="31" t="n"/>
      <c r="CC280" s="29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1" t="n"/>
      <c r="CE280" s="21" t="n"/>
      <c r="CF280" s="27">
        <f>SUM(CD280:CE280)</f>
        <v/>
      </c>
      <c r="CG280" s="28" t="n"/>
      <c r="CH280" s="31" t="n"/>
      <c r="CI280" s="29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1" t="n"/>
      <c r="CK280" s="21" t="n"/>
      <c r="CL280" s="27">
        <f>SUM(CJ280:CK280)</f>
        <v/>
      </c>
      <c r="CM280" s="28" t="n"/>
      <c r="CN280" s="31" t="n"/>
      <c r="CO280" s="29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1" t="n"/>
      <c r="CQ280" s="21" t="n"/>
      <c r="CR280" s="27">
        <f>SUM(CP280:CQ280)</f>
        <v/>
      </c>
      <c r="CS280" s="28" t="n"/>
      <c r="CT280" s="31" t="n"/>
      <c r="CU280" s="29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1" t="n"/>
      <c r="CW280" s="21" t="n"/>
      <c r="CX280" s="27">
        <f>SUM(CV280:CW280)</f>
        <v/>
      </c>
      <c r="CY280" s="28" t="n"/>
      <c r="CZ280" s="31" t="n"/>
      <c r="DA280" s="29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1" t="n"/>
      <c r="DC280" s="21" t="n"/>
      <c r="DD280" s="27">
        <f>SUM(DB280:DC280)</f>
        <v/>
      </c>
      <c r="DE280" s="28" t="n"/>
      <c r="DF280" s="31" t="n"/>
      <c r="DG280" s="29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34">
        <f>SUM(O280,U280,AA280,AG280,AM280,AS280,AY280,BE280,BK280,BQ280,BW280,CC280,CI280,CO280,CU280,DA280,DG280)</f>
        <v/>
      </c>
      <c r="DI280" s="39">
        <f>RANK(DH280,DH$4:DH$503)</f>
        <v/>
      </c>
      <c r="DJ280" s="40" t="inlineStr">
        <is>
          <t>CHOOSE RATING</t>
        </is>
      </c>
      <c r="DK280" s="40" t="inlineStr">
        <is>
          <t>CHOOSE RATING</t>
        </is>
      </c>
      <c r="DL280" s="40" t="inlineStr">
        <is>
          <t>CHOOSE RATING</t>
        </is>
      </c>
      <c r="DM280" s="40" t="inlineStr">
        <is>
          <t>CHOOSE RATING</t>
        </is>
      </c>
      <c r="DN280" s="40" t="inlineStr">
        <is>
          <t>CHOOSE RATING</t>
        </is>
      </c>
      <c r="DO280" s="40" t="inlineStr">
        <is>
          <t>CHOOSE RATING</t>
        </is>
      </c>
      <c r="DP280" s="40" t="inlineStr">
        <is>
          <t>CHOOSE RATING</t>
        </is>
      </c>
      <c r="DQ280" s="40" t="inlineStr">
        <is>
          <t>CHOOSE RATING</t>
        </is>
      </c>
      <c r="DR280" s="43" t="inlineStr">
        <is>
          <t>2024/2025</t>
        </is>
      </c>
      <c r="DS280" s="45" t="inlineStr">
        <is>
          <t>THIRD</t>
        </is>
      </c>
      <c r="DT280" s="40" t="inlineStr">
        <is>
          <t>CHOOSE RATING</t>
        </is>
      </c>
      <c r="DU280" s="40" t="inlineStr">
        <is>
          <t>CHOOSE RATING</t>
        </is>
      </c>
      <c r="DV280" s="40" t="inlineStr">
        <is>
          <t>CHOOSE RATING</t>
        </is>
      </c>
      <c r="DW280" s="40" t="inlineStr">
        <is>
          <t>CHOOSE RATING</t>
        </is>
      </c>
      <c r="DX280" s="40" t="inlineStr">
        <is>
          <t>CHOOSE RATING</t>
        </is>
      </c>
      <c r="DY280" s="40" t="inlineStr">
        <is>
          <t>CHOOSE RATING</t>
        </is>
      </c>
      <c r="DZ280" s="53" t="inlineStr">
        <is>
          <t>CHOOSE RATING</t>
        </is>
      </c>
      <c r="EA280" s="54" t="inlineStr">
        <is>
          <t>Add the Tutor's Comment . . .</t>
        </is>
      </c>
      <c r="EB280" s="55" t="inlineStr">
        <is>
          <t>Choose Principals comment</t>
        </is>
      </c>
      <c r="EC280" s="56" t="n"/>
      <c r="ED280" s="57" t="inlineStr">
        <is>
          <t>Next Term Begins on Monday, 22nd September, 2025</t>
        </is>
      </c>
    </row>
    <row r="281" ht="30.6" customHeight="1" s="6">
      <c r="A281" s="18" t="n">
        <v>278</v>
      </c>
      <c r="B281" s="19" t="n"/>
      <c r="C281" s="20" t="n"/>
      <c r="D281" s="128" t="n"/>
      <c r="E281" s="21" t="n"/>
      <c r="F281" s="22" t="n"/>
      <c r="G281" s="22" t="n"/>
      <c r="H281" s="22" t="n"/>
      <c r="I281" s="26">
        <f>G281-H281</f>
        <v/>
      </c>
      <c r="J281" s="21" t="n"/>
      <c r="K281" s="21" t="n"/>
      <c r="L281" s="27">
        <f>SUM(J281:K281)</f>
        <v/>
      </c>
      <c r="M281" s="28" t="n"/>
      <c r="N281" s="28" t="n"/>
      <c r="O281" s="29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1" t="n"/>
      <c r="Q281" s="21" t="n"/>
      <c r="R281" s="27">
        <f>SUM(P281:Q281)</f>
        <v/>
      </c>
      <c r="S281" s="28" t="n"/>
      <c r="T281" s="28" t="n"/>
      <c r="U281" s="29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1" t="n"/>
      <c r="W281" s="21" t="n"/>
      <c r="X281" s="27">
        <f>SUM(V281:W281)</f>
        <v/>
      </c>
      <c r="Y281" s="28" t="n"/>
      <c r="Z281" s="28" t="n"/>
      <c r="AA281" s="29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1" t="n"/>
      <c r="AC281" s="21" t="n"/>
      <c r="AD281" s="27">
        <f>SUM(AB281:AC281)</f>
        <v/>
      </c>
      <c r="AE281" s="28" t="n"/>
      <c r="AF281" s="28" t="n"/>
      <c r="AG281" s="29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1" t="n"/>
      <c r="AI281" s="21" t="n"/>
      <c r="AJ281" s="27">
        <f>SUM(AH281:AI281)</f>
        <v/>
      </c>
      <c r="AK281" s="28" t="n"/>
      <c r="AL281" s="28" t="n"/>
      <c r="AM281" s="29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1" t="n"/>
      <c r="AO281" s="21" t="n"/>
      <c r="AP281" s="27">
        <f>SUM(AN281:AO281)</f>
        <v/>
      </c>
      <c r="AQ281" s="28" t="n"/>
      <c r="AR281" s="30" t="n"/>
      <c r="AS281" s="29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1" t="n"/>
      <c r="AU281" s="21" t="n"/>
      <c r="AV281" s="27">
        <f>SUM(AT281:AU281)</f>
        <v/>
      </c>
      <c r="AW281" s="28" t="n"/>
      <c r="AX281" s="30" t="n"/>
      <c r="AY281" s="29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1" t="n"/>
      <c r="BA281" s="21" t="n"/>
      <c r="BB281" s="27">
        <f>SUM(AZ281:BA281)</f>
        <v/>
      </c>
      <c r="BC281" s="28" t="n"/>
      <c r="BD281" s="28" t="n"/>
      <c r="BE281" s="29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1" t="n"/>
      <c r="BG281" s="21" t="n"/>
      <c r="BH281" s="27">
        <f>SUM(BF281:BG281)</f>
        <v/>
      </c>
      <c r="BI281" s="28" t="n"/>
      <c r="BJ281" s="28" t="n"/>
      <c r="BK281" s="29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1" t="n"/>
      <c r="BM281" s="21" t="n"/>
      <c r="BN281" s="27">
        <f>SUM(BL281:BM281)</f>
        <v/>
      </c>
      <c r="BO281" s="28" t="n"/>
      <c r="BP281" s="31" t="n"/>
      <c r="BQ281" s="29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1" t="n"/>
      <c r="BS281" s="21" t="n"/>
      <c r="BT281" s="27">
        <f>SUM(BR281:BS281)</f>
        <v/>
      </c>
      <c r="BU281" s="28" t="n"/>
      <c r="BV281" s="31" t="n"/>
      <c r="BW281" s="29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1" t="n"/>
      <c r="BY281" s="21" t="n"/>
      <c r="BZ281" s="27">
        <f>SUM(BX281:BY281)</f>
        <v/>
      </c>
      <c r="CA281" s="28" t="n"/>
      <c r="CB281" s="31" t="n"/>
      <c r="CC281" s="29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1" t="n"/>
      <c r="CE281" s="21" t="n"/>
      <c r="CF281" s="27">
        <f>SUM(CD281:CE281)</f>
        <v/>
      </c>
      <c r="CG281" s="28" t="n"/>
      <c r="CH281" s="31" t="n"/>
      <c r="CI281" s="29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1" t="n"/>
      <c r="CK281" s="21" t="n"/>
      <c r="CL281" s="27">
        <f>SUM(CJ281:CK281)</f>
        <v/>
      </c>
      <c r="CM281" s="28" t="n"/>
      <c r="CN281" s="31" t="n"/>
      <c r="CO281" s="29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1" t="n"/>
      <c r="CQ281" s="21" t="n"/>
      <c r="CR281" s="27">
        <f>SUM(CP281:CQ281)</f>
        <v/>
      </c>
      <c r="CS281" s="28" t="n"/>
      <c r="CT281" s="31" t="n"/>
      <c r="CU281" s="29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1" t="n"/>
      <c r="CW281" s="21" t="n"/>
      <c r="CX281" s="27">
        <f>SUM(CV281:CW281)</f>
        <v/>
      </c>
      <c r="CY281" s="28" t="n"/>
      <c r="CZ281" s="31" t="n"/>
      <c r="DA281" s="29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1" t="n"/>
      <c r="DC281" s="21" t="n"/>
      <c r="DD281" s="27">
        <f>SUM(DB281:DC281)</f>
        <v/>
      </c>
      <c r="DE281" s="28" t="n"/>
      <c r="DF281" s="31" t="n"/>
      <c r="DG281" s="29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34">
        <f>SUM(O281,U281,AA281,AG281,AM281,AS281,AY281,BE281,BK281,BQ281,BW281,CC281,CI281,CO281,CU281,DA281,DG281)</f>
        <v/>
      </c>
      <c r="DI281" s="39">
        <f>RANK(DH281,DH$4:DH$503)</f>
        <v/>
      </c>
      <c r="DJ281" s="40" t="inlineStr">
        <is>
          <t>CHOOSE RATING</t>
        </is>
      </c>
      <c r="DK281" s="40" t="inlineStr">
        <is>
          <t>CHOOSE RATING</t>
        </is>
      </c>
      <c r="DL281" s="40" t="inlineStr">
        <is>
          <t>CHOOSE RATING</t>
        </is>
      </c>
      <c r="DM281" s="40" t="inlineStr">
        <is>
          <t>CHOOSE RATING</t>
        </is>
      </c>
      <c r="DN281" s="40" t="inlineStr">
        <is>
          <t>CHOOSE RATING</t>
        </is>
      </c>
      <c r="DO281" s="40" t="inlineStr">
        <is>
          <t>CHOOSE RATING</t>
        </is>
      </c>
      <c r="DP281" s="40" t="inlineStr">
        <is>
          <t>CHOOSE RATING</t>
        </is>
      </c>
      <c r="DQ281" s="40" t="inlineStr">
        <is>
          <t>CHOOSE RATING</t>
        </is>
      </c>
      <c r="DR281" s="43" t="inlineStr">
        <is>
          <t>2024/2025</t>
        </is>
      </c>
      <c r="DS281" s="45" t="inlineStr">
        <is>
          <t>THIRD</t>
        </is>
      </c>
      <c r="DT281" s="40" t="inlineStr">
        <is>
          <t>CHOOSE RATING</t>
        </is>
      </c>
      <c r="DU281" s="40" t="inlineStr">
        <is>
          <t>CHOOSE RATING</t>
        </is>
      </c>
      <c r="DV281" s="40" t="inlineStr">
        <is>
          <t>CHOOSE RATING</t>
        </is>
      </c>
      <c r="DW281" s="40" t="inlineStr">
        <is>
          <t>CHOOSE RATING</t>
        </is>
      </c>
      <c r="DX281" s="40" t="inlineStr">
        <is>
          <t>CHOOSE RATING</t>
        </is>
      </c>
      <c r="DY281" s="40" t="inlineStr">
        <is>
          <t>CHOOSE RATING</t>
        </is>
      </c>
      <c r="DZ281" s="53" t="inlineStr">
        <is>
          <t>CHOOSE RATING</t>
        </is>
      </c>
      <c r="EA281" s="54" t="inlineStr">
        <is>
          <t>Add the Tutor's Comment . . .</t>
        </is>
      </c>
      <c r="EB281" s="55" t="inlineStr">
        <is>
          <t>Choose Principals comment</t>
        </is>
      </c>
      <c r="EC281" s="56" t="n"/>
      <c r="ED281" s="57" t="inlineStr">
        <is>
          <t>Next Term Begins on Monday, 22nd September, 2025</t>
        </is>
      </c>
    </row>
    <row r="282" ht="30.6" customHeight="1" s="6">
      <c r="A282" s="18" t="n">
        <v>279</v>
      </c>
      <c r="B282" s="19" t="n"/>
      <c r="C282" s="20" t="n"/>
      <c r="D282" s="128" t="n"/>
      <c r="E282" s="21" t="n"/>
      <c r="F282" s="22" t="n"/>
      <c r="G282" s="22" t="n"/>
      <c r="H282" s="22" t="n"/>
      <c r="I282" s="26">
        <f>G282-H282</f>
        <v/>
      </c>
      <c r="J282" s="21" t="n"/>
      <c r="K282" s="21" t="n"/>
      <c r="L282" s="27">
        <f>SUM(J282:K282)</f>
        <v/>
      </c>
      <c r="M282" s="28" t="n"/>
      <c r="N282" s="28" t="n"/>
      <c r="O282" s="29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1" t="n"/>
      <c r="Q282" s="21" t="n"/>
      <c r="R282" s="27">
        <f>SUM(P282:Q282)</f>
        <v/>
      </c>
      <c r="S282" s="28" t="n"/>
      <c r="T282" s="28" t="n"/>
      <c r="U282" s="29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1" t="n"/>
      <c r="W282" s="21" t="n"/>
      <c r="X282" s="27">
        <f>SUM(V282:W282)</f>
        <v/>
      </c>
      <c r="Y282" s="28" t="n"/>
      <c r="Z282" s="28" t="n"/>
      <c r="AA282" s="29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1" t="n"/>
      <c r="AC282" s="21" t="n"/>
      <c r="AD282" s="27">
        <f>SUM(AB282:AC282)</f>
        <v/>
      </c>
      <c r="AE282" s="28" t="n"/>
      <c r="AF282" s="28" t="n"/>
      <c r="AG282" s="29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1" t="n"/>
      <c r="AI282" s="21" t="n"/>
      <c r="AJ282" s="27">
        <f>SUM(AH282:AI282)</f>
        <v/>
      </c>
      <c r="AK282" s="28" t="n"/>
      <c r="AL282" s="28" t="n"/>
      <c r="AM282" s="29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1" t="n"/>
      <c r="AO282" s="21" t="n"/>
      <c r="AP282" s="27">
        <f>SUM(AN282:AO282)</f>
        <v/>
      </c>
      <c r="AQ282" s="28" t="n"/>
      <c r="AR282" s="30" t="n"/>
      <c r="AS282" s="29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1" t="n"/>
      <c r="AU282" s="21" t="n"/>
      <c r="AV282" s="27">
        <f>SUM(AT282:AU282)</f>
        <v/>
      </c>
      <c r="AW282" s="28" t="n"/>
      <c r="AX282" s="30" t="n"/>
      <c r="AY282" s="29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1" t="n"/>
      <c r="BA282" s="21" t="n"/>
      <c r="BB282" s="27">
        <f>SUM(AZ282:BA282)</f>
        <v/>
      </c>
      <c r="BC282" s="28" t="n"/>
      <c r="BD282" s="28" t="n"/>
      <c r="BE282" s="29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1" t="n"/>
      <c r="BG282" s="21" t="n"/>
      <c r="BH282" s="27">
        <f>SUM(BF282:BG282)</f>
        <v/>
      </c>
      <c r="BI282" s="28" t="n"/>
      <c r="BJ282" s="28" t="n"/>
      <c r="BK282" s="29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1" t="n"/>
      <c r="BM282" s="21" t="n"/>
      <c r="BN282" s="27">
        <f>SUM(BL282:BM282)</f>
        <v/>
      </c>
      <c r="BO282" s="28" t="n"/>
      <c r="BP282" s="31" t="n"/>
      <c r="BQ282" s="29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1" t="n"/>
      <c r="BS282" s="21" t="n"/>
      <c r="BT282" s="27">
        <f>SUM(BR282:BS282)</f>
        <v/>
      </c>
      <c r="BU282" s="28" t="n"/>
      <c r="BV282" s="31" t="n"/>
      <c r="BW282" s="29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1" t="n"/>
      <c r="BY282" s="21" t="n"/>
      <c r="BZ282" s="27">
        <f>SUM(BX282:BY282)</f>
        <v/>
      </c>
      <c r="CA282" s="28" t="n"/>
      <c r="CB282" s="31" t="n"/>
      <c r="CC282" s="29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1" t="n"/>
      <c r="CE282" s="21" t="n"/>
      <c r="CF282" s="27">
        <f>SUM(CD282:CE282)</f>
        <v/>
      </c>
      <c r="CG282" s="28" t="n"/>
      <c r="CH282" s="31" t="n"/>
      <c r="CI282" s="29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1" t="n"/>
      <c r="CK282" s="21" t="n"/>
      <c r="CL282" s="27">
        <f>SUM(CJ282:CK282)</f>
        <v/>
      </c>
      <c r="CM282" s="28" t="n"/>
      <c r="CN282" s="31" t="n"/>
      <c r="CO282" s="29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1" t="n"/>
      <c r="CQ282" s="21" t="n"/>
      <c r="CR282" s="27">
        <f>SUM(CP282:CQ282)</f>
        <v/>
      </c>
      <c r="CS282" s="28" t="n"/>
      <c r="CT282" s="31" t="n"/>
      <c r="CU282" s="29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1" t="n"/>
      <c r="CW282" s="21" t="n"/>
      <c r="CX282" s="27">
        <f>SUM(CV282:CW282)</f>
        <v/>
      </c>
      <c r="CY282" s="28" t="n"/>
      <c r="CZ282" s="31" t="n"/>
      <c r="DA282" s="29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1" t="n"/>
      <c r="DC282" s="21" t="n"/>
      <c r="DD282" s="27">
        <f>SUM(DB282:DC282)</f>
        <v/>
      </c>
      <c r="DE282" s="28" t="n"/>
      <c r="DF282" s="31" t="n"/>
      <c r="DG282" s="29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34">
        <f>SUM(O282,U282,AA282,AG282,AM282,AS282,AY282,BE282,BK282,BQ282,BW282,CC282,CI282,CO282,CU282,DA282,DG282)</f>
        <v/>
      </c>
      <c r="DI282" s="39">
        <f>RANK(DH282,DH$4:DH$503)</f>
        <v/>
      </c>
      <c r="DJ282" s="40" t="inlineStr">
        <is>
          <t>CHOOSE RATING</t>
        </is>
      </c>
      <c r="DK282" s="40" t="inlineStr">
        <is>
          <t>CHOOSE RATING</t>
        </is>
      </c>
      <c r="DL282" s="40" t="inlineStr">
        <is>
          <t>CHOOSE RATING</t>
        </is>
      </c>
      <c r="DM282" s="40" t="inlineStr">
        <is>
          <t>CHOOSE RATING</t>
        </is>
      </c>
      <c r="DN282" s="40" t="inlineStr">
        <is>
          <t>CHOOSE RATING</t>
        </is>
      </c>
      <c r="DO282" s="40" t="inlineStr">
        <is>
          <t>CHOOSE RATING</t>
        </is>
      </c>
      <c r="DP282" s="40" t="inlineStr">
        <is>
          <t>CHOOSE RATING</t>
        </is>
      </c>
      <c r="DQ282" s="40" t="inlineStr">
        <is>
          <t>CHOOSE RATING</t>
        </is>
      </c>
      <c r="DR282" s="43" t="inlineStr">
        <is>
          <t>2024/2025</t>
        </is>
      </c>
      <c r="DS282" s="45" t="inlineStr">
        <is>
          <t>THIRD</t>
        </is>
      </c>
      <c r="DT282" s="40" t="inlineStr">
        <is>
          <t>CHOOSE RATING</t>
        </is>
      </c>
      <c r="DU282" s="40" t="inlineStr">
        <is>
          <t>CHOOSE RATING</t>
        </is>
      </c>
      <c r="DV282" s="40" t="inlineStr">
        <is>
          <t>CHOOSE RATING</t>
        </is>
      </c>
      <c r="DW282" s="40" t="inlineStr">
        <is>
          <t>CHOOSE RATING</t>
        </is>
      </c>
      <c r="DX282" s="40" t="inlineStr">
        <is>
          <t>CHOOSE RATING</t>
        </is>
      </c>
      <c r="DY282" s="40" t="inlineStr">
        <is>
          <t>CHOOSE RATING</t>
        </is>
      </c>
      <c r="DZ282" s="53" t="inlineStr">
        <is>
          <t>CHOOSE RATING</t>
        </is>
      </c>
      <c r="EA282" s="54" t="inlineStr">
        <is>
          <t>Add the Tutor's Comment . . .</t>
        </is>
      </c>
      <c r="EB282" s="55" t="inlineStr">
        <is>
          <t>Choose Principals comment</t>
        </is>
      </c>
      <c r="EC282" s="56" t="n"/>
      <c r="ED282" s="57" t="inlineStr">
        <is>
          <t>Next Term Begins on Monday, 22nd September, 2025</t>
        </is>
      </c>
    </row>
    <row r="283" ht="30.6" customHeight="1" s="6">
      <c r="A283" s="18" t="n">
        <v>280</v>
      </c>
      <c r="B283" s="19" t="n"/>
      <c r="C283" s="20" t="n"/>
      <c r="D283" s="128" t="n"/>
      <c r="E283" s="21" t="n"/>
      <c r="F283" s="22" t="n"/>
      <c r="G283" s="22" t="n"/>
      <c r="H283" s="22" t="n"/>
      <c r="I283" s="26">
        <f>G283-H283</f>
        <v/>
      </c>
      <c r="J283" s="21" t="n"/>
      <c r="K283" s="21" t="n"/>
      <c r="L283" s="27">
        <f>SUM(J283:K283)</f>
        <v/>
      </c>
      <c r="M283" s="28" t="n"/>
      <c r="N283" s="28" t="n"/>
      <c r="O283" s="29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1" t="n"/>
      <c r="Q283" s="21" t="n"/>
      <c r="R283" s="27">
        <f>SUM(P283:Q283)</f>
        <v/>
      </c>
      <c r="S283" s="28" t="n"/>
      <c r="T283" s="28" t="n"/>
      <c r="U283" s="29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1" t="n"/>
      <c r="W283" s="21" t="n"/>
      <c r="X283" s="27">
        <f>SUM(V283:W283)</f>
        <v/>
      </c>
      <c r="Y283" s="28" t="n"/>
      <c r="Z283" s="28" t="n"/>
      <c r="AA283" s="29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1" t="n"/>
      <c r="AC283" s="21" t="n"/>
      <c r="AD283" s="27">
        <f>SUM(AB283:AC283)</f>
        <v/>
      </c>
      <c r="AE283" s="28" t="n"/>
      <c r="AF283" s="28" t="n"/>
      <c r="AG283" s="29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1" t="n"/>
      <c r="AI283" s="21" t="n"/>
      <c r="AJ283" s="27">
        <f>SUM(AH283:AI283)</f>
        <v/>
      </c>
      <c r="AK283" s="28" t="n"/>
      <c r="AL283" s="28" t="n"/>
      <c r="AM283" s="29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1" t="n"/>
      <c r="AO283" s="21" t="n"/>
      <c r="AP283" s="27">
        <f>SUM(AN283:AO283)</f>
        <v/>
      </c>
      <c r="AQ283" s="28" t="n"/>
      <c r="AR283" s="30" t="n"/>
      <c r="AS283" s="29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1" t="n"/>
      <c r="AU283" s="21" t="n"/>
      <c r="AV283" s="27">
        <f>SUM(AT283:AU283)</f>
        <v/>
      </c>
      <c r="AW283" s="28" t="n"/>
      <c r="AX283" s="30" t="n"/>
      <c r="AY283" s="29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1" t="n"/>
      <c r="BA283" s="21" t="n"/>
      <c r="BB283" s="27">
        <f>SUM(AZ283:BA283)</f>
        <v/>
      </c>
      <c r="BC283" s="28" t="n"/>
      <c r="BD283" s="28" t="n"/>
      <c r="BE283" s="29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1" t="n"/>
      <c r="BG283" s="21" t="n"/>
      <c r="BH283" s="27">
        <f>SUM(BF283:BG283)</f>
        <v/>
      </c>
      <c r="BI283" s="28" t="n"/>
      <c r="BJ283" s="28" t="n"/>
      <c r="BK283" s="29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1" t="n"/>
      <c r="BM283" s="21" t="n"/>
      <c r="BN283" s="27">
        <f>SUM(BL283:BM283)</f>
        <v/>
      </c>
      <c r="BO283" s="28" t="n"/>
      <c r="BP283" s="31" t="n"/>
      <c r="BQ283" s="29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1" t="n"/>
      <c r="BS283" s="21" t="n"/>
      <c r="BT283" s="27">
        <f>SUM(BR283:BS283)</f>
        <v/>
      </c>
      <c r="BU283" s="28" t="n"/>
      <c r="BV283" s="31" t="n"/>
      <c r="BW283" s="29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1" t="n"/>
      <c r="BY283" s="21" t="n"/>
      <c r="BZ283" s="27">
        <f>SUM(BX283:BY283)</f>
        <v/>
      </c>
      <c r="CA283" s="28" t="n"/>
      <c r="CB283" s="31" t="n"/>
      <c r="CC283" s="29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1" t="n"/>
      <c r="CE283" s="21" t="n"/>
      <c r="CF283" s="27">
        <f>SUM(CD283:CE283)</f>
        <v/>
      </c>
      <c r="CG283" s="28" t="n"/>
      <c r="CH283" s="31" t="n"/>
      <c r="CI283" s="29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1" t="n"/>
      <c r="CK283" s="21" t="n"/>
      <c r="CL283" s="27">
        <f>SUM(CJ283:CK283)</f>
        <v/>
      </c>
      <c r="CM283" s="28" t="n"/>
      <c r="CN283" s="31" t="n"/>
      <c r="CO283" s="29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1" t="n"/>
      <c r="CQ283" s="21" t="n"/>
      <c r="CR283" s="27">
        <f>SUM(CP283:CQ283)</f>
        <v/>
      </c>
      <c r="CS283" s="28" t="n"/>
      <c r="CT283" s="31" t="n"/>
      <c r="CU283" s="29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1" t="n"/>
      <c r="CW283" s="21" t="n"/>
      <c r="CX283" s="27">
        <f>SUM(CV283:CW283)</f>
        <v/>
      </c>
      <c r="CY283" s="28" t="n"/>
      <c r="CZ283" s="31" t="n"/>
      <c r="DA283" s="29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1" t="n"/>
      <c r="DC283" s="21" t="n"/>
      <c r="DD283" s="27">
        <f>SUM(DB283:DC283)</f>
        <v/>
      </c>
      <c r="DE283" s="28" t="n"/>
      <c r="DF283" s="31" t="n"/>
      <c r="DG283" s="29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34">
        <f>SUM(O283,U283,AA283,AG283,AM283,AS283,AY283,BE283,BK283,BQ283,BW283,CC283,CI283,CO283,CU283,DA283,DG283)</f>
        <v/>
      </c>
      <c r="DI283" s="39">
        <f>RANK(DH283,DH$4:DH$503)</f>
        <v/>
      </c>
      <c r="DJ283" s="40" t="inlineStr">
        <is>
          <t>CHOOSE RATING</t>
        </is>
      </c>
      <c r="DK283" s="40" t="inlineStr">
        <is>
          <t>CHOOSE RATING</t>
        </is>
      </c>
      <c r="DL283" s="40" t="inlineStr">
        <is>
          <t>CHOOSE RATING</t>
        </is>
      </c>
      <c r="DM283" s="40" t="inlineStr">
        <is>
          <t>CHOOSE RATING</t>
        </is>
      </c>
      <c r="DN283" s="40" t="inlineStr">
        <is>
          <t>CHOOSE RATING</t>
        </is>
      </c>
      <c r="DO283" s="40" t="inlineStr">
        <is>
          <t>CHOOSE RATING</t>
        </is>
      </c>
      <c r="DP283" s="40" t="inlineStr">
        <is>
          <t>CHOOSE RATING</t>
        </is>
      </c>
      <c r="DQ283" s="40" t="inlineStr">
        <is>
          <t>CHOOSE RATING</t>
        </is>
      </c>
      <c r="DR283" s="43" t="inlineStr">
        <is>
          <t>2024/2025</t>
        </is>
      </c>
      <c r="DS283" s="45" t="inlineStr">
        <is>
          <t>THIRD</t>
        </is>
      </c>
      <c r="DT283" s="40" t="inlineStr">
        <is>
          <t>CHOOSE RATING</t>
        </is>
      </c>
      <c r="DU283" s="40" t="inlineStr">
        <is>
          <t>CHOOSE RATING</t>
        </is>
      </c>
      <c r="DV283" s="40" t="inlineStr">
        <is>
          <t>CHOOSE RATING</t>
        </is>
      </c>
      <c r="DW283" s="40" t="inlineStr">
        <is>
          <t>CHOOSE RATING</t>
        </is>
      </c>
      <c r="DX283" s="40" t="inlineStr">
        <is>
          <t>CHOOSE RATING</t>
        </is>
      </c>
      <c r="DY283" s="40" t="inlineStr">
        <is>
          <t>CHOOSE RATING</t>
        </is>
      </c>
      <c r="DZ283" s="53" t="inlineStr">
        <is>
          <t>CHOOSE RATING</t>
        </is>
      </c>
      <c r="EA283" s="54" t="inlineStr">
        <is>
          <t>Add the Tutor's Comment . . .</t>
        </is>
      </c>
      <c r="EB283" s="55" t="inlineStr">
        <is>
          <t>Choose Principals comment</t>
        </is>
      </c>
      <c r="EC283" s="56" t="n"/>
      <c r="ED283" s="57" t="inlineStr">
        <is>
          <t>Next Term Begins on Monday, 22nd September, 2025</t>
        </is>
      </c>
    </row>
    <row r="284" ht="30.6" customHeight="1" s="6">
      <c r="A284" s="18" t="n">
        <v>281</v>
      </c>
      <c r="B284" s="19" t="n"/>
      <c r="C284" s="20" t="n"/>
      <c r="D284" s="128" t="n"/>
      <c r="E284" s="21" t="n"/>
      <c r="F284" s="22" t="n"/>
      <c r="G284" s="22" t="n"/>
      <c r="H284" s="22" t="n"/>
      <c r="I284" s="26">
        <f>G284-H284</f>
        <v/>
      </c>
      <c r="J284" s="21" t="n"/>
      <c r="K284" s="21" t="n"/>
      <c r="L284" s="27">
        <f>SUM(J284:K284)</f>
        <v/>
      </c>
      <c r="M284" s="28" t="n"/>
      <c r="N284" s="28" t="n"/>
      <c r="O284" s="29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1" t="n"/>
      <c r="Q284" s="21" t="n"/>
      <c r="R284" s="27">
        <f>SUM(P284:Q284)</f>
        <v/>
      </c>
      <c r="S284" s="28" t="n"/>
      <c r="T284" s="28" t="n"/>
      <c r="U284" s="29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1" t="n"/>
      <c r="W284" s="21" t="n"/>
      <c r="X284" s="27">
        <f>SUM(V284:W284)</f>
        <v/>
      </c>
      <c r="Y284" s="28" t="n"/>
      <c r="Z284" s="28" t="n"/>
      <c r="AA284" s="29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1" t="n"/>
      <c r="AC284" s="21" t="n"/>
      <c r="AD284" s="27">
        <f>SUM(AB284:AC284)</f>
        <v/>
      </c>
      <c r="AE284" s="28" t="n"/>
      <c r="AF284" s="28" t="n"/>
      <c r="AG284" s="29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1" t="n"/>
      <c r="AI284" s="21" t="n"/>
      <c r="AJ284" s="27">
        <f>SUM(AH284:AI284)</f>
        <v/>
      </c>
      <c r="AK284" s="28" t="n"/>
      <c r="AL284" s="28" t="n"/>
      <c r="AM284" s="29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1" t="n"/>
      <c r="AO284" s="21" t="n"/>
      <c r="AP284" s="27">
        <f>SUM(AN284:AO284)</f>
        <v/>
      </c>
      <c r="AQ284" s="28" t="n"/>
      <c r="AR284" s="30" t="n"/>
      <c r="AS284" s="29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1" t="n"/>
      <c r="AU284" s="21" t="n"/>
      <c r="AV284" s="27">
        <f>SUM(AT284:AU284)</f>
        <v/>
      </c>
      <c r="AW284" s="28" t="n"/>
      <c r="AX284" s="30" t="n"/>
      <c r="AY284" s="29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1" t="n"/>
      <c r="BA284" s="21" t="n"/>
      <c r="BB284" s="27">
        <f>SUM(AZ284:BA284)</f>
        <v/>
      </c>
      <c r="BC284" s="28" t="n"/>
      <c r="BD284" s="28" t="n"/>
      <c r="BE284" s="29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1" t="n"/>
      <c r="BG284" s="21" t="n"/>
      <c r="BH284" s="27">
        <f>SUM(BF284:BG284)</f>
        <v/>
      </c>
      <c r="BI284" s="28" t="n"/>
      <c r="BJ284" s="28" t="n"/>
      <c r="BK284" s="29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1" t="n"/>
      <c r="BM284" s="21" t="n"/>
      <c r="BN284" s="27">
        <f>SUM(BL284:BM284)</f>
        <v/>
      </c>
      <c r="BO284" s="28" t="n"/>
      <c r="BP284" s="31" t="n"/>
      <c r="BQ284" s="29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1" t="n"/>
      <c r="BS284" s="21" t="n"/>
      <c r="BT284" s="27">
        <f>SUM(BR284:BS284)</f>
        <v/>
      </c>
      <c r="BU284" s="28" t="n"/>
      <c r="BV284" s="31" t="n"/>
      <c r="BW284" s="29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1" t="n"/>
      <c r="BY284" s="21" t="n"/>
      <c r="BZ284" s="27">
        <f>SUM(BX284:BY284)</f>
        <v/>
      </c>
      <c r="CA284" s="28" t="n"/>
      <c r="CB284" s="31" t="n"/>
      <c r="CC284" s="29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1" t="n"/>
      <c r="CE284" s="21" t="n"/>
      <c r="CF284" s="27">
        <f>SUM(CD284:CE284)</f>
        <v/>
      </c>
      <c r="CG284" s="28" t="n"/>
      <c r="CH284" s="31" t="n"/>
      <c r="CI284" s="29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1" t="n"/>
      <c r="CK284" s="21" t="n"/>
      <c r="CL284" s="27">
        <f>SUM(CJ284:CK284)</f>
        <v/>
      </c>
      <c r="CM284" s="28" t="n"/>
      <c r="CN284" s="31" t="n"/>
      <c r="CO284" s="29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1" t="n"/>
      <c r="CQ284" s="21" t="n"/>
      <c r="CR284" s="27">
        <f>SUM(CP284:CQ284)</f>
        <v/>
      </c>
      <c r="CS284" s="28" t="n"/>
      <c r="CT284" s="31" t="n"/>
      <c r="CU284" s="29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1" t="n"/>
      <c r="CW284" s="21" t="n"/>
      <c r="CX284" s="27">
        <f>SUM(CV284:CW284)</f>
        <v/>
      </c>
      <c r="CY284" s="28" t="n"/>
      <c r="CZ284" s="31" t="n"/>
      <c r="DA284" s="29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1" t="n"/>
      <c r="DC284" s="21" t="n"/>
      <c r="DD284" s="27">
        <f>SUM(DB284:DC284)</f>
        <v/>
      </c>
      <c r="DE284" s="28" t="n"/>
      <c r="DF284" s="31" t="n"/>
      <c r="DG284" s="29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34">
        <f>SUM(O284,U284,AA284,AG284,AM284,AS284,AY284,BE284,BK284,BQ284,BW284,CC284,CI284,CO284,CU284,DA284,DG284)</f>
        <v/>
      </c>
      <c r="DI284" s="39">
        <f>RANK(DH284,DH$4:DH$503)</f>
        <v/>
      </c>
      <c r="DJ284" s="40" t="inlineStr">
        <is>
          <t>CHOOSE RATING</t>
        </is>
      </c>
      <c r="DK284" s="40" t="inlineStr">
        <is>
          <t>CHOOSE RATING</t>
        </is>
      </c>
      <c r="DL284" s="40" t="inlineStr">
        <is>
          <t>CHOOSE RATING</t>
        </is>
      </c>
      <c r="DM284" s="40" t="inlineStr">
        <is>
          <t>CHOOSE RATING</t>
        </is>
      </c>
      <c r="DN284" s="40" t="inlineStr">
        <is>
          <t>CHOOSE RATING</t>
        </is>
      </c>
      <c r="DO284" s="40" t="inlineStr">
        <is>
          <t>CHOOSE RATING</t>
        </is>
      </c>
      <c r="DP284" s="40" t="inlineStr">
        <is>
          <t>CHOOSE RATING</t>
        </is>
      </c>
      <c r="DQ284" s="40" t="inlineStr">
        <is>
          <t>CHOOSE RATING</t>
        </is>
      </c>
      <c r="DR284" s="43" t="inlineStr">
        <is>
          <t>2024/2025</t>
        </is>
      </c>
      <c r="DS284" s="45" t="inlineStr">
        <is>
          <t>THIRD</t>
        </is>
      </c>
      <c r="DT284" s="40" t="inlineStr">
        <is>
          <t>CHOOSE RATING</t>
        </is>
      </c>
      <c r="DU284" s="40" t="inlineStr">
        <is>
          <t>CHOOSE RATING</t>
        </is>
      </c>
      <c r="DV284" s="40" t="inlineStr">
        <is>
          <t>CHOOSE RATING</t>
        </is>
      </c>
      <c r="DW284" s="40" t="inlineStr">
        <is>
          <t>CHOOSE RATING</t>
        </is>
      </c>
      <c r="DX284" s="40" t="inlineStr">
        <is>
          <t>CHOOSE RATING</t>
        </is>
      </c>
      <c r="DY284" s="40" t="inlineStr">
        <is>
          <t>CHOOSE RATING</t>
        </is>
      </c>
      <c r="DZ284" s="53" t="inlineStr">
        <is>
          <t>CHOOSE RATING</t>
        </is>
      </c>
      <c r="EA284" s="54" t="inlineStr">
        <is>
          <t>Add the Tutor's Comment . . .</t>
        </is>
      </c>
      <c r="EB284" s="55" t="inlineStr">
        <is>
          <t>Choose Principals comment</t>
        </is>
      </c>
      <c r="EC284" s="56" t="n"/>
      <c r="ED284" s="57" t="inlineStr">
        <is>
          <t>Next Term Begins on Monday, 22nd September, 2025</t>
        </is>
      </c>
    </row>
    <row r="285" ht="30.6" customHeight="1" s="6">
      <c r="A285" s="18" t="n">
        <v>282</v>
      </c>
      <c r="B285" s="19" t="n"/>
      <c r="C285" s="20" t="n"/>
      <c r="D285" s="128" t="n"/>
      <c r="E285" s="21" t="n"/>
      <c r="F285" s="22" t="n"/>
      <c r="G285" s="22" t="n"/>
      <c r="H285" s="22" t="n"/>
      <c r="I285" s="26">
        <f>G285-H285</f>
        <v/>
      </c>
      <c r="J285" s="21" t="n"/>
      <c r="K285" s="21" t="n"/>
      <c r="L285" s="27">
        <f>SUM(J285:K285)</f>
        <v/>
      </c>
      <c r="M285" s="28" t="n"/>
      <c r="N285" s="28" t="n"/>
      <c r="O285" s="29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1" t="n"/>
      <c r="Q285" s="21" t="n"/>
      <c r="R285" s="27">
        <f>SUM(P285:Q285)</f>
        <v/>
      </c>
      <c r="S285" s="28" t="n"/>
      <c r="T285" s="28" t="n"/>
      <c r="U285" s="29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1" t="n"/>
      <c r="W285" s="21" t="n"/>
      <c r="X285" s="27">
        <f>SUM(V285:W285)</f>
        <v/>
      </c>
      <c r="Y285" s="28" t="n"/>
      <c r="Z285" s="28" t="n"/>
      <c r="AA285" s="29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1" t="n"/>
      <c r="AC285" s="21" t="n"/>
      <c r="AD285" s="27">
        <f>SUM(AB285:AC285)</f>
        <v/>
      </c>
      <c r="AE285" s="28" t="n"/>
      <c r="AF285" s="28" t="n"/>
      <c r="AG285" s="29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1" t="n"/>
      <c r="AI285" s="21" t="n"/>
      <c r="AJ285" s="27">
        <f>SUM(AH285:AI285)</f>
        <v/>
      </c>
      <c r="AK285" s="28" t="n"/>
      <c r="AL285" s="28" t="n"/>
      <c r="AM285" s="29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1" t="n"/>
      <c r="AO285" s="21" t="n"/>
      <c r="AP285" s="27">
        <f>SUM(AN285:AO285)</f>
        <v/>
      </c>
      <c r="AQ285" s="28" t="n"/>
      <c r="AR285" s="30" t="n"/>
      <c r="AS285" s="29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1" t="n"/>
      <c r="AU285" s="21" t="n"/>
      <c r="AV285" s="27">
        <f>SUM(AT285:AU285)</f>
        <v/>
      </c>
      <c r="AW285" s="28" t="n"/>
      <c r="AX285" s="30" t="n"/>
      <c r="AY285" s="29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1" t="n"/>
      <c r="BA285" s="21" t="n"/>
      <c r="BB285" s="27">
        <f>SUM(AZ285:BA285)</f>
        <v/>
      </c>
      <c r="BC285" s="28" t="n"/>
      <c r="BD285" s="28" t="n"/>
      <c r="BE285" s="29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1" t="n"/>
      <c r="BG285" s="21" t="n"/>
      <c r="BH285" s="27">
        <f>SUM(BF285:BG285)</f>
        <v/>
      </c>
      <c r="BI285" s="28" t="n"/>
      <c r="BJ285" s="28" t="n"/>
      <c r="BK285" s="29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1" t="n"/>
      <c r="BM285" s="21" t="n"/>
      <c r="BN285" s="27">
        <f>SUM(BL285:BM285)</f>
        <v/>
      </c>
      <c r="BO285" s="28" t="n"/>
      <c r="BP285" s="31" t="n"/>
      <c r="BQ285" s="29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1" t="n"/>
      <c r="BS285" s="21" t="n"/>
      <c r="BT285" s="27">
        <f>SUM(BR285:BS285)</f>
        <v/>
      </c>
      <c r="BU285" s="28" t="n"/>
      <c r="BV285" s="31" t="n"/>
      <c r="BW285" s="29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1" t="n"/>
      <c r="BY285" s="21" t="n"/>
      <c r="BZ285" s="27">
        <f>SUM(BX285:BY285)</f>
        <v/>
      </c>
      <c r="CA285" s="28" t="n"/>
      <c r="CB285" s="31" t="n"/>
      <c r="CC285" s="29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1" t="n"/>
      <c r="CE285" s="21" t="n"/>
      <c r="CF285" s="27">
        <f>SUM(CD285:CE285)</f>
        <v/>
      </c>
      <c r="CG285" s="28" t="n"/>
      <c r="CH285" s="31" t="n"/>
      <c r="CI285" s="29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1" t="n"/>
      <c r="CK285" s="21" t="n"/>
      <c r="CL285" s="27">
        <f>SUM(CJ285:CK285)</f>
        <v/>
      </c>
      <c r="CM285" s="28" t="n"/>
      <c r="CN285" s="31" t="n"/>
      <c r="CO285" s="29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1" t="n"/>
      <c r="CQ285" s="21" t="n"/>
      <c r="CR285" s="27">
        <f>SUM(CP285:CQ285)</f>
        <v/>
      </c>
      <c r="CS285" s="28" t="n"/>
      <c r="CT285" s="31" t="n"/>
      <c r="CU285" s="29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1" t="n"/>
      <c r="CW285" s="21" t="n"/>
      <c r="CX285" s="27">
        <f>SUM(CV285:CW285)</f>
        <v/>
      </c>
      <c r="CY285" s="28" t="n"/>
      <c r="CZ285" s="31" t="n"/>
      <c r="DA285" s="29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1" t="n"/>
      <c r="DC285" s="21" t="n"/>
      <c r="DD285" s="27">
        <f>SUM(DB285:DC285)</f>
        <v/>
      </c>
      <c r="DE285" s="28" t="n"/>
      <c r="DF285" s="31" t="n"/>
      <c r="DG285" s="29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34">
        <f>SUM(O285,U285,AA285,AG285,AM285,AS285,AY285,BE285,BK285,BQ285,BW285,CC285,CI285,CO285,CU285,DA285,DG285)</f>
        <v/>
      </c>
      <c r="DI285" s="39">
        <f>RANK(DH285,DH$4:DH$503)</f>
        <v/>
      </c>
      <c r="DJ285" s="40" t="inlineStr">
        <is>
          <t>CHOOSE RATING</t>
        </is>
      </c>
      <c r="DK285" s="40" t="inlineStr">
        <is>
          <t>CHOOSE RATING</t>
        </is>
      </c>
      <c r="DL285" s="40" t="inlineStr">
        <is>
          <t>CHOOSE RATING</t>
        </is>
      </c>
      <c r="DM285" s="40" t="inlineStr">
        <is>
          <t>CHOOSE RATING</t>
        </is>
      </c>
      <c r="DN285" s="40" t="inlineStr">
        <is>
          <t>CHOOSE RATING</t>
        </is>
      </c>
      <c r="DO285" s="40" t="inlineStr">
        <is>
          <t>CHOOSE RATING</t>
        </is>
      </c>
      <c r="DP285" s="40" t="inlineStr">
        <is>
          <t>CHOOSE RATING</t>
        </is>
      </c>
      <c r="DQ285" s="40" t="inlineStr">
        <is>
          <t>CHOOSE RATING</t>
        </is>
      </c>
      <c r="DR285" s="43" t="inlineStr">
        <is>
          <t>2024/2025</t>
        </is>
      </c>
      <c r="DS285" s="45" t="inlineStr">
        <is>
          <t>THIRD</t>
        </is>
      </c>
      <c r="DT285" s="40" t="inlineStr">
        <is>
          <t>CHOOSE RATING</t>
        </is>
      </c>
      <c r="DU285" s="40" t="inlineStr">
        <is>
          <t>CHOOSE RATING</t>
        </is>
      </c>
      <c r="DV285" s="40" t="inlineStr">
        <is>
          <t>CHOOSE RATING</t>
        </is>
      </c>
      <c r="DW285" s="40" t="inlineStr">
        <is>
          <t>CHOOSE RATING</t>
        </is>
      </c>
      <c r="DX285" s="40" t="inlineStr">
        <is>
          <t>CHOOSE RATING</t>
        </is>
      </c>
      <c r="DY285" s="40" t="inlineStr">
        <is>
          <t>CHOOSE RATING</t>
        </is>
      </c>
      <c r="DZ285" s="53" t="inlineStr">
        <is>
          <t>CHOOSE RATING</t>
        </is>
      </c>
      <c r="EA285" s="54" t="inlineStr">
        <is>
          <t>Add the Tutor's Comment . . .</t>
        </is>
      </c>
      <c r="EB285" s="55" t="inlineStr">
        <is>
          <t>Choose Principals comment</t>
        </is>
      </c>
      <c r="EC285" s="56" t="n"/>
      <c r="ED285" s="57" t="inlineStr">
        <is>
          <t>Next Term Begins on Monday, 22nd September, 2025</t>
        </is>
      </c>
    </row>
    <row r="286" ht="30.6" customHeight="1" s="6">
      <c r="A286" s="18" t="n">
        <v>283</v>
      </c>
      <c r="B286" s="19" t="n"/>
      <c r="C286" s="20" t="n"/>
      <c r="D286" s="128" t="n"/>
      <c r="E286" s="21" t="n"/>
      <c r="F286" s="22" t="n"/>
      <c r="G286" s="22" t="n"/>
      <c r="H286" s="22" t="n"/>
      <c r="I286" s="26">
        <f>G286-H286</f>
        <v/>
      </c>
      <c r="J286" s="21" t="n"/>
      <c r="K286" s="21" t="n"/>
      <c r="L286" s="27">
        <f>SUM(J286:K286)</f>
        <v/>
      </c>
      <c r="M286" s="28" t="n"/>
      <c r="N286" s="28" t="n"/>
      <c r="O286" s="29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1" t="n"/>
      <c r="Q286" s="21" t="n"/>
      <c r="R286" s="27">
        <f>SUM(P286:Q286)</f>
        <v/>
      </c>
      <c r="S286" s="28" t="n"/>
      <c r="T286" s="28" t="n"/>
      <c r="U286" s="29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1" t="n"/>
      <c r="W286" s="21" t="n"/>
      <c r="X286" s="27">
        <f>SUM(V286:W286)</f>
        <v/>
      </c>
      <c r="Y286" s="28" t="n"/>
      <c r="Z286" s="28" t="n"/>
      <c r="AA286" s="29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1" t="n"/>
      <c r="AC286" s="21" t="n"/>
      <c r="AD286" s="27">
        <f>SUM(AB286:AC286)</f>
        <v/>
      </c>
      <c r="AE286" s="28" t="n"/>
      <c r="AF286" s="28" t="n"/>
      <c r="AG286" s="29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1" t="n"/>
      <c r="AI286" s="21" t="n"/>
      <c r="AJ286" s="27">
        <f>SUM(AH286:AI286)</f>
        <v/>
      </c>
      <c r="AK286" s="28" t="n"/>
      <c r="AL286" s="28" t="n"/>
      <c r="AM286" s="29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1" t="n"/>
      <c r="AO286" s="21" t="n"/>
      <c r="AP286" s="27">
        <f>SUM(AN286:AO286)</f>
        <v/>
      </c>
      <c r="AQ286" s="28" t="n"/>
      <c r="AR286" s="30" t="n"/>
      <c r="AS286" s="29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1" t="n"/>
      <c r="AU286" s="21" t="n"/>
      <c r="AV286" s="27">
        <f>SUM(AT286:AU286)</f>
        <v/>
      </c>
      <c r="AW286" s="28" t="n"/>
      <c r="AX286" s="30" t="n"/>
      <c r="AY286" s="29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1" t="n"/>
      <c r="BA286" s="21" t="n"/>
      <c r="BB286" s="27">
        <f>SUM(AZ286:BA286)</f>
        <v/>
      </c>
      <c r="BC286" s="28" t="n"/>
      <c r="BD286" s="28" t="n"/>
      <c r="BE286" s="29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1" t="n"/>
      <c r="BG286" s="21" t="n"/>
      <c r="BH286" s="27">
        <f>SUM(BF286:BG286)</f>
        <v/>
      </c>
      <c r="BI286" s="28" t="n"/>
      <c r="BJ286" s="28" t="n"/>
      <c r="BK286" s="29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1" t="n"/>
      <c r="BM286" s="21" t="n"/>
      <c r="BN286" s="27">
        <f>SUM(BL286:BM286)</f>
        <v/>
      </c>
      <c r="BO286" s="28" t="n"/>
      <c r="BP286" s="31" t="n"/>
      <c r="BQ286" s="29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1" t="n"/>
      <c r="BS286" s="21" t="n"/>
      <c r="BT286" s="27">
        <f>SUM(BR286:BS286)</f>
        <v/>
      </c>
      <c r="BU286" s="28" t="n"/>
      <c r="BV286" s="31" t="n"/>
      <c r="BW286" s="29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1" t="n"/>
      <c r="BY286" s="21" t="n"/>
      <c r="BZ286" s="27">
        <f>SUM(BX286:BY286)</f>
        <v/>
      </c>
      <c r="CA286" s="28" t="n"/>
      <c r="CB286" s="31" t="n"/>
      <c r="CC286" s="29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1" t="n"/>
      <c r="CE286" s="21" t="n"/>
      <c r="CF286" s="27">
        <f>SUM(CD286:CE286)</f>
        <v/>
      </c>
      <c r="CG286" s="28" t="n"/>
      <c r="CH286" s="31" t="n"/>
      <c r="CI286" s="29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1" t="n"/>
      <c r="CK286" s="21" t="n"/>
      <c r="CL286" s="27">
        <f>SUM(CJ286:CK286)</f>
        <v/>
      </c>
      <c r="CM286" s="28" t="n"/>
      <c r="CN286" s="31" t="n"/>
      <c r="CO286" s="29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1" t="n"/>
      <c r="CQ286" s="21" t="n"/>
      <c r="CR286" s="27">
        <f>SUM(CP286:CQ286)</f>
        <v/>
      </c>
      <c r="CS286" s="28" t="n"/>
      <c r="CT286" s="31" t="n"/>
      <c r="CU286" s="29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1" t="n"/>
      <c r="CW286" s="21" t="n"/>
      <c r="CX286" s="27">
        <f>SUM(CV286:CW286)</f>
        <v/>
      </c>
      <c r="CY286" s="28" t="n"/>
      <c r="CZ286" s="31" t="n"/>
      <c r="DA286" s="29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1" t="n"/>
      <c r="DC286" s="21" t="n"/>
      <c r="DD286" s="27">
        <f>SUM(DB286:DC286)</f>
        <v/>
      </c>
      <c r="DE286" s="28" t="n"/>
      <c r="DF286" s="31" t="n"/>
      <c r="DG286" s="29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34">
        <f>SUM(O286,U286,AA286,AG286,AM286,AS286,AY286,BE286,BK286,BQ286,BW286,CC286,CI286,CO286,CU286,DA286,DG286)</f>
        <v/>
      </c>
      <c r="DI286" s="39">
        <f>RANK(DH286,DH$4:DH$503)</f>
        <v/>
      </c>
      <c r="DJ286" s="40" t="inlineStr">
        <is>
          <t>CHOOSE RATING</t>
        </is>
      </c>
      <c r="DK286" s="40" t="inlineStr">
        <is>
          <t>CHOOSE RATING</t>
        </is>
      </c>
      <c r="DL286" s="40" t="inlineStr">
        <is>
          <t>CHOOSE RATING</t>
        </is>
      </c>
      <c r="DM286" s="40" t="inlineStr">
        <is>
          <t>CHOOSE RATING</t>
        </is>
      </c>
      <c r="DN286" s="40" t="inlineStr">
        <is>
          <t>CHOOSE RATING</t>
        </is>
      </c>
      <c r="DO286" s="40" t="inlineStr">
        <is>
          <t>CHOOSE RATING</t>
        </is>
      </c>
      <c r="DP286" s="40" t="inlineStr">
        <is>
          <t>CHOOSE RATING</t>
        </is>
      </c>
      <c r="DQ286" s="40" t="inlineStr">
        <is>
          <t>CHOOSE RATING</t>
        </is>
      </c>
      <c r="DR286" s="43" t="inlineStr">
        <is>
          <t>2024/2025</t>
        </is>
      </c>
      <c r="DS286" s="45" t="inlineStr">
        <is>
          <t>THIRD</t>
        </is>
      </c>
      <c r="DT286" s="40" t="inlineStr">
        <is>
          <t>CHOOSE RATING</t>
        </is>
      </c>
      <c r="DU286" s="40" t="inlineStr">
        <is>
          <t>CHOOSE RATING</t>
        </is>
      </c>
      <c r="DV286" s="40" t="inlineStr">
        <is>
          <t>CHOOSE RATING</t>
        </is>
      </c>
      <c r="DW286" s="40" t="inlineStr">
        <is>
          <t>CHOOSE RATING</t>
        </is>
      </c>
      <c r="DX286" s="40" t="inlineStr">
        <is>
          <t>CHOOSE RATING</t>
        </is>
      </c>
      <c r="DY286" s="40" t="inlineStr">
        <is>
          <t>CHOOSE RATING</t>
        </is>
      </c>
      <c r="DZ286" s="53" t="inlineStr">
        <is>
          <t>CHOOSE RATING</t>
        </is>
      </c>
      <c r="EA286" s="54" t="inlineStr">
        <is>
          <t>Add the Tutor's Comment . . .</t>
        </is>
      </c>
      <c r="EB286" s="55" t="inlineStr">
        <is>
          <t>Choose Principals comment</t>
        </is>
      </c>
      <c r="EC286" s="56" t="n"/>
      <c r="ED286" s="57" t="inlineStr">
        <is>
          <t>Next Term Begins on Monday, 22nd September, 2025</t>
        </is>
      </c>
    </row>
    <row r="287" ht="30.6" customHeight="1" s="6">
      <c r="A287" s="18" t="n">
        <v>284</v>
      </c>
      <c r="B287" s="19" t="n"/>
      <c r="C287" s="20" t="n"/>
      <c r="D287" s="128" t="n"/>
      <c r="E287" s="21" t="n"/>
      <c r="F287" s="22" t="n"/>
      <c r="G287" s="22" t="n"/>
      <c r="H287" s="22" t="n"/>
      <c r="I287" s="26">
        <f>G287-H287</f>
        <v/>
      </c>
      <c r="J287" s="21" t="n"/>
      <c r="K287" s="21" t="n"/>
      <c r="L287" s="27">
        <f>SUM(J287:K287)</f>
        <v/>
      </c>
      <c r="M287" s="28" t="n"/>
      <c r="N287" s="28" t="n"/>
      <c r="O287" s="29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1" t="n"/>
      <c r="Q287" s="21" t="n"/>
      <c r="R287" s="27">
        <f>SUM(P287:Q287)</f>
        <v/>
      </c>
      <c r="S287" s="28" t="n"/>
      <c r="T287" s="28" t="n"/>
      <c r="U287" s="29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1" t="n"/>
      <c r="W287" s="21" t="n"/>
      <c r="X287" s="27">
        <f>SUM(V287:W287)</f>
        <v/>
      </c>
      <c r="Y287" s="28" t="n"/>
      <c r="Z287" s="28" t="n"/>
      <c r="AA287" s="29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1" t="n"/>
      <c r="AC287" s="21" t="n"/>
      <c r="AD287" s="27">
        <f>SUM(AB287:AC287)</f>
        <v/>
      </c>
      <c r="AE287" s="28" t="n"/>
      <c r="AF287" s="28" t="n"/>
      <c r="AG287" s="29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1" t="n"/>
      <c r="AI287" s="21" t="n"/>
      <c r="AJ287" s="27">
        <f>SUM(AH287:AI287)</f>
        <v/>
      </c>
      <c r="AK287" s="28" t="n"/>
      <c r="AL287" s="28" t="n"/>
      <c r="AM287" s="29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1" t="n"/>
      <c r="AO287" s="21" t="n"/>
      <c r="AP287" s="27">
        <f>SUM(AN287:AO287)</f>
        <v/>
      </c>
      <c r="AQ287" s="28" t="n"/>
      <c r="AR287" s="30" t="n"/>
      <c r="AS287" s="29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1" t="n"/>
      <c r="AU287" s="21" t="n"/>
      <c r="AV287" s="27">
        <f>SUM(AT287:AU287)</f>
        <v/>
      </c>
      <c r="AW287" s="28" t="n"/>
      <c r="AX287" s="30" t="n"/>
      <c r="AY287" s="29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1" t="n"/>
      <c r="BA287" s="21" t="n"/>
      <c r="BB287" s="27">
        <f>SUM(AZ287:BA287)</f>
        <v/>
      </c>
      <c r="BC287" s="28" t="n"/>
      <c r="BD287" s="28" t="n"/>
      <c r="BE287" s="29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1" t="n"/>
      <c r="BG287" s="21" t="n"/>
      <c r="BH287" s="27">
        <f>SUM(BF287:BG287)</f>
        <v/>
      </c>
      <c r="BI287" s="28" t="n"/>
      <c r="BJ287" s="28" t="n"/>
      <c r="BK287" s="29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1" t="n"/>
      <c r="BM287" s="21" t="n"/>
      <c r="BN287" s="27">
        <f>SUM(BL287:BM287)</f>
        <v/>
      </c>
      <c r="BO287" s="28" t="n"/>
      <c r="BP287" s="31" t="n"/>
      <c r="BQ287" s="29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1" t="n"/>
      <c r="BS287" s="21" t="n"/>
      <c r="BT287" s="27">
        <f>SUM(BR287:BS287)</f>
        <v/>
      </c>
      <c r="BU287" s="28" t="n"/>
      <c r="BV287" s="31" t="n"/>
      <c r="BW287" s="29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1" t="n"/>
      <c r="BY287" s="21" t="n"/>
      <c r="BZ287" s="27">
        <f>SUM(BX287:BY287)</f>
        <v/>
      </c>
      <c r="CA287" s="28" t="n"/>
      <c r="CB287" s="31" t="n"/>
      <c r="CC287" s="29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1" t="n"/>
      <c r="CE287" s="21" t="n"/>
      <c r="CF287" s="27">
        <f>SUM(CD287:CE287)</f>
        <v/>
      </c>
      <c r="CG287" s="28" t="n"/>
      <c r="CH287" s="31" t="n"/>
      <c r="CI287" s="29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1" t="n"/>
      <c r="CK287" s="21" t="n"/>
      <c r="CL287" s="27">
        <f>SUM(CJ287:CK287)</f>
        <v/>
      </c>
      <c r="CM287" s="28" t="n"/>
      <c r="CN287" s="31" t="n"/>
      <c r="CO287" s="29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1" t="n"/>
      <c r="CQ287" s="21" t="n"/>
      <c r="CR287" s="27">
        <f>SUM(CP287:CQ287)</f>
        <v/>
      </c>
      <c r="CS287" s="28" t="n"/>
      <c r="CT287" s="31" t="n"/>
      <c r="CU287" s="29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1" t="n"/>
      <c r="CW287" s="21" t="n"/>
      <c r="CX287" s="27">
        <f>SUM(CV287:CW287)</f>
        <v/>
      </c>
      <c r="CY287" s="28" t="n"/>
      <c r="CZ287" s="31" t="n"/>
      <c r="DA287" s="29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1" t="n"/>
      <c r="DC287" s="21" t="n"/>
      <c r="DD287" s="27">
        <f>SUM(DB287:DC287)</f>
        <v/>
      </c>
      <c r="DE287" s="28" t="n"/>
      <c r="DF287" s="31" t="n"/>
      <c r="DG287" s="29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34">
        <f>SUM(O287,U287,AA287,AG287,AM287,AS287,AY287,BE287,BK287,BQ287,BW287,CC287,CI287,CO287,CU287,DA287,DG287)</f>
        <v/>
      </c>
      <c r="DI287" s="39">
        <f>RANK(DH287,DH$4:DH$503)</f>
        <v/>
      </c>
      <c r="DJ287" s="40" t="inlineStr">
        <is>
          <t>CHOOSE RATING</t>
        </is>
      </c>
      <c r="DK287" s="40" t="inlineStr">
        <is>
          <t>CHOOSE RATING</t>
        </is>
      </c>
      <c r="DL287" s="40" t="inlineStr">
        <is>
          <t>CHOOSE RATING</t>
        </is>
      </c>
      <c r="DM287" s="40" t="inlineStr">
        <is>
          <t>CHOOSE RATING</t>
        </is>
      </c>
      <c r="DN287" s="40" t="inlineStr">
        <is>
          <t>CHOOSE RATING</t>
        </is>
      </c>
      <c r="DO287" s="40" t="inlineStr">
        <is>
          <t>CHOOSE RATING</t>
        </is>
      </c>
      <c r="DP287" s="40" t="inlineStr">
        <is>
          <t>CHOOSE RATING</t>
        </is>
      </c>
      <c r="DQ287" s="40" t="inlineStr">
        <is>
          <t>CHOOSE RATING</t>
        </is>
      </c>
      <c r="DR287" s="43" t="inlineStr">
        <is>
          <t>2024/2025</t>
        </is>
      </c>
      <c r="DS287" s="45" t="inlineStr">
        <is>
          <t>THIRD</t>
        </is>
      </c>
      <c r="DT287" s="40" t="inlineStr">
        <is>
          <t>CHOOSE RATING</t>
        </is>
      </c>
      <c r="DU287" s="40" t="inlineStr">
        <is>
          <t>CHOOSE RATING</t>
        </is>
      </c>
      <c r="DV287" s="40" t="inlineStr">
        <is>
          <t>CHOOSE RATING</t>
        </is>
      </c>
      <c r="DW287" s="40" t="inlineStr">
        <is>
          <t>CHOOSE RATING</t>
        </is>
      </c>
      <c r="DX287" s="40" t="inlineStr">
        <is>
          <t>CHOOSE RATING</t>
        </is>
      </c>
      <c r="DY287" s="40" t="inlineStr">
        <is>
          <t>CHOOSE RATING</t>
        </is>
      </c>
      <c r="DZ287" s="53" t="inlineStr">
        <is>
          <t>CHOOSE RATING</t>
        </is>
      </c>
      <c r="EA287" s="54" t="inlineStr">
        <is>
          <t>Add the Tutor's Comment . . .</t>
        </is>
      </c>
      <c r="EB287" s="55" t="inlineStr">
        <is>
          <t>Choose Principals comment</t>
        </is>
      </c>
      <c r="EC287" s="56" t="n"/>
      <c r="ED287" s="57" t="inlineStr">
        <is>
          <t>Next Term Begins on Monday, 22nd September, 2025</t>
        </is>
      </c>
    </row>
    <row r="288" ht="30.6" customHeight="1" s="6">
      <c r="A288" s="18" t="n">
        <v>285</v>
      </c>
      <c r="B288" s="19" t="n"/>
      <c r="C288" s="20" t="n"/>
      <c r="D288" s="128" t="n"/>
      <c r="E288" s="21" t="n"/>
      <c r="F288" s="22" t="n"/>
      <c r="G288" s="22" t="n"/>
      <c r="H288" s="22" t="n"/>
      <c r="I288" s="26">
        <f>G288-H288</f>
        <v/>
      </c>
      <c r="J288" s="21" t="n"/>
      <c r="K288" s="21" t="n"/>
      <c r="L288" s="27">
        <f>SUM(J288:K288)</f>
        <v/>
      </c>
      <c r="M288" s="28" t="n"/>
      <c r="N288" s="28" t="n"/>
      <c r="O288" s="29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1" t="n"/>
      <c r="Q288" s="21" t="n"/>
      <c r="R288" s="27">
        <f>SUM(P288:Q288)</f>
        <v/>
      </c>
      <c r="S288" s="28" t="n"/>
      <c r="T288" s="28" t="n"/>
      <c r="U288" s="29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1" t="n"/>
      <c r="W288" s="21" t="n"/>
      <c r="X288" s="27">
        <f>SUM(V288:W288)</f>
        <v/>
      </c>
      <c r="Y288" s="28" t="n"/>
      <c r="Z288" s="28" t="n"/>
      <c r="AA288" s="29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1" t="n"/>
      <c r="AC288" s="21" t="n"/>
      <c r="AD288" s="27">
        <f>SUM(AB288:AC288)</f>
        <v/>
      </c>
      <c r="AE288" s="28" t="n"/>
      <c r="AF288" s="28" t="n"/>
      <c r="AG288" s="29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1" t="n"/>
      <c r="AI288" s="21" t="n"/>
      <c r="AJ288" s="27">
        <f>SUM(AH288:AI288)</f>
        <v/>
      </c>
      <c r="AK288" s="28" t="n"/>
      <c r="AL288" s="28" t="n"/>
      <c r="AM288" s="29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1" t="n"/>
      <c r="AO288" s="21" t="n"/>
      <c r="AP288" s="27">
        <f>SUM(AN288:AO288)</f>
        <v/>
      </c>
      <c r="AQ288" s="28" t="n"/>
      <c r="AR288" s="30" t="n"/>
      <c r="AS288" s="29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1" t="n"/>
      <c r="AU288" s="21" t="n"/>
      <c r="AV288" s="27">
        <f>SUM(AT288:AU288)</f>
        <v/>
      </c>
      <c r="AW288" s="28" t="n"/>
      <c r="AX288" s="30" t="n"/>
      <c r="AY288" s="29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1" t="n"/>
      <c r="BA288" s="21" t="n"/>
      <c r="BB288" s="27">
        <f>SUM(AZ288:BA288)</f>
        <v/>
      </c>
      <c r="BC288" s="28" t="n"/>
      <c r="BD288" s="28" t="n"/>
      <c r="BE288" s="29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1" t="n"/>
      <c r="BG288" s="21" t="n"/>
      <c r="BH288" s="27">
        <f>SUM(BF288:BG288)</f>
        <v/>
      </c>
      <c r="BI288" s="28" t="n"/>
      <c r="BJ288" s="28" t="n"/>
      <c r="BK288" s="29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1" t="n"/>
      <c r="BM288" s="21" t="n"/>
      <c r="BN288" s="27">
        <f>SUM(BL288:BM288)</f>
        <v/>
      </c>
      <c r="BO288" s="28" t="n"/>
      <c r="BP288" s="31" t="n"/>
      <c r="BQ288" s="29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1" t="n"/>
      <c r="BS288" s="21" t="n"/>
      <c r="BT288" s="27">
        <f>SUM(BR288:BS288)</f>
        <v/>
      </c>
      <c r="BU288" s="28" t="n"/>
      <c r="BV288" s="31" t="n"/>
      <c r="BW288" s="29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1" t="n"/>
      <c r="BY288" s="21" t="n"/>
      <c r="BZ288" s="27">
        <f>SUM(BX288:BY288)</f>
        <v/>
      </c>
      <c r="CA288" s="28" t="n"/>
      <c r="CB288" s="31" t="n"/>
      <c r="CC288" s="29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1" t="n"/>
      <c r="CE288" s="21" t="n"/>
      <c r="CF288" s="27">
        <f>SUM(CD288:CE288)</f>
        <v/>
      </c>
      <c r="CG288" s="28" t="n"/>
      <c r="CH288" s="31" t="n"/>
      <c r="CI288" s="29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1" t="n"/>
      <c r="CK288" s="21" t="n"/>
      <c r="CL288" s="27">
        <f>SUM(CJ288:CK288)</f>
        <v/>
      </c>
      <c r="CM288" s="28" t="n"/>
      <c r="CN288" s="31" t="n"/>
      <c r="CO288" s="29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1" t="n"/>
      <c r="CQ288" s="21" t="n"/>
      <c r="CR288" s="27">
        <f>SUM(CP288:CQ288)</f>
        <v/>
      </c>
      <c r="CS288" s="28" t="n"/>
      <c r="CT288" s="31" t="n"/>
      <c r="CU288" s="29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1" t="n"/>
      <c r="CW288" s="21" t="n"/>
      <c r="CX288" s="27">
        <f>SUM(CV288:CW288)</f>
        <v/>
      </c>
      <c r="CY288" s="28" t="n"/>
      <c r="CZ288" s="31" t="n"/>
      <c r="DA288" s="29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1" t="n"/>
      <c r="DC288" s="21" t="n"/>
      <c r="DD288" s="27">
        <f>SUM(DB288:DC288)</f>
        <v/>
      </c>
      <c r="DE288" s="28" t="n"/>
      <c r="DF288" s="31" t="n"/>
      <c r="DG288" s="29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34">
        <f>SUM(O288,U288,AA288,AG288,AM288,AS288,AY288,BE288,BK288,BQ288,BW288,CC288,CI288,CO288,CU288,DA288,DG288)</f>
        <v/>
      </c>
      <c r="DI288" s="39">
        <f>RANK(DH288,DH$4:DH$503)</f>
        <v/>
      </c>
      <c r="DJ288" s="40" t="inlineStr">
        <is>
          <t>CHOOSE RATING</t>
        </is>
      </c>
      <c r="DK288" s="40" t="inlineStr">
        <is>
          <t>CHOOSE RATING</t>
        </is>
      </c>
      <c r="DL288" s="40" t="inlineStr">
        <is>
          <t>CHOOSE RATING</t>
        </is>
      </c>
      <c r="DM288" s="40" t="inlineStr">
        <is>
          <t>CHOOSE RATING</t>
        </is>
      </c>
      <c r="DN288" s="40" t="inlineStr">
        <is>
          <t>CHOOSE RATING</t>
        </is>
      </c>
      <c r="DO288" s="40" t="inlineStr">
        <is>
          <t>CHOOSE RATING</t>
        </is>
      </c>
      <c r="DP288" s="40" t="inlineStr">
        <is>
          <t>CHOOSE RATING</t>
        </is>
      </c>
      <c r="DQ288" s="40" t="inlineStr">
        <is>
          <t>CHOOSE RATING</t>
        </is>
      </c>
      <c r="DR288" s="43" t="inlineStr">
        <is>
          <t>2024/2025</t>
        </is>
      </c>
      <c r="DS288" s="45" t="inlineStr">
        <is>
          <t>THIRD</t>
        </is>
      </c>
      <c r="DT288" s="40" t="inlineStr">
        <is>
          <t>CHOOSE RATING</t>
        </is>
      </c>
      <c r="DU288" s="40" t="inlineStr">
        <is>
          <t>CHOOSE RATING</t>
        </is>
      </c>
      <c r="DV288" s="40" t="inlineStr">
        <is>
          <t>CHOOSE RATING</t>
        </is>
      </c>
      <c r="DW288" s="40" t="inlineStr">
        <is>
          <t>CHOOSE RATING</t>
        </is>
      </c>
      <c r="DX288" s="40" t="inlineStr">
        <is>
          <t>CHOOSE RATING</t>
        </is>
      </c>
      <c r="DY288" s="40" t="inlineStr">
        <is>
          <t>CHOOSE RATING</t>
        </is>
      </c>
      <c r="DZ288" s="53" t="inlineStr">
        <is>
          <t>CHOOSE RATING</t>
        </is>
      </c>
      <c r="EA288" s="54" t="inlineStr">
        <is>
          <t>Add the Tutor's Comment . . .</t>
        </is>
      </c>
      <c r="EB288" s="55" t="inlineStr">
        <is>
          <t>Choose Principals comment</t>
        </is>
      </c>
      <c r="EC288" s="56" t="n"/>
      <c r="ED288" s="57" t="inlineStr">
        <is>
          <t>Next Term Begins on Monday, 22nd September, 2025</t>
        </is>
      </c>
    </row>
    <row r="289" ht="30.6" customHeight="1" s="6">
      <c r="A289" s="18" t="n">
        <v>286</v>
      </c>
      <c r="B289" s="19" t="n"/>
      <c r="C289" s="20" t="n"/>
      <c r="D289" s="128" t="n"/>
      <c r="E289" s="21" t="n"/>
      <c r="F289" s="22" t="n"/>
      <c r="G289" s="22" t="n"/>
      <c r="H289" s="22" t="n"/>
      <c r="I289" s="26">
        <f>G289-H289</f>
        <v/>
      </c>
      <c r="J289" s="21" t="n"/>
      <c r="K289" s="21" t="n"/>
      <c r="L289" s="27">
        <f>SUM(J289:K289)</f>
        <v/>
      </c>
      <c r="M289" s="28" t="n"/>
      <c r="N289" s="28" t="n"/>
      <c r="O289" s="29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1" t="n"/>
      <c r="Q289" s="21" t="n"/>
      <c r="R289" s="27">
        <f>SUM(P289:Q289)</f>
        <v/>
      </c>
      <c r="S289" s="28" t="n"/>
      <c r="T289" s="28" t="n"/>
      <c r="U289" s="29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1" t="n"/>
      <c r="W289" s="21" t="n"/>
      <c r="X289" s="27">
        <f>SUM(V289:W289)</f>
        <v/>
      </c>
      <c r="Y289" s="28" t="n"/>
      <c r="Z289" s="28" t="n"/>
      <c r="AA289" s="29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1" t="n"/>
      <c r="AC289" s="21" t="n"/>
      <c r="AD289" s="27">
        <f>SUM(AB289:AC289)</f>
        <v/>
      </c>
      <c r="AE289" s="28" t="n"/>
      <c r="AF289" s="28" t="n"/>
      <c r="AG289" s="29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1" t="n"/>
      <c r="AI289" s="21" t="n"/>
      <c r="AJ289" s="27">
        <f>SUM(AH289:AI289)</f>
        <v/>
      </c>
      <c r="AK289" s="28" t="n"/>
      <c r="AL289" s="28" t="n"/>
      <c r="AM289" s="29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1" t="n"/>
      <c r="AO289" s="21" t="n"/>
      <c r="AP289" s="27">
        <f>SUM(AN289:AO289)</f>
        <v/>
      </c>
      <c r="AQ289" s="28" t="n"/>
      <c r="AR289" s="30" t="n"/>
      <c r="AS289" s="29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1" t="n"/>
      <c r="AU289" s="21" t="n"/>
      <c r="AV289" s="27">
        <f>SUM(AT289:AU289)</f>
        <v/>
      </c>
      <c r="AW289" s="28" t="n"/>
      <c r="AX289" s="30" t="n"/>
      <c r="AY289" s="29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1" t="n"/>
      <c r="BA289" s="21" t="n"/>
      <c r="BB289" s="27">
        <f>SUM(AZ289:BA289)</f>
        <v/>
      </c>
      <c r="BC289" s="28" t="n"/>
      <c r="BD289" s="28" t="n"/>
      <c r="BE289" s="29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1" t="n"/>
      <c r="BG289" s="21" t="n"/>
      <c r="BH289" s="27">
        <f>SUM(BF289:BG289)</f>
        <v/>
      </c>
      <c r="BI289" s="28" t="n"/>
      <c r="BJ289" s="28" t="n"/>
      <c r="BK289" s="29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1" t="n"/>
      <c r="BM289" s="21" t="n"/>
      <c r="BN289" s="27">
        <f>SUM(BL289:BM289)</f>
        <v/>
      </c>
      <c r="BO289" s="28" t="n"/>
      <c r="BP289" s="31" t="n"/>
      <c r="BQ289" s="29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1" t="n"/>
      <c r="BS289" s="21" t="n"/>
      <c r="BT289" s="27">
        <f>SUM(BR289:BS289)</f>
        <v/>
      </c>
      <c r="BU289" s="28" t="n"/>
      <c r="BV289" s="31" t="n"/>
      <c r="BW289" s="29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1" t="n"/>
      <c r="BY289" s="21" t="n"/>
      <c r="BZ289" s="27">
        <f>SUM(BX289:BY289)</f>
        <v/>
      </c>
      <c r="CA289" s="28" t="n"/>
      <c r="CB289" s="31" t="n"/>
      <c r="CC289" s="29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1" t="n"/>
      <c r="CE289" s="21" t="n"/>
      <c r="CF289" s="27">
        <f>SUM(CD289:CE289)</f>
        <v/>
      </c>
      <c r="CG289" s="28" t="n"/>
      <c r="CH289" s="31" t="n"/>
      <c r="CI289" s="29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1" t="n"/>
      <c r="CK289" s="21" t="n"/>
      <c r="CL289" s="27">
        <f>SUM(CJ289:CK289)</f>
        <v/>
      </c>
      <c r="CM289" s="28" t="n"/>
      <c r="CN289" s="31" t="n"/>
      <c r="CO289" s="29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1" t="n"/>
      <c r="CQ289" s="21" t="n"/>
      <c r="CR289" s="27">
        <f>SUM(CP289:CQ289)</f>
        <v/>
      </c>
      <c r="CS289" s="28" t="n"/>
      <c r="CT289" s="31" t="n"/>
      <c r="CU289" s="29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1" t="n"/>
      <c r="CW289" s="21" t="n"/>
      <c r="CX289" s="27">
        <f>SUM(CV289:CW289)</f>
        <v/>
      </c>
      <c r="CY289" s="28" t="n"/>
      <c r="CZ289" s="31" t="n"/>
      <c r="DA289" s="29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1" t="n"/>
      <c r="DC289" s="21" t="n"/>
      <c r="DD289" s="27">
        <f>SUM(DB289:DC289)</f>
        <v/>
      </c>
      <c r="DE289" s="28" t="n"/>
      <c r="DF289" s="31" t="n"/>
      <c r="DG289" s="29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34">
        <f>SUM(O289,U289,AA289,AG289,AM289,AS289,AY289,BE289,BK289,BQ289,BW289,CC289,CI289,CO289,CU289,DA289,DG289)</f>
        <v/>
      </c>
      <c r="DI289" s="39">
        <f>RANK(DH289,DH$4:DH$503)</f>
        <v/>
      </c>
      <c r="DJ289" s="40" t="inlineStr">
        <is>
          <t>CHOOSE RATING</t>
        </is>
      </c>
      <c r="DK289" s="40" t="inlineStr">
        <is>
          <t>CHOOSE RATING</t>
        </is>
      </c>
      <c r="DL289" s="40" t="inlineStr">
        <is>
          <t>CHOOSE RATING</t>
        </is>
      </c>
      <c r="DM289" s="40" t="inlineStr">
        <is>
          <t>CHOOSE RATING</t>
        </is>
      </c>
      <c r="DN289" s="40" t="inlineStr">
        <is>
          <t>CHOOSE RATING</t>
        </is>
      </c>
      <c r="DO289" s="40" t="inlineStr">
        <is>
          <t>CHOOSE RATING</t>
        </is>
      </c>
      <c r="DP289" s="40" t="inlineStr">
        <is>
          <t>CHOOSE RATING</t>
        </is>
      </c>
      <c r="DQ289" s="40" t="inlineStr">
        <is>
          <t>CHOOSE RATING</t>
        </is>
      </c>
      <c r="DR289" s="43" t="inlineStr">
        <is>
          <t>2024/2025</t>
        </is>
      </c>
      <c r="DS289" s="45" t="inlineStr">
        <is>
          <t>THIRD</t>
        </is>
      </c>
      <c r="DT289" s="40" t="inlineStr">
        <is>
          <t>CHOOSE RATING</t>
        </is>
      </c>
      <c r="DU289" s="40" t="inlineStr">
        <is>
          <t>CHOOSE RATING</t>
        </is>
      </c>
      <c r="DV289" s="40" t="inlineStr">
        <is>
          <t>CHOOSE RATING</t>
        </is>
      </c>
      <c r="DW289" s="40" t="inlineStr">
        <is>
          <t>CHOOSE RATING</t>
        </is>
      </c>
      <c r="DX289" s="40" t="inlineStr">
        <is>
          <t>CHOOSE RATING</t>
        </is>
      </c>
      <c r="DY289" s="40" t="inlineStr">
        <is>
          <t>CHOOSE RATING</t>
        </is>
      </c>
      <c r="DZ289" s="53" t="inlineStr">
        <is>
          <t>CHOOSE RATING</t>
        </is>
      </c>
      <c r="EA289" s="54" t="inlineStr">
        <is>
          <t>Add the Tutor's Comment . . .</t>
        </is>
      </c>
      <c r="EB289" s="55" t="inlineStr">
        <is>
          <t>Choose Principals comment</t>
        </is>
      </c>
      <c r="EC289" s="56" t="n"/>
      <c r="ED289" s="57" t="inlineStr">
        <is>
          <t>Next Term Begins on Monday, 22nd September, 2025</t>
        </is>
      </c>
    </row>
    <row r="290" ht="30.6" customHeight="1" s="6">
      <c r="A290" s="18" t="n">
        <v>287</v>
      </c>
      <c r="B290" s="19" t="n"/>
      <c r="C290" s="20" t="n"/>
      <c r="D290" s="128" t="n"/>
      <c r="E290" s="21" t="n"/>
      <c r="F290" s="22" t="n"/>
      <c r="G290" s="22" t="n"/>
      <c r="H290" s="22" t="n"/>
      <c r="I290" s="26">
        <f>G290-H290</f>
        <v/>
      </c>
      <c r="J290" s="21" t="n"/>
      <c r="K290" s="21" t="n"/>
      <c r="L290" s="27">
        <f>SUM(J290:K290)</f>
        <v/>
      </c>
      <c r="M290" s="28" t="n"/>
      <c r="N290" s="28" t="n"/>
      <c r="O290" s="29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1" t="n"/>
      <c r="Q290" s="21" t="n"/>
      <c r="R290" s="27">
        <f>SUM(P290:Q290)</f>
        <v/>
      </c>
      <c r="S290" s="28" t="n"/>
      <c r="T290" s="28" t="n"/>
      <c r="U290" s="29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1" t="n"/>
      <c r="W290" s="21" t="n"/>
      <c r="X290" s="27">
        <f>SUM(V290:W290)</f>
        <v/>
      </c>
      <c r="Y290" s="28" t="n"/>
      <c r="Z290" s="28" t="n"/>
      <c r="AA290" s="29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1" t="n"/>
      <c r="AC290" s="21" t="n"/>
      <c r="AD290" s="27">
        <f>SUM(AB290:AC290)</f>
        <v/>
      </c>
      <c r="AE290" s="28" t="n"/>
      <c r="AF290" s="28" t="n"/>
      <c r="AG290" s="29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1" t="n"/>
      <c r="AI290" s="21" t="n"/>
      <c r="AJ290" s="27">
        <f>SUM(AH290:AI290)</f>
        <v/>
      </c>
      <c r="AK290" s="28" t="n"/>
      <c r="AL290" s="28" t="n"/>
      <c r="AM290" s="29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1" t="n"/>
      <c r="AO290" s="21" t="n"/>
      <c r="AP290" s="27">
        <f>SUM(AN290:AO290)</f>
        <v/>
      </c>
      <c r="AQ290" s="28" t="n"/>
      <c r="AR290" s="30" t="n"/>
      <c r="AS290" s="29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1" t="n"/>
      <c r="AU290" s="21" t="n"/>
      <c r="AV290" s="27">
        <f>SUM(AT290:AU290)</f>
        <v/>
      </c>
      <c r="AW290" s="28" t="n"/>
      <c r="AX290" s="30" t="n"/>
      <c r="AY290" s="29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1" t="n"/>
      <c r="BA290" s="21" t="n"/>
      <c r="BB290" s="27">
        <f>SUM(AZ290:BA290)</f>
        <v/>
      </c>
      <c r="BC290" s="28" t="n"/>
      <c r="BD290" s="28" t="n"/>
      <c r="BE290" s="29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1" t="n"/>
      <c r="BG290" s="21" t="n"/>
      <c r="BH290" s="27">
        <f>SUM(BF290:BG290)</f>
        <v/>
      </c>
      <c r="BI290" s="28" t="n"/>
      <c r="BJ290" s="28" t="n"/>
      <c r="BK290" s="29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1" t="n"/>
      <c r="BM290" s="21" t="n"/>
      <c r="BN290" s="27">
        <f>SUM(BL290:BM290)</f>
        <v/>
      </c>
      <c r="BO290" s="28" t="n"/>
      <c r="BP290" s="31" t="n"/>
      <c r="BQ290" s="29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1" t="n"/>
      <c r="BS290" s="21" t="n"/>
      <c r="BT290" s="27">
        <f>SUM(BR290:BS290)</f>
        <v/>
      </c>
      <c r="BU290" s="28" t="n"/>
      <c r="BV290" s="31" t="n"/>
      <c r="BW290" s="29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1" t="n"/>
      <c r="BY290" s="21" t="n"/>
      <c r="BZ290" s="27">
        <f>SUM(BX290:BY290)</f>
        <v/>
      </c>
      <c r="CA290" s="28" t="n"/>
      <c r="CB290" s="31" t="n"/>
      <c r="CC290" s="29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1" t="n"/>
      <c r="CE290" s="21" t="n"/>
      <c r="CF290" s="27">
        <f>SUM(CD290:CE290)</f>
        <v/>
      </c>
      <c r="CG290" s="28" t="n"/>
      <c r="CH290" s="31" t="n"/>
      <c r="CI290" s="29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1" t="n"/>
      <c r="CK290" s="21" t="n"/>
      <c r="CL290" s="27">
        <f>SUM(CJ290:CK290)</f>
        <v/>
      </c>
      <c r="CM290" s="28" t="n"/>
      <c r="CN290" s="31" t="n"/>
      <c r="CO290" s="29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1" t="n"/>
      <c r="CQ290" s="21" t="n"/>
      <c r="CR290" s="27">
        <f>SUM(CP290:CQ290)</f>
        <v/>
      </c>
      <c r="CS290" s="28" t="n"/>
      <c r="CT290" s="31" t="n"/>
      <c r="CU290" s="29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1" t="n"/>
      <c r="CW290" s="21" t="n"/>
      <c r="CX290" s="27">
        <f>SUM(CV290:CW290)</f>
        <v/>
      </c>
      <c r="CY290" s="28" t="n"/>
      <c r="CZ290" s="31" t="n"/>
      <c r="DA290" s="29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1" t="n"/>
      <c r="DC290" s="21" t="n"/>
      <c r="DD290" s="27">
        <f>SUM(DB290:DC290)</f>
        <v/>
      </c>
      <c r="DE290" s="28" t="n"/>
      <c r="DF290" s="31" t="n"/>
      <c r="DG290" s="29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34">
        <f>SUM(O290,U290,AA290,AG290,AM290,AS290,AY290,BE290,BK290,BQ290,BW290,CC290,CI290,CO290,CU290,DA290,DG290)</f>
        <v/>
      </c>
      <c r="DI290" s="39">
        <f>RANK(DH290,DH$4:DH$503)</f>
        <v/>
      </c>
      <c r="DJ290" s="40" t="inlineStr">
        <is>
          <t>CHOOSE RATING</t>
        </is>
      </c>
      <c r="DK290" s="40" t="inlineStr">
        <is>
          <t>CHOOSE RATING</t>
        </is>
      </c>
      <c r="DL290" s="40" t="inlineStr">
        <is>
          <t>CHOOSE RATING</t>
        </is>
      </c>
      <c r="DM290" s="40" t="inlineStr">
        <is>
          <t>CHOOSE RATING</t>
        </is>
      </c>
      <c r="DN290" s="40" t="inlineStr">
        <is>
          <t>CHOOSE RATING</t>
        </is>
      </c>
      <c r="DO290" s="40" t="inlineStr">
        <is>
          <t>CHOOSE RATING</t>
        </is>
      </c>
      <c r="DP290" s="40" t="inlineStr">
        <is>
          <t>CHOOSE RATING</t>
        </is>
      </c>
      <c r="DQ290" s="40" t="inlineStr">
        <is>
          <t>CHOOSE RATING</t>
        </is>
      </c>
      <c r="DR290" s="43" t="inlineStr">
        <is>
          <t>2024/2025</t>
        </is>
      </c>
      <c r="DS290" s="45" t="inlineStr">
        <is>
          <t>THIRD</t>
        </is>
      </c>
      <c r="DT290" s="40" t="inlineStr">
        <is>
          <t>CHOOSE RATING</t>
        </is>
      </c>
      <c r="DU290" s="40" t="inlineStr">
        <is>
          <t>CHOOSE RATING</t>
        </is>
      </c>
      <c r="DV290" s="40" t="inlineStr">
        <is>
          <t>CHOOSE RATING</t>
        </is>
      </c>
      <c r="DW290" s="40" t="inlineStr">
        <is>
          <t>CHOOSE RATING</t>
        </is>
      </c>
      <c r="DX290" s="40" t="inlineStr">
        <is>
          <t>CHOOSE RATING</t>
        </is>
      </c>
      <c r="DY290" s="40" t="inlineStr">
        <is>
          <t>CHOOSE RATING</t>
        </is>
      </c>
      <c r="DZ290" s="53" t="inlineStr">
        <is>
          <t>CHOOSE RATING</t>
        </is>
      </c>
      <c r="EA290" s="54" t="inlineStr">
        <is>
          <t>Add the Tutor's Comment . . .</t>
        </is>
      </c>
      <c r="EB290" s="55" t="inlineStr">
        <is>
          <t>Choose Principals comment</t>
        </is>
      </c>
      <c r="EC290" s="56" t="n"/>
      <c r="ED290" s="57" t="inlineStr">
        <is>
          <t>Next Term Begins on Monday, 22nd September, 2025</t>
        </is>
      </c>
    </row>
    <row r="291" ht="30.6" customHeight="1" s="6">
      <c r="A291" s="18" t="n">
        <v>288</v>
      </c>
      <c r="B291" s="19" t="n"/>
      <c r="C291" s="20" t="n"/>
      <c r="D291" s="128" t="n"/>
      <c r="E291" s="21" t="n"/>
      <c r="F291" s="22" t="n"/>
      <c r="G291" s="22" t="n"/>
      <c r="H291" s="22" t="n"/>
      <c r="I291" s="26">
        <f>G291-H291</f>
        <v/>
      </c>
      <c r="J291" s="21" t="n"/>
      <c r="K291" s="21" t="n"/>
      <c r="L291" s="27">
        <f>SUM(J291:K291)</f>
        <v/>
      </c>
      <c r="M291" s="28" t="n"/>
      <c r="N291" s="28" t="n"/>
      <c r="O291" s="29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1" t="n"/>
      <c r="Q291" s="21" t="n"/>
      <c r="R291" s="27">
        <f>SUM(P291:Q291)</f>
        <v/>
      </c>
      <c r="S291" s="28" t="n"/>
      <c r="T291" s="28" t="n"/>
      <c r="U291" s="29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1" t="n"/>
      <c r="W291" s="21" t="n"/>
      <c r="X291" s="27">
        <f>SUM(V291:W291)</f>
        <v/>
      </c>
      <c r="Y291" s="28" t="n"/>
      <c r="Z291" s="28" t="n"/>
      <c r="AA291" s="29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1" t="n"/>
      <c r="AC291" s="21" t="n"/>
      <c r="AD291" s="27">
        <f>SUM(AB291:AC291)</f>
        <v/>
      </c>
      <c r="AE291" s="28" t="n"/>
      <c r="AF291" s="28" t="n"/>
      <c r="AG291" s="29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1" t="n"/>
      <c r="AI291" s="21" t="n"/>
      <c r="AJ291" s="27">
        <f>SUM(AH291:AI291)</f>
        <v/>
      </c>
      <c r="AK291" s="28" t="n"/>
      <c r="AL291" s="28" t="n"/>
      <c r="AM291" s="29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1" t="n"/>
      <c r="AO291" s="21" t="n"/>
      <c r="AP291" s="27">
        <f>SUM(AN291:AO291)</f>
        <v/>
      </c>
      <c r="AQ291" s="28" t="n"/>
      <c r="AR291" s="30" t="n"/>
      <c r="AS291" s="29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1" t="n"/>
      <c r="AU291" s="21" t="n"/>
      <c r="AV291" s="27">
        <f>SUM(AT291:AU291)</f>
        <v/>
      </c>
      <c r="AW291" s="28" t="n"/>
      <c r="AX291" s="30" t="n"/>
      <c r="AY291" s="29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1" t="n"/>
      <c r="BA291" s="21" t="n"/>
      <c r="BB291" s="27">
        <f>SUM(AZ291:BA291)</f>
        <v/>
      </c>
      <c r="BC291" s="28" t="n"/>
      <c r="BD291" s="28" t="n"/>
      <c r="BE291" s="29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1" t="n"/>
      <c r="BG291" s="21" t="n"/>
      <c r="BH291" s="27">
        <f>SUM(BF291:BG291)</f>
        <v/>
      </c>
      <c r="BI291" s="28" t="n"/>
      <c r="BJ291" s="28" t="n"/>
      <c r="BK291" s="29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1" t="n"/>
      <c r="BM291" s="21" t="n"/>
      <c r="BN291" s="27">
        <f>SUM(BL291:BM291)</f>
        <v/>
      </c>
      <c r="BO291" s="28" t="n"/>
      <c r="BP291" s="31" t="n"/>
      <c r="BQ291" s="29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1" t="n"/>
      <c r="BS291" s="21" t="n"/>
      <c r="BT291" s="27">
        <f>SUM(BR291:BS291)</f>
        <v/>
      </c>
      <c r="BU291" s="28" t="n"/>
      <c r="BV291" s="31" t="n"/>
      <c r="BW291" s="29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1" t="n"/>
      <c r="BY291" s="21" t="n"/>
      <c r="BZ291" s="27">
        <f>SUM(BX291:BY291)</f>
        <v/>
      </c>
      <c r="CA291" s="28" t="n"/>
      <c r="CB291" s="31" t="n"/>
      <c r="CC291" s="29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1" t="n"/>
      <c r="CE291" s="21" t="n"/>
      <c r="CF291" s="27">
        <f>SUM(CD291:CE291)</f>
        <v/>
      </c>
      <c r="CG291" s="28" t="n"/>
      <c r="CH291" s="31" t="n"/>
      <c r="CI291" s="29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1" t="n"/>
      <c r="CK291" s="21" t="n"/>
      <c r="CL291" s="27">
        <f>SUM(CJ291:CK291)</f>
        <v/>
      </c>
      <c r="CM291" s="28" t="n"/>
      <c r="CN291" s="31" t="n"/>
      <c r="CO291" s="29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1" t="n"/>
      <c r="CQ291" s="21" t="n"/>
      <c r="CR291" s="27">
        <f>SUM(CP291:CQ291)</f>
        <v/>
      </c>
      <c r="CS291" s="28" t="n"/>
      <c r="CT291" s="31" t="n"/>
      <c r="CU291" s="29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1" t="n"/>
      <c r="CW291" s="21" t="n"/>
      <c r="CX291" s="27">
        <f>SUM(CV291:CW291)</f>
        <v/>
      </c>
      <c r="CY291" s="28" t="n"/>
      <c r="CZ291" s="31" t="n"/>
      <c r="DA291" s="29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1" t="n"/>
      <c r="DC291" s="21" t="n"/>
      <c r="DD291" s="27">
        <f>SUM(DB291:DC291)</f>
        <v/>
      </c>
      <c r="DE291" s="28" t="n"/>
      <c r="DF291" s="31" t="n"/>
      <c r="DG291" s="29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34">
        <f>SUM(O291,U291,AA291,AG291,AM291,AS291,AY291,BE291,BK291,BQ291,BW291,CC291,CI291,CO291,CU291,DA291,DG291)</f>
        <v/>
      </c>
      <c r="DI291" s="39">
        <f>RANK(DH291,DH$4:DH$503)</f>
        <v/>
      </c>
      <c r="DJ291" s="40" t="inlineStr">
        <is>
          <t>CHOOSE RATING</t>
        </is>
      </c>
      <c r="DK291" s="40" t="inlineStr">
        <is>
          <t>CHOOSE RATING</t>
        </is>
      </c>
      <c r="DL291" s="40" t="inlineStr">
        <is>
          <t>CHOOSE RATING</t>
        </is>
      </c>
      <c r="DM291" s="40" t="inlineStr">
        <is>
          <t>CHOOSE RATING</t>
        </is>
      </c>
      <c r="DN291" s="40" t="inlineStr">
        <is>
          <t>CHOOSE RATING</t>
        </is>
      </c>
      <c r="DO291" s="40" t="inlineStr">
        <is>
          <t>CHOOSE RATING</t>
        </is>
      </c>
      <c r="DP291" s="40" t="inlineStr">
        <is>
          <t>CHOOSE RATING</t>
        </is>
      </c>
      <c r="DQ291" s="40" t="inlineStr">
        <is>
          <t>CHOOSE RATING</t>
        </is>
      </c>
      <c r="DR291" s="43" t="inlineStr">
        <is>
          <t>2024/2025</t>
        </is>
      </c>
      <c r="DS291" s="45" t="inlineStr">
        <is>
          <t>THIRD</t>
        </is>
      </c>
      <c r="DT291" s="40" t="inlineStr">
        <is>
          <t>CHOOSE RATING</t>
        </is>
      </c>
      <c r="DU291" s="40" t="inlineStr">
        <is>
          <t>CHOOSE RATING</t>
        </is>
      </c>
      <c r="DV291" s="40" t="inlineStr">
        <is>
          <t>CHOOSE RATING</t>
        </is>
      </c>
      <c r="DW291" s="40" t="inlineStr">
        <is>
          <t>CHOOSE RATING</t>
        </is>
      </c>
      <c r="DX291" s="40" t="inlineStr">
        <is>
          <t>CHOOSE RATING</t>
        </is>
      </c>
      <c r="DY291" s="40" t="inlineStr">
        <is>
          <t>CHOOSE RATING</t>
        </is>
      </c>
      <c r="DZ291" s="53" t="inlineStr">
        <is>
          <t>CHOOSE RATING</t>
        </is>
      </c>
      <c r="EA291" s="54" t="inlineStr">
        <is>
          <t>Add the Tutor's Comment . . .</t>
        </is>
      </c>
      <c r="EB291" s="55" t="inlineStr">
        <is>
          <t>Choose Principals comment</t>
        </is>
      </c>
      <c r="EC291" s="56" t="n"/>
      <c r="ED291" s="57" t="inlineStr">
        <is>
          <t>Next Term Begins on Monday, 22nd September, 2025</t>
        </is>
      </c>
    </row>
    <row r="292" ht="30.6" customHeight="1" s="6">
      <c r="A292" s="18" t="n">
        <v>289</v>
      </c>
      <c r="B292" s="19" t="n"/>
      <c r="C292" s="20" t="n"/>
      <c r="D292" s="128" t="n"/>
      <c r="E292" s="21" t="n"/>
      <c r="F292" s="22" t="n"/>
      <c r="G292" s="22" t="n"/>
      <c r="H292" s="22" t="n"/>
      <c r="I292" s="26">
        <f>G292-H292</f>
        <v/>
      </c>
      <c r="J292" s="21" t="n"/>
      <c r="K292" s="21" t="n"/>
      <c r="L292" s="27">
        <f>SUM(J292:K292)</f>
        <v/>
      </c>
      <c r="M292" s="28" t="n"/>
      <c r="N292" s="28" t="n"/>
      <c r="O292" s="29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1" t="n"/>
      <c r="Q292" s="21" t="n"/>
      <c r="R292" s="27">
        <f>SUM(P292:Q292)</f>
        <v/>
      </c>
      <c r="S292" s="28" t="n"/>
      <c r="T292" s="28" t="n"/>
      <c r="U292" s="29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1" t="n"/>
      <c r="W292" s="21" t="n"/>
      <c r="X292" s="27">
        <f>SUM(V292:W292)</f>
        <v/>
      </c>
      <c r="Y292" s="28" t="n"/>
      <c r="Z292" s="28" t="n"/>
      <c r="AA292" s="29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1" t="n"/>
      <c r="AC292" s="21" t="n"/>
      <c r="AD292" s="27">
        <f>SUM(AB292:AC292)</f>
        <v/>
      </c>
      <c r="AE292" s="28" t="n"/>
      <c r="AF292" s="28" t="n"/>
      <c r="AG292" s="29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1" t="n"/>
      <c r="AI292" s="21" t="n"/>
      <c r="AJ292" s="27">
        <f>SUM(AH292:AI292)</f>
        <v/>
      </c>
      <c r="AK292" s="28" t="n"/>
      <c r="AL292" s="28" t="n"/>
      <c r="AM292" s="29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1" t="n"/>
      <c r="AO292" s="21" t="n"/>
      <c r="AP292" s="27">
        <f>SUM(AN292:AO292)</f>
        <v/>
      </c>
      <c r="AQ292" s="28" t="n"/>
      <c r="AR292" s="30" t="n"/>
      <c r="AS292" s="29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1" t="n"/>
      <c r="AU292" s="21" t="n"/>
      <c r="AV292" s="27">
        <f>SUM(AT292:AU292)</f>
        <v/>
      </c>
      <c r="AW292" s="28" t="n"/>
      <c r="AX292" s="30" t="n"/>
      <c r="AY292" s="29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1" t="n"/>
      <c r="BA292" s="21" t="n"/>
      <c r="BB292" s="27">
        <f>SUM(AZ292:BA292)</f>
        <v/>
      </c>
      <c r="BC292" s="28" t="n"/>
      <c r="BD292" s="28" t="n"/>
      <c r="BE292" s="29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1" t="n"/>
      <c r="BG292" s="21" t="n"/>
      <c r="BH292" s="27">
        <f>SUM(BF292:BG292)</f>
        <v/>
      </c>
      <c r="BI292" s="28" t="n"/>
      <c r="BJ292" s="28" t="n"/>
      <c r="BK292" s="29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1" t="n"/>
      <c r="BM292" s="21" t="n"/>
      <c r="BN292" s="27">
        <f>SUM(BL292:BM292)</f>
        <v/>
      </c>
      <c r="BO292" s="28" t="n"/>
      <c r="BP292" s="31" t="n"/>
      <c r="BQ292" s="29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1" t="n"/>
      <c r="BS292" s="21" t="n"/>
      <c r="BT292" s="27">
        <f>SUM(BR292:BS292)</f>
        <v/>
      </c>
      <c r="BU292" s="28" t="n"/>
      <c r="BV292" s="31" t="n"/>
      <c r="BW292" s="29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1" t="n"/>
      <c r="BY292" s="21" t="n"/>
      <c r="BZ292" s="27">
        <f>SUM(BX292:BY292)</f>
        <v/>
      </c>
      <c r="CA292" s="28" t="n"/>
      <c r="CB292" s="31" t="n"/>
      <c r="CC292" s="29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1" t="n"/>
      <c r="CE292" s="21" t="n"/>
      <c r="CF292" s="27">
        <f>SUM(CD292:CE292)</f>
        <v/>
      </c>
      <c r="CG292" s="28" t="n"/>
      <c r="CH292" s="31" t="n"/>
      <c r="CI292" s="29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1" t="n"/>
      <c r="CK292" s="21" t="n"/>
      <c r="CL292" s="27">
        <f>SUM(CJ292:CK292)</f>
        <v/>
      </c>
      <c r="CM292" s="28" t="n"/>
      <c r="CN292" s="31" t="n"/>
      <c r="CO292" s="29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1" t="n"/>
      <c r="CQ292" s="21" t="n"/>
      <c r="CR292" s="27">
        <f>SUM(CP292:CQ292)</f>
        <v/>
      </c>
      <c r="CS292" s="28" t="n"/>
      <c r="CT292" s="31" t="n"/>
      <c r="CU292" s="29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1" t="n"/>
      <c r="CW292" s="21" t="n"/>
      <c r="CX292" s="27">
        <f>SUM(CV292:CW292)</f>
        <v/>
      </c>
      <c r="CY292" s="28" t="n"/>
      <c r="CZ292" s="31" t="n"/>
      <c r="DA292" s="29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1" t="n"/>
      <c r="DC292" s="21" t="n"/>
      <c r="DD292" s="27">
        <f>SUM(DB292:DC292)</f>
        <v/>
      </c>
      <c r="DE292" s="28" t="n"/>
      <c r="DF292" s="31" t="n"/>
      <c r="DG292" s="29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34">
        <f>SUM(O292,U292,AA292,AG292,AM292,AS292,AY292,BE292,BK292,BQ292,BW292,CC292,CI292,CO292,CU292,DA292,DG292)</f>
        <v/>
      </c>
      <c r="DI292" s="39">
        <f>RANK(DH292,DH$4:DH$503)</f>
        <v/>
      </c>
      <c r="DJ292" s="40" t="inlineStr">
        <is>
          <t>CHOOSE RATING</t>
        </is>
      </c>
      <c r="DK292" s="40" t="inlineStr">
        <is>
          <t>CHOOSE RATING</t>
        </is>
      </c>
      <c r="DL292" s="40" t="inlineStr">
        <is>
          <t>CHOOSE RATING</t>
        </is>
      </c>
      <c r="DM292" s="40" t="inlineStr">
        <is>
          <t>CHOOSE RATING</t>
        </is>
      </c>
      <c r="DN292" s="40" t="inlineStr">
        <is>
          <t>CHOOSE RATING</t>
        </is>
      </c>
      <c r="DO292" s="40" t="inlineStr">
        <is>
          <t>CHOOSE RATING</t>
        </is>
      </c>
      <c r="DP292" s="40" t="inlineStr">
        <is>
          <t>CHOOSE RATING</t>
        </is>
      </c>
      <c r="DQ292" s="40" t="inlineStr">
        <is>
          <t>CHOOSE RATING</t>
        </is>
      </c>
      <c r="DR292" s="43" t="inlineStr">
        <is>
          <t>2024/2025</t>
        </is>
      </c>
      <c r="DS292" s="45" t="inlineStr">
        <is>
          <t>THIRD</t>
        </is>
      </c>
      <c r="DT292" s="40" t="inlineStr">
        <is>
          <t>CHOOSE RATING</t>
        </is>
      </c>
      <c r="DU292" s="40" t="inlineStr">
        <is>
          <t>CHOOSE RATING</t>
        </is>
      </c>
      <c r="DV292" s="40" t="inlineStr">
        <is>
          <t>CHOOSE RATING</t>
        </is>
      </c>
      <c r="DW292" s="40" t="inlineStr">
        <is>
          <t>CHOOSE RATING</t>
        </is>
      </c>
      <c r="DX292" s="40" t="inlineStr">
        <is>
          <t>CHOOSE RATING</t>
        </is>
      </c>
      <c r="DY292" s="40" t="inlineStr">
        <is>
          <t>CHOOSE RATING</t>
        </is>
      </c>
      <c r="DZ292" s="53" t="inlineStr">
        <is>
          <t>CHOOSE RATING</t>
        </is>
      </c>
      <c r="EA292" s="54" t="inlineStr">
        <is>
          <t>Add the Tutor's Comment . . .</t>
        </is>
      </c>
      <c r="EB292" s="55" t="inlineStr">
        <is>
          <t>Choose Principals comment</t>
        </is>
      </c>
      <c r="EC292" s="56" t="n"/>
      <c r="ED292" s="57" t="inlineStr">
        <is>
          <t>Next Term Begins on Monday, 22nd September, 2025</t>
        </is>
      </c>
    </row>
    <row r="293" ht="30.6" customHeight="1" s="6">
      <c r="A293" s="18" t="n">
        <v>290</v>
      </c>
      <c r="B293" s="19" t="n"/>
      <c r="C293" s="20" t="n"/>
      <c r="D293" s="128" t="n"/>
      <c r="E293" s="21" t="n"/>
      <c r="F293" s="22" t="n"/>
      <c r="G293" s="22" t="n"/>
      <c r="H293" s="22" t="n"/>
      <c r="I293" s="26">
        <f>G293-H293</f>
        <v/>
      </c>
      <c r="J293" s="21" t="n"/>
      <c r="K293" s="21" t="n"/>
      <c r="L293" s="27">
        <f>SUM(J293:K293)</f>
        <v/>
      </c>
      <c r="M293" s="28" t="n"/>
      <c r="N293" s="28" t="n"/>
      <c r="O293" s="29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1" t="n"/>
      <c r="Q293" s="21" t="n"/>
      <c r="R293" s="27">
        <f>SUM(P293:Q293)</f>
        <v/>
      </c>
      <c r="S293" s="28" t="n"/>
      <c r="T293" s="28" t="n"/>
      <c r="U293" s="29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1" t="n"/>
      <c r="W293" s="21" t="n"/>
      <c r="X293" s="27">
        <f>SUM(V293:W293)</f>
        <v/>
      </c>
      <c r="Y293" s="28" t="n"/>
      <c r="Z293" s="28" t="n"/>
      <c r="AA293" s="29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1" t="n"/>
      <c r="AC293" s="21" t="n"/>
      <c r="AD293" s="27">
        <f>SUM(AB293:AC293)</f>
        <v/>
      </c>
      <c r="AE293" s="28" t="n"/>
      <c r="AF293" s="28" t="n"/>
      <c r="AG293" s="29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1" t="n"/>
      <c r="AI293" s="21" t="n"/>
      <c r="AJ293" s="27">
        <f>SUM(AH293:AI293)</f>
        <v/>
      </c>
      <c r="AK293" s="28" t="n"/>
      <c r="AL293" s="28" t="n"/>
      <c r="AM293" s="29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1" t="n"/>
      <c r="AO293" s="21" t="n"/>
      <c r="AP293" s="27">
        <f>SUM(AN293:AO293)</f>
        <v/>
      </c>
      <c r="AQ293" s="28" t="n"/>
      <c r="AR293" s="30" t="n"/>
      <c r="AS293" s="29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1" t="n"/>
      <c r="AU293" s="21" t="n"/>
      <c r="AV293" s="27">
        <f>SUM(AT293:AU293)</f>
        <v/>
      </c>
      <c r="AW293" s="28" t="n"/>
      <c r="AX293" s="30" t="n"/>
      <c r="AY293" s="29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1" t="n"/>
      <c r="BA293" s="21" t="n"/>
      <c r="BB293" s="27">
        <f>SUM(AZ293:BA293)</f>
        <v/>
      </c>
      <c r="BC293" s="28" t="n"/>
      <c r="BD293" s="28" t="n"/>
      <c r="BE293" s="29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1" t="n"/>
      <c r="BG293" s="21" t="n"/>
      <c r="BH293" s="27">
        <f>SUM(BF293:BG293)</f>
        <v/>
      </c>
      <c r="BI293" s="28" t="n"/>
      <c r="BJ293" s="28" t="n"/>
      <c r="BK293" s="29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1" t="n"/>
      <c r="BM293" s="21" t="n"/>
      <c r="BN293" s="27">
        <f>SUM(BL293:BM293)</f>
        <v/>
      </c>
      <c r="BO293" s="28" t="n"/>
      <c r="BP293" s="31" t="n"/>
      <c r="BQ293" s="29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1" t="n"/>
      <c r="BS293" s="21" t="n"/>
      <c r="BT293" s="27">
        <f>SUM(BR293:BS293)</f>
        <v/>
      </c>
      <c r="BU293" s="28" t="n"/>
      <c r="BV293" s="31" t="n"/>
      <c r="BW293" s="29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1" t="n"/>
      <c r="BY293" s="21" t="n"/>
      <c r="BZ293" s="27">
        <f>SUM(BX293:BY293)</f>
        <v/>
      </c>
      <c r="CA293" s="28" t="n"/>
      <c r="CB293" s="31" t="n"/>
      <c r="CC293" s="29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1" t="n"/>
      <c r="CE293" s="21" t="n"/>
      <c r="CF293" s="27">
        <f>SUM(CD293:CE293)</f>
        <v/>
      </c>
      <c r="CG293" s="28" t="n"/>
      <c r="CH293" s="31" t="n"/>
      <c r="CI293" s="29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1" t="n"/>
      <c r="CK293" s="21" t="n"/>
      <c r="CL293" s="27">
        <f>SUM(CJ293:CK293)</f>
        <v/>
      </c>
      <c r="CM293" s="28" t="n"/>
      <c r="CN293" s="31" t="n"/>
      <c r="CO293" s="29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1" t="n"/>
      <c r="CQ293" s="21" t="n"/>
      <c r="CR293" s="27">
        <f>SUM(CP293:CQ293)</f>
        <v/>
      </c>
      <c r="CS293" s="28" t="n"/>
      <c r="CT293" s="31" t="n"/>
      <c r="CU293" s="29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1" t="n"/>
      <c r="CW293" s="21" t="n"/>
      <c r="CX293" s="27">
        <f>SUM(CV293:CW293)</f>
        <v/>
      </c>
      <c r="CY293" s="28" t="n"/>
      <c r="CZ293" s="31" t="n"/>
      <c r="DA293" s="29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1" t="n"/>
      <c r="DC293" s="21" t="n"/>
      <c r="DD293" s="27">
        <f>SUM(DB293:DC293)</f>
        <v/>
      </c>
      <c r="DE293" s="28" t="n"/>
      <c r="DF293" s="31" t="n"/>
      <c r="DG293" s="29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34">
        <f>SUM(O293,U293,AA293,AG293,AM293,AS293,AY293,BE293,BK293,BQ293,BW293,CC293,CI293,CO293,CU293,DA293,DG293)</f>
        <v/>
      </c>
      <c r="DI293" s="39">
        <f>RANK(DH293,DH$4:DH$503)</f>
        <v/>
      </c>
      <c r="DJ293" s="40" t="inlineStr">
        <is>
          <t>CHOOSE RATING</t>
        </is>
      </c>
      <c r="DK293" s="40" t="inlineStr">
        <is>
          <t>CHOOSE RATING</t>
        </is>
      </c>
      <c r="DL293" s="40" t="inlineStr">
        <is>
          <t>CHOOSE RATING</t>
        </is>
      </c>
      <c r="DM293" s="40" t="inlineStr">
        <is>
          <t>CHOOSE RATING</t>
        </is>
      </c>
      <c r="DN293" s="40" t="inlineStr">
        <is>
          <t>CHOOSE RATING</t>
        </is>
      </c>
      <c r="DO293" s="40" t="inlineStr">
        <is>
          <t>CHOOSE RATING</t>
        </is>
      </c>
      <c r="DP293" s="40" t="inlineStr">
        <is>
          <t>CHOOSE RATING</t>
        </is>
      </c>
      <c r="DQ293" s="40" t="inlineStr">
        <is>
          <t>CHOOSE RATING</t>
        </is>
      </c>
      <c r="DR293" s="43" t="inlineStr">
        <is>
          <t>2024/2025</t>
        </is>
      </c>
      <c r="DS293" s="45" t="inlineStr">
        <is>
          <t>THIRD</t>
        </is>
      </c>
      <c r="DT293" s="40" t="inlineStr">
        <is>
          <t>CHOOSE RATING</t>
        </is>
      </c>
      <c r="DU293" s="40" t="inlineStr">
        <is>
          <t>CHOOSE RATING</t>
        </is>
      </c>
      <c r="DV293" s="40" t="inlineStr">
        <is>
          <t>CHOOSE RATING</t>
        </is>
      </c>
      <c r="DW293" s="40" t="inlineStr">
        <is>
          <t>CHOOSE RATING</t>
        </is>
      </c>
      <c r="DX293" s="40" t="inlineStr">
        <is>
          <t>CHOOSE RATING</t>
        </is>
      </c>
      <c r="DY293" s="40" t="inlineStr">
        <is>
          <t>CHOOSE RATING</t>
        </is>
      </c>
      <c r="DZ293" s="53" t="inlineStr">
        <is>
          <t>CHOOSE RATING</t>
        </is>
      </c>
      <c r="EA293" s="54" t="inlineStr">
        <is>
          <t>Add the Tutor's Comment . . .</t>
        </is>
      </c>
      <c r="EB293" s="55" t="inlineStr">
        <is>
          <t>Choose Principals comment</t>
        </is>
      </c>
      <c r="EC293" s="56" t="n"/>
      <c r="ED293" s="57" t="inlineStr">
        <is>
          <t>Next Term Begins on Monday, 22nd September, 2025</t>
        </is>
      </c>
    </row>
    <row r="294" ht="30.6" customHeight="1" s="6">
      <c r="A294" s="18" t="n">
        <v>291</v>
      </c>
      <c r="B294" s="19" t="n"/>
      <c r="C294" s="20" t="n"/>
      <c r="D294" s="128" t="n"/>
      <c r="E294" s="21" t="n"/>
      <c r="F294" s="22" t="n"/>
      <c r="G294" s="22" t="n"/>
      <c r="H294" s="22" t="n"/>
      <c r="I294" s="26">
        <f>G294-H294</f>
        <v/>
      </c>
      <c r="J294" s="21" t="n"/>
      <c r="K294" s="21" t="n"/>
      <c r="L294" s="27">
        <f>SUM(J294:K294)</f>
        <v/>
      </c>
      <c r="M294" s="28" t="n"/>
      <c r="N294" s="28" t="n"/>
      <c r="O294" s="29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1" t="n"/>
      <c r="Q294" s="21" t="n"/>
      <c r="R294" s="27">
        <f>SUM(P294:Q294)</f>
        <v/>
      </c>
      <c r="S294" s="28" t="n"/>
      <c r="T294" s="28" t="n"/>
      <c r="U294" s="29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1" t="n"/>
      <c r="W294" s="21" t="n"/>
      <c r="X294" s="27">
        <f>SUM(V294:W294)</f>
        <v/>
      </c>
      <c r="Y294" s="28" t="n"/>
      <c r="Z294" s="28" t="n"/>
      <c r="AA294" s="29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1" t="n"/>
      <c r="AC294" s="21" t="n"/>
      <c r="AD294" s="27">
        <f>SUM(AB294:AC294)</f>
        <v/>
      </c>
      <c r="AE294" s="28" t="n"/>
      <c r="AF294" s="28" t="n"/>
      <c r="AG294" s="29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1" t="n"/>
      <c r="AI294" s="21" t="n"/>
      <c r="AJ294" s="27">
        <f>SUM(AH294:AI294)</f>
        <v/>
      </c>
      <c r="AK294" s="28" t="n"/>
      <c r="AL294" s="28" t="n"/>
      <c r="AM294" s="29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1" t="n"/>
      <c r="AO294" s="21" t="n"/>
      <c r="AP294" s="27">
        <f>SUM(AN294:AO294)</f>
        <v/>
      </c>
      <c r="AQ294" s="28" t="n"/>
      <c r="AR294" s="30" t="n"/>
      <c r="AS294" s="29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1" t="n"/>
      <c r="AU294" s="21" t="n"/>
      <c r="AV294" s="27">
        <f>SUM(AT294:AU294)</f>
        <v/>
      </c>
      <c r="AW294" s="28" t="n"/>
      <c r="AX294" s="30" t="n"/>
      <c r="AY294" s="29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1" t="n"/>
      <c r="BA294" s="21" t="n"/>
      <c r="BB294" s="27">
        <f>SUM(AZ294:BA294)</f>
        <v/>
      </c>
      <c r="BC294" s="28" t="n"/>
      <c r="BD294" s="28" t="n"/>
      <c r="BE294" s="29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1" t="n"/>
      <c r="BG294" s="21" t="n"/>
      <c r="BH294" s="27">
        <f>SUM(BF294:BG294)</f>
        <v/>
      </c>
      <c r="BI294" s="28" t="n"/>
      <c r="BJ294" s="28" t="n"/>
      <c r="BK294" s="29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1" t="n"/>
      <c r="BM294" s="21" t="n"/>
      <c r="BN294" s="27">
        <f>SUM(BL294:BM294)</f>
        <v/>
      </c>
      <c r="BO294" s="28" t="n"/>
      <c r="BP294" s="31" t="n"/>
      <c r="BQ294" s="29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1" t="n"/>
      <c r="BS294" s="21" t="n"/>
      <c r="BT294" s="27">
        <f>SUM(BR294:BS294)</f>
        <v/>
      </c>
      <c r="BU294" s="28" t="n"/>
      <c r="BV294" s="31" t="n"/>
      <c r="BW294" s="29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1" t="n"/>
      <c r="BY294" s="21" t="n"/>
      <c r="BZ294" s="27">
        <f>SUM(BX294:BY294)</f>
        <v/>
      </c>
      <c r="CA294" s="28" t="n"/>
      <c r="CB294" s="31" t="n"/>
      <c r="CC294" s="29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1" t="n"/>
      <c r="CE294" s="21" t="n"/>
      <c r="CF294" s="27">
        <f>SUM(CD294:CE294)</f>
        <v/>
      </c>
      <c r="CG294" s="28" t="n"/>
      <c r="CH294" s="31" t="n"/>
      <c r="CI294" s="29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1" t="n"/>
      <c r="CK294" s="21" t="n"/>
      <c r="CL294" s="27">
        <f>SUM(CJ294:CK294)</f>
        <v/>
      </c>
      <c r="CM294" s="28" t="n"/>
      <c r="CN294" s="31" t="n"/>
      <c r="CO294" s="29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1" t="n"/>
      <c r="CQ294" s="21" t="n"/>
      <c r="CR294" s="27">
        <f>SUM(CP294:CQ294)</f>
        <v/>
      </c>
      <c r="CS294" s="28" t="n"/>
      <c r="CT294" s="31" t="n"/>
      <c r="CU294" s="29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1" t="n"/>
      <c r="CW294" s="21" t="n"/>
      <c r="CX294" s="27">
        <f>SUM(CV294:CW294)</f>
        <v/>
      </c>
      <c r="CY294" s="28" t="n"/>
      <c r="CZ294" s="31" t="n"/>
      <c r="DA294" s="29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1" t="n"/>
      <c r="DC294" s="21" t="n"/>
      <c r="DD294" s="27">
        <f>SUM(DB294:DC294)</f>
        <v/>
      </c>
      <c r="DE294" s="28" t="n"/>
      <c r="DF294" s="31" t="n"/>
      <c r="DG294" s="29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34">
        <f>SUM(O294,U294,AA294,AG294,AM294,AS294,AY294,BE294,BK294,BQ294,BW294,CC294,CI294,CO294,CU294,DA294,DG294)</f>
        <v/>
      </c>
      <c r="DI294" s="39">
        <f>RANK(DH294,DH$4:DH$503)</f>
        <v/>
      </c>
      <c r="DJ294" s="40" t="inlineStr">
        <is>
          <t>CHOOSE RATING</t>
        </is>
      </c>
      <c r="DK294" s="40" t="inlineStr">
        <is>
          <t>CHOOSE RATING</t>
        </is>
      </c>
      <c r="DL294" s="40" t="inlineStr">
        <is>
          <t>CHOOSE RATING</t>
        </is>
      </c>
      <c r="DM294" s="40" t="inlineStr">
        <is>
          <t>CHOOSE RATING</t>
        </is>
      </c>
      <c r="DN294" s="40" t="inlineStr">
        <is>
          <t>CHOOSE RATING</t>
        </is>
      </c>
      <c r="DO294" s="40" t="inlineStr">
        <is>
          <t>CHOOSE RATING</t>
        </is>
      </c>
      <c r="DP294" s="40" t="inlineStr">
        <is>
          <t>CHOOSE RATING</t>
        </is>
      </c>
      <c r="DQ294" s="40" t="inlineStr">
        <is>
          <t>CHOOSE RATING</t>
        </is>
      </c>
      <c r="DR294" s="43" t="inlineStr">
        <is>
          <t>2024/2025</t>
        </is>
      </c>
      <c r="DS294" s="45" t="inlineStr">
        <is>
          <t>THIRD</t>
        </is>
      </c>
      <c r="DT294" s="40" t="inlineStr">
        <is>
          <t>CHOOSE RATING</t>
        </is>
      </c>
      <c r="DU294" s="40" t="inlineStr">
        <is>
          <t>CHOOSE RATING</t>
        </is>
      </c>
      <c r="DV294" s="40" t="inlineStr">
        <is>
          <t>CHOOSE RATING</t>
        </is>
      </c>
      <c r="DW294" s="40" t="inlineStr">
        <is>
          <t>CHOOSE RATING</t>
        </is>
      </c>
      <c r="DX294" s="40" t="inlineStr">
        <is>
          <t>CHOOSE RATING</t>
        </is>
      </c>
      <c r="DY294" s="40" t="inlineStr">
        <is>
          <t>CHOOSE RATING</t>
        </is>
      </c>
      <c r="DZ294" s="53" t="inlineStr">
        <is>
          <t>CHOOSE RATING</t>
        </is>
      </c>
      <c r="EA294" s="54" t="inlineStr">
        <is>
          <t>Add the Tutor's Comment . . .</t>
        </is>
      </c>
      <c r="EB294" s="55" t="inlineStr">
        <is>
          <t>Choose Principals comment</t>
        </is>
      </c>
      <c r="EC294" s="56" t="n"/>
      <c r="ED294" s="57" t="inlineStr">
        <is>
          <t>Next Term Begins on Monday, 22nd September, 2025</t>
        </is>
      </c>
    </row>
    <row r="295" ht="30.6" customHeight="1" s="6">
      <c r="A295" s="18" t="n">
        <v>292</v>
      </c>
      <c r="B295" s="19" t="n"/>
      <c r="C295" s="20" t="n"/>
      <c r="D295" s="128" t="n"/>
      <c r="E295" s="21" t="n"/>
      <c r="F295" s="22" t="n"/>
      <c r="G295" s="22" t="n"/>
      <c r="H295" s="22" t="n"/>
      <c r="I295" s="26">
        <f>G295-H295</f>
        <v/>
      </c>
      <c r="J295" s="21" t="n"/>
      <c r="K295" s="21" t="n"/>
      <c r="L295" s="27">
        <f>SUM(J295:K295)</f>
        <v/>
      </c>
      <c r="M295" s="28" t="n"/>
      <c r="N295" s="28" t="n"/>
      <c r="O295" s="29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1" t="n"/>
      <c r="Q295" s="21" t="n"/>
      <c r="R295" s="27">
        <f>SUM(P295:Q295)</f>
        <v/>
      </c>
      <c r="S295" s="28" t="n"/>
      <c r="T295" s="28" t="n"/>
      <c r="U295" s="29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1" t="n"/>
      <c r="W295" s="21" t="n"/>
      <c r="X295" s="27">
        <f>SUM(V295:W295)</f>
        <v/>
      </c>
      <c r="Y295" s="28" t="n"/>
      <c r="Z295" s="28" t="n"/>
      <c r="AA295" s="29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1" t="n"/>
      <c r="AC295" s="21" t="n"/>
      <c r="AD295" s="27">
        <f>SUM(AB295:AC295)</f>
        <v/>
      </c>
      <c r="AE295" s="28" t="n"/>
      <c r="AF295" s="28" t="n"/>
      <c r="AG295" s="29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1" t="n"/>
      <c r="AI295" s="21" t="n"/>
      <c r="AJ295" s="27">
        <f>SUM(AH295:AI295)</f>
        <v/>
      </c>
      <c r="AK295" s="28" t="n"/>
      <c r="AL295" s="28" t="n"/>
      <c r="AM295" s="29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1" t="n"/>
      <c r="AO295" s="21" t="n"/>
      <c r="AP295" s="27">
        <f>SUM(AN295:AO295)</f>
        <v/>
      </c>
      <c r="AQ295" s="28" t="n"/>
      <c r="AR295" s="30" t="n"/>
      <c r="AS295" s="29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1" t="n"/>
      <c r="AU295" s="21" t="n"/>
      <c r="AV295" s="27">
        <f>SUM(AT295:AU295)</f>
        <v/>
      </c>
      <c r="AW295" s="28" t="n"/>
      <c r="AX295" s="30" t="n"/>
      <c r="AY295" s="29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1" t="n"/>
      <c r="BA295" s="21" t="n"/>
      <c r="BB295" s="27">
        <f>SUM(AZ295:BA295)</f>
        <v/>
      </c>
      <c r="BC295" s="28" t="n"/>
      <c r="BD295" s="28" t="n"/>
      <c r="BE295" s="29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1" t="n"/>
      <c r="BG295" s="21" t="n"/>
      <c r="BH295" s="27">
        <f>SUM(BF295:BG295)</f>
        <v/>
      </c>
      <c r="BI295" s="28" t="n"/>
      <c r="BJ295" s="28" t="n"/>
      <c r="BK295" s="29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1" t="n"/>
      <c r="BM295" s="21" t="n"/>
      <c r="BN295" s="27">
        <f>SUM(BL295:BM295)</f>
        <v/>
      </c>
      <c r="BO295" s="28" t="n"/>
      <c r="BP295" s="31" t="n"/>
      <c r="BQ295" s="29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1" t="n"/>
      <c r="BS295" s="21" t="n"/>
      <c r="BT295" s="27">
        <f>SUM(BR295:BS295)</f>
        <v/>
      </c>
      <c r="BU295" s="28" t="n"/>
      <c r="BV295" s="31" t="n"/>
      <c r="BW295" s="29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1" t="n"/>
      <c r="BY295" s="21" t="n"/>
      <c r="BZ295" s="27">
        <f>SUM(BX295:BY295)</f>
        <v/>
      </c>
      <c r="CA295" s="28" t="n"/>
      <c r="CB295" s="31" t="n"/>
      <c r="CC295" s="29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1" t="n"/>
      <c r="CE295" s="21" t="n"/>
      <c r="CF295" s="27">
        <f>SUM(CD295:CE295)</f>
        <v/>
      </c>
      <c r="CG295" s="28" t="n"/>
      <c r="CH295" s="31" t="n"/>
      <c r="CI295" s="29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1" t="n"/>
      <c r="CK295" s="21" t="n"/>
      <c r="CL295" s="27">
        <f>SUM(CJ295:CK295)</f>
        <v/>
      </c>
      <c r="CM295" s="28" t="n"/>
      <c r="CN295" s="31" t="n"/>
      <c r="CO295" s="29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1" t="n"/>
      <c r="CQ295" s="21" t="n"/>
      <c r="CR295" s="27">
        <f>SUM(CP295:CQ295)</f>
        <v/>
      </c>
      <c r="CS295" s="28" t="n"/>
      <c r="CT295" s="31" t="n"/>
      <c r="CU295" s="29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1" t="n"/>
      <c r="CW295" s="21" t="n"/>
      <c r="CX295" s="27">
        <f>SUM(CV295:CW295)</f>
        <v/>
      </c>
      <c r="CY295" s="28" t="n"/>
      <c r="CZ295" s="31" t="n"/>
      <c r="DA295" s="29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1" t="n"/>
      <c r="DC295" s="21" t="n"/>
      <c r="DD295" s="27">
        <f>SUM(DB295:DC295)</f>
        <v/>
      </c>
      <c r="DE295" s="28" t="n"/>
      <c r="DF295" s="31" t="n"/>
      <c r="DG295" s="29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34">
        <f>SUM(O295,U295,AA295,AG295,AM295,AS295,AY295,BE295,BK295,BQ295,BW295,CC295,CI295,CO295,CU295,DA295,DG295)</f>
        <v/>
      </c>
      <c r="DI295" s="39">
        <f>RANK(DH295,DH$4:DH$503)</f>
        <v/>
      </c>
      <c r="DJ295" s="40" t="inlineStr">
        <is>
          <t>CHOOSE RATING</t>
        </is>
      </c>
      <c r="DK295" s="40" t="inlineStr">
        <is>
          <t>CHOOSE RATING</t>
        </is>
      </c>
      <c r="DL295" s="40" t="inlineStr">
        <is>
          <t>CHOOSE RATING</t>
        </is>
      </c>
      <c r="DM295" s="40" t="inlineStr">
        <is>
          <t>CHOOSE RATING</t>
        </is>
      </c>
      <c r="DN295" s="40" t="inlineStr">
        <is>
          <t>CHOOSE RATING</t>
        </is>
      </c>
      <c r="DO295" s="40" t="inlineStr">
        <is>
          <t>CHOOSE RATING</t>
        </is>
      </c>
      <c r="DP295" s="40" t="inlineStr">
        <is>
          <t>CHOOSE RATING</t>
        </is>
      </c>
      <c r="DQ295" s="40" t="inlineStr">
        <is>
          <t>CHOOSE RATING</t>
        </is>
      </c>
      <c r="DR295" s="43" t="inlineStr">
        <is>
          <t>2024/2025</t>
        </is>
      </c>
      <c r="DS295" s="45" t="inlineStr">
        <is>
          <t>THIRD</t>
        </is>
      </c>
      <c r="DT295" s="40" t="inlineStr">
        <is>
          <t>CHOOSE RATING</t>
        </is>
      </c>
      <c r="DU295" s="40" t="inlineStr">
        <is>
          <t>CHOOSE RATING</t>
        </is>
      </c>
      <c r="DV295" s="40" t="inlineStr">
        <is>
          <t>CHOOSE RATING</t>
        </is>
      </c>
      <c r="DW295" s="40" t="inlineStr">
        <is>
          <t>CHOOSE RATING</t>
        </is>
      </c>
      <c r="DX295" s="40" t="inlineStr">
        <is>
          <t>CHOOSE RATING</t>
        </is>
      </c>
      <c r="DY295" s="40" t="inlineStr">
        <is>
          <t>CHOOSE RATING</t>
        </is>
      </c>
      <c r="DZ295" s="53" t="inlineStr">
        <is>
          <t>CHOOSE RATING</t>
        </is>
      </c>
      <c r="EA295" s="54" t="inlineStr">
        <is>
          <t>Add the Tutor's Comment . . .</t>
        </is>
      </c>
      <c r="EB295" s="55" t="inlineStr">
        <is>
          <t>Choose Principals comment</t>
        </is>
      </c>
      <c r="EC295" s="56" t="n"/>
      <c r="ED295" s="57" t="inlineStr">
        <is>
          <t>Next Term Begins on Monday, 22nd September, 2025</t>
        </is>
      </c>
    </row>
    <row r="296" ht="30.6" customHeight="1" s="6">
      <c r="A296" s="18" t="n">
        <v>293</v>
      </c>
      <c r="B296" s="19" t="n"/>
      <c r="C296" s="20" t="n"/>
      <c r="D296" s="128" t="n"/>
      <c r="E296" s="21" t="n"/>
      <c r="F296" s="22" t="n"/>
      <c r="G296" s="22" t="n"/>
      <c r="H296" s="22" t="n"/>
      <c r="I296" s="26">
        <f>G296-H296</f>
        <v/>
      </c>
      <c r="J296" s="21" t="n"/>
      <c r="K296" s="21" t="n"/>
      <c r="L296" s="27">
        <f>SUM(J296:K296)</f>
        <v/>
      </c>
      <c r="M296" s="28" t="n"/>
      <c r="N296" s="28" t="n"/>
      <c r="O296" s="29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1" t="n"/>
      <c r="Q296" s="21" t="n"/>
      <c r="R296" s="27">
        <f>SUM(P296:Q296)</f>
        <v/>
      </c>
      <c r="S296" s="28" t="n"/>
      <c r="T296" s="28" t="n"/>
      <c r="U296" s="29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1" t="n"/>
      <c r="W296" s="21" t="n"/>
      <c r="X296" s="27">
        <f>SUM(V296:W296)</f>
        <v/>
      </c>
      <c r="Y296" s="28" t="n"/>
      <c r="Z296" s="28" t="n"/>
      <c r="AA296" s="29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1" t="n"/>
      <c r="AC296" s="21" t="n"/>
      <c r="AD296" s="27">
        <f>SUM(AB296:AC296)</f>
        <v/>
      </c>
      <c r="AE296" s="28" t="n"/>
      <c r="AF296" s="28" t="n"/>
      <c r="AG296" s="29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1" t="n"/>
      <c r="AI296" s="21" t="n"/>
      <c r="AJ296" s="27">
        <f>SUM(AH296:AI296)</f>
        <v/>
      </c>
      <c r="AK296" s="28" t="n"/>
      <c r="AL296" s="28" t="n"/>
      <c r="AM296" s="29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1" t="n"/>
      <c r="AO296" s="21" t="n"/>
      <c r="AP296" s="27">
        <f>SUM(AN296:AO296)</f>
        <v/>
      </c>
      <c r="AQ296" s="28" t="n"/>
      <c r="AR296" s="30" t="n"/>
      <c r="AS296" s="29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1" t="n"/>
      <c r="AU296" s="21" t="n"/>
      <c r="AV296" s="27">
        <f>SUM(AT296:AU296)</f>
        <v/>
      </c>
      <c r="AW296" s="28" t="n"/>
      <c r="AX296" s="30" t="n"/>
      <c r="AY296" s="29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1" t="n"/>
      <c r="BA296" s="21" t="n"/>
      <c r="BB296" s="27">
        <f>SUM(AZ296:BA296)</f>
        <v/>
      </c>
      <c r="BC296" s="28" t="n"/>
      <c r="BD296" s="28" t="n"/>
      <c r="BE296" s="29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1" t="n"/>
      <c r="BG296" s="21" t="n"/>
      <c r="BH296" s="27">
        <f>SUM(BF296:BG296)</f>
        <v/>
      </c>
      <c r="BI296" s="28" t="n"/>
      <c r="BJ296" s="28" t="n"/>
      <c r="BK296" s="29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1" t="n"/>
      <c r="BM296" s="21" t="n"/>
      <c r="BN296" s="27">
        <f>SUM(BL296:BM296)</f>
        <v/>
      </c>
      <c r="BO296" s="28" t="n"/>
      <c r="BP296" s="31" t="n"/>
      <c r="BQ296" s="29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1" t="n"/>
      <c r="BS296" s="21" t="n"/>
      <c r="BT296" s="27">
        <f>SUM(BR296:BS296)</f>
        <v/>
      </c>
      <c r="BU296" s="28" t="n"/>
      <c r="BV296" s="31" t="n"/>
      <c r="BW296" s="29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1" t="n"/>
      <c r="BY296" s="21" t="n"/>
      <c r="BZ296" s="27">
        <f>SUM(BX296:BY296)</f>
        <v/>
      </c>
      <c r="CA296" s="28" t="n"/>
      <c r="CB296" s="31" t="n"/>
      <c r="CC296" s="29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1" t="n"/>
      <c r="CE296" s="21" t="n"/>
      <c r="CF296" s="27">
        <f>SUM(CD296:CE296)</f>
        <v/>
      </c>
      <c r="CG296" s="28" t="n"/>
      <c r="CH296" s="31" t="n"/>
      <c r="CI296" s="29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1" t="n"/>
      <c r="CK296" s="21" t="n"/>
      <c r="CL296" s="27">
        <f>SUM(CJ296:CK296)</f>
        <v/>
      </c>
      <c r="CM296" s="28" t="n"/>
      <c r="CN296" s="31" t="n"/>
      <c r="CO296" s="29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1" t="n"/>
      <c r="CQ296" s="21" t="n"/>
      <c r="CR296" s="27">
        <f>SUM(CP296:CQ296)</f>
        <v/>
      </c>
      <c r="CS296" s="28" t="n"/>
      <c r="CT296" s="31" t="n"/>
      <c r="CU296" s="29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1" t="n"/>
      <c r="CW296" s="21" t="n"/>
      <c r="CX296" s="27">
        <f>SUM(CV296:CW296)</f>
        <v/>
      </c>
      <c r="CY296" s="28" t="n"/>
      <c r="CZ296" s="31" t="n"/>
      <c r="DA296" s="29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1" t="n"/>
      <c r="DC296" s="21" t="n"/>
      <c r="DD296" s="27">
        <f>SUM(DB296:DC296)</f>
        <v/>
      </c>
      <c r="DE296" s="28" t="n"/>
      <c r="DF296" s="31" t="n"/>
      <c r="DG296" s="29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34">
        <f>SUM(O296,U296,AA296,AG296,AM296,AS296,AY296,BE296,BK296,BQ296,BW296,CC296,CI296,CO296,CU296,DA296,DG296)</f>
        <v/>
      </c>
      <c r="DI296" s="39">
        <f>RANK(DH296,DH$4:DH$503)</f>
        <v/>
      </c>
      <c r="DJ296" s="40" t="inlineStr">
        <is>
          <t>CHOOSE RATING</t>
        </is>
      </c>
      <c r="DK296" s="40" t="inlineStr">
        <is>
          <t>CHOOSE RATING</t>
        </is>
      </c>
      <c r="DL296" s="40" t="inlineStr">
        <is>
          <t>CHOOSE RATING</t>
        </is>
      </c>
      <c r="DM296" s="40" t="inlineStr">
        <is>
          <t>CHOOSE RATING</t>
        </is>
      </c>
      <c r="DN296" s="40" t="inlineStr">
        <is>
          <t>CHOOSE RATING</t>
        </is>
      </c>
      <c r="DO296" s="40" t="inlineStr">
        <is>
          <t>CHOOSE RATING</t>
        </is>
      </c>
      <c r="DP296" s="40" t="inlineStr">
        <is>
          <t>CHOOSE RATING</t>
        </is>
      </c>
      <c r="DQ296" s="40" t="inlineStr">
        <is>
          <t>CHOOSE RATING</t>
        </is>
      </c>
      <c r="DR296" s="43" t="inlineStr">
        <is>
          <t>2024/2025</t>
        </is>
      </c>
      <c r="DS296" s="45" t="inlineStr">
        <is>
          <t>THIRD</t>
        </is>
      </c>
      <c r="DT296" s="40" t="inlineStr">
        <is>
          <t>CHOOSE RATING</t>
        </is>
      </c>
      <c r="DU296" s="40" t="inlineStr">
        <is>
          <t>CHOOSE RATING</t>
        </is>
      </c>
      <c r="DV296" s="40" t="inlineStr">
        <is>
          <t>CHOOSE RATING</t>
        </is>
      </c>
      <c r="DW296" s="40" t="inlineStr">
        <is>
          <t>CHOOSE RATING</t>
        </is>
      </c>
      <c r="DX296" s="40" t="inlineStr">
        <is>
          <t>CHOOSE RATING</t>
        </is>
      </c>
      <c r="DY296" s="40" t="inlineStr">
        <is>
          <t>CHOOSE RATING</t>
        </is>
      </c>
      <c r="DZ296" s="53" t="inlineStr">
        <is>
          <t>CHOOSE RATING</t>
        </is>
      </c>
      <c r="EA296" s="54" t="inlineStr">
        <is>
          <t>Add the Tutor's Comment . . .</t>
        </is>
      </c>
      <c r="EB296" s="55" t="inlineStr">
        <is>
          <t>Choose Principals comment</t>
        </is>
      </c>
      <c r="EC296" s="56" t="n"/>
      <c r="ED296" s="57" t="inlineStr">
        <is>
          <t>Next Term Begins on Monday, 22nd September, 2025</t>
        </is>
      </c>
    </row>
    <row r="297" ht="30.6" customHeight="1" s="6">
      <c r="A297" s="18" t="n">
        <v>294</v>
      </c>
      <c r="B297" s="19" t="n"/>
      <c r="C297" s="20" t="n"/>
      <c r="D297" s="128" t="n"/>
      <c r="E297" s="21" t="n"/>
      <c r="F297" s="22" t="n"/>
      <c r="G297" s="22" t="n"/>
      <c r="H297" s="22" t="n"/>
      <c r="I297" s="26">
        <f>G297-H297</f>
        <v/>
      </c>
      <c r="J297" s="21" t="n"/>
      <c r="K297" s="21" t="n"/>
      <c r="L297" s="27">
        <f>SUM(J297:K297)</f>
        <v/>
      </c>
      <c r="M297" s="28" t="n"/>
      <c r="N297" s="28" t="n"/>
      <c r="O297" s="29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1" t="n"/>
      <c r="Q297" s="21" t="n"/>
      <c r="R297" s="27">
        <f>SUM(P297:Q297)</f>
        <v/>
      </c>
      <c r="S297" s="28" t="n"/>
      <c r="T297" s="28" t="n"/>
      <c r="U297" s="29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1" t="n"/>
      <c r="W297" s="21" t="n"/>
      <c r="X297" s="27">
        <f>SUM(V297:W297)</f>
        <v/>
      </c>
      <c r="Y297" s="28" t="n"/>
      <c r="Z297" s="28" t="n"/>
      <c r="AA297" s="29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1" t="n"/>
      <c r="AC297" s="21" t="n"/>
      <c r="AD297" s="27">
        <f>SUM(AB297:AC297)</f>
        <v/>
      </c>
      <c r="AE297" s="28" t="n"/>
      <c r="AF297" s="28" t="n"/>
      <c r="AG297" s="29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1" t="n"/>
      <c r="AI297" s="21" t="n"/>
      <c r="AJ297" s="27">
        <f>SUM(AH297:AI297)</f>
        <v/>
      </c>
      <c r="AK297" s="28" t="n"/>
      <c r="AL297" s="28" t="n"/>
      <c r="AM297" s="29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1" t="n"/>
      <c r="AO297" s="21" t="n"/>
      <c r="AP297" s="27">
        <f>SUM(AN297:AO297)</f>
        <v/>
      </c>
      <c r="AQ297" s="28" t="n"/>
      <c r="AR297" s="30" t="n"/>
      <c r="AS297" s="29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1" t="n"/>
      <c r="AU297" s="21" t="n"/>
      <c r="AV297" s="27">
        <f>SUM(AT297:AU297)</f>
        <v/>
      </c>
      <c r="AW297" s="28" t="n"/>
      <c r="AX297" s="30" t="n"/>
      <c r="AY297" s="29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1" t="n"/>
      <c r="BA297" s="21" t="n"/>
      <c r="BB297" s="27">
        <f>SUM(AZ297:BA297)</f>
        <v/>
      </c>
      <c r="BC297" s="28" t="n"/>
      <c r="BD297" s="28" t="n"/>
      <c r="BE297" s="29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1" t="n"/>
      <c r="BG297" s="21" t="n"/>
      <c r="BH297" s="27">
        <f>SUM(BF297:BG297)</f>
        <v/>
      </c>
      <c r="BI297" s="28" t="n"/>
      <c r="BJ297" s="28" t="n"/>
      <c r="BK297" s="29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1" t="n"/>
      <c r="BM297" s="21" t="n"/>
      <c r="BN297" s="27">
        <f>SUM(BL297:BM297)</f>
        <v/>
      </c>
      <c r="BO297" s="28" t="n"/>
      <c r="BP297" s="31" t="n"/>
      <c r="BQ297" s="29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1" t="n"/>
      <c r="BS297" s="21" t="n"/>
      <c r="BT297" s="27">
        <f>SUM(BR297:BS297)</f>
        <v/>
      </c>
      <c r="BU297" s="28" t="n"/>
      <c r="BV297" s="31" t="n"/>
      <c r="BW297" s="29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1" t="n"/>
      <c r="BY297" s="21" t="n"/>
      <c r="BZ297" s="27">
        <f>SUM(BX297:BY297)</f>
        <v/>
      </c>
      <c r="CA297" s="28" t="n"/>
      <c r="CB297" s="31" t="n"/>
      <c r="CC297" s="29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1" t="n"/>
      <c r="CE297" s="21" t="n"/>
      <c r="CF297" s="27">
        <f>SUM(CD297:CE297)</f>
        <v/>
      </c>
      <c r="CG297" s="28" t="n"/>
      <c r="CH297" s="31" t="n"/>
      <c r="CI297" s="29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1" t="n"/>
      <c r="CK297" s="21" t="n"/>
      <c r="CL297" s="27">
        <f>SUM(CJ297:CK297)</f>
        <v/>
      </c>
      <c r="CM297" s="28" t="n"/>
      <c r="CN297" s="31" t="n"/>
      <c r="CO297" s="29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1" t="n"/>
      <c r="CQ297" s="21" t="n"/>
      <c r="CR297" s="27">
        <f>SUM(CP297:CQ297)</f>
        <v/>
      </c>
      <c r="CS297" s="28" t="n"/>
      <c r="CT297" s="31" t="n"/>
      <c r="CU297" s="29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1" t="n"/>
      <c r="CW297" s="21" t="n"/>
      <c r="CX297" s="27">
        <f>SUM(CV297:CW297)</f>
        <v/>
      </c>
      <c r="CY297" s="28" t="n"/>
      <c r="CZ297" s="31" t="n"/>
      <c r="DA297" s="29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1" t="n"/>
      <c r="DC297" s="21" t="n"/>
      <c r="DD297" s="27">
        <f>SUM(DB297:DC297)</f>
        <v/>
      </c>
      <c r="DE297" s="28" t="n"/>
      <c r="DF297" s="31" t="n"/>
      <c r="DG297" s="29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34">
        <f>SUM(O297,U297,AA297,AG297,AM297,AS297,AY297,BE297,BK297,BQ297,BW297,CC297,CI297,CO297,CU297,DA297,DG297)</f>
        <v/>
      </c>
      <c r="DI297" s="39">
        <f>RANK(DH297,DH$4:DH$503)</f>
        <v/>
      </c>
      <c r="DJ297" s="40" t="inlineStr">
        <is>
          <t>CHOOSE RATING</t>
        </is>
      </c>
      <c r="DK297" s="40" t="inlineStr">
        <is>
          <t>CHOOSE RATING</t>
        </is>
      </c>
      <c r="DL297" s="40" t="inlineStr">
        <is>
          <t>CHOOSE RATING</t>
        </is>
      </c>
      <c r="DM297" s="40" t="inlineStr">
        <is>
          <t>CHOOSE RATING</t>
        </is>
      </c>
      <c r="DN297" s="40" t="inlineStr">
        <is>
          <t>CHOOSE RATING</t>
        </is>
      </c>
      <c r="DO297" s="40" t="inlineStr">
        <is>
          <t>CHOOSE RATING</t>
        </is>
      </c>
      <c r="DP297" s="40" t="inlineStr">
        <is>
          <t>CHOOSE RATING</t>
        </is>
      </c>
      <c r="DQ297" s="40" t="inlineStr">
        <is>
          <t>CHOOSE RATING</t>
        </is>
      </c>
      <c r="DR297" s="43" t="inlineStr">
        <is>
          <t>2024/2025</t>
        </is>
      </c>
      <c r="DS297" s="45" t="inlineStr">
        <is>
          <t>THIRD</t>
        </is>
      </c>
      <c r="DT297" s="40" t="inlineStr">
        <is>
          <t>CHOOSE RATING</t>
        </is>
      </c>
      <c r="DU297" s="40" t="inlineStr">
        <is>
          <t>CHOOSE RATING</t>
        </is>
      </c>
      <c r="DV297" s="40" t="inlineStr">
        <is>
          <t>CHOOSE RATING</t>
        </is>
      </c>
      <c r="DW297" s="40" t="inlineStr">
        <is>
          <t>CHOOSE RATING</t>
        </is>
      </c>
      <c r="DX297" s="40" t="inlineStr">
        <is>
          <t>CHOOSE RATING</t>
        </is>
      </c>
      <c r="DY297" s="40" t="inlineStr">
        <is>
          <t>CHOOSE RATING</t>
        </is>
      </c>
      <c r="DZ297" s="53" t="inlineStr">
        <is>
          <t>CHOOSE RATING</t>
        </is>
      </c>
      <c r="EA297" s="54" t="inlineStr">
        <is>
          <t>Add the Tutor's Comment . . .</t>
        </is>
      </c>
      <c r="EB297" s="55" t="inlineStr">
        <is>
          <t>Choose Principals comment</t>
        </is>
      </c>
      <c r="EC297" s="56" t="n"/>
      <c r="ED297" s="57" t="inlineStr">
        <is>
          <t>Next Term Begins on Monday, 22nd September, 2025</t>
        </is>
      </c>
    </row>
    <row r="298" ht="30.6" customHeight="1" s="6">
      <c r="A298" s="18" t="n">
        <v>295</v>
      </c>
      <c r="B298" s="19" t="n"/>
      <c r="C298" s="20" t="n"/>
      <c r="D298" s="128" t="n"/>
      <c r="E298" s="21" t="n"/>
      <c r="F298" s="22" t="n"/>
      <c r="G298" s="22" t="n"/>
      <c r="H298" s="22" t="n"/>
      <c r="I298" s="26">
        <f>G298-H298</f>
        <v/>
      </c>
      <c r="J298" s="21" t="n"/>
      <c r="K298" s="21" t="n"/>
      <c r="L298" s="27">
        <f>SUM(J298:K298)</f>
        <v/>
      </c>
      <c r="M298" s="28" t="n"/>
      <c r="N298" s="28" t="n"/>
      <c r="O298" s="29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1" t="n"/>
      <c r="Q298" s="21" t="n"/>
      <c r="R298" s="27">
        <f>SUM(P298:Q298)</f>
        <v/>
      </c>
      <c r="S298" s="28" t="n"/>
      <c r="T298" s="28" t="n"/>
      <c r="U298" s="29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1" t="n"/>
      <c r="W298" s="21" t="n"/>
      <c r="X298" s="27">
        <f>SUM(V298:W298)</f>
        <v/>
      </c>
      <c r="Y298" s="28" t="n"/>
      <c r="Z298" s="28" t="n"/>
      <c r="AA298" s="29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1" t="n"/>
      <c r="AC298" s="21" t="n"/>
      <c r="AD298" s="27">
        <f>SUM(AB298:AC298)</f>
        <v/>
      </c>
      <c r="AE298" s="28" t="n"/>
      <c r="AF298" s="28" t="n"/>
      <c r="AG298" s="29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1" t="n"/>
      <c r="AI298" s="21" t="n"/>
      <c r="AJ298" s="27">
        <f>SUM(AH298:AI298)</f>
        <v/>
      </c>
      <c r="AK298" s="28" t="n"/>
      <c r="AL298" s="28" t="n"/>
      <c r="AM298" s="29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1" t="n"/>
      <c r="AO298" s="21" t="n"/>
      <c r="AP298" s="27">
        <f>SUM(AN298:AO298)</f>
        <v/>
      </c>
      <c r="AQ298" s="28" t="n"/>
      <c r="AR298" s="30" t="n"/>
      <c r="AS298" s="29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1" t="n"/>
      <c r="AU298" s="21" t="n"/>
      <c r="AV298" s="27">
        <f>SUM(AT298:AU298)</f>
        <v/>
      </c>
      <c r="AW298" s="28" t="n"/>
      <c r="AX298" s="30" t="n"/>
      <c r="AY298" s="29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1" t="n"/>
      <c r="BA298" s="21" t="n"/>
      <c r="BB298" s="27">
        <f>SUM(AZ298:BA298)</f>
        <v/>
      </c>
      <c r="BC298" s="28" t="n"/>
      <c r="BD298" s="28" t="n"/>
      <c r="BE298" s="29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1" t="n"/>
      <c r="BG298" s="21" t="n"/>
      <c r="BH298" s="27">
        <f>SUM(BF298:BG298)</f>
        <v/>
      </c>
      <c r="BI298" s="28" t="n"/>
      <c r="BJ298" s="28" t="n"/>
      <c r="BK298" s="29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1" t="n"/>
      <c r="BM298" s="21" t="n"/>
      <c r="BN298" s="27">
        <f>SUM(BL298:BM298)</f>
        <v/>
      </c>
      <c r="BO298" s="28" t="n"/>
      <c r="BP298" s="31" t="n"/>
      <c r="BQ298" s="29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1" t="n"/>
      <c r="BS298" s="21" t="n"/>
      <c r="BT298" s="27">
        <f>SUM(BR298:BS298)</f>
        <v/>
      </c>
      <c r="BU298" s="28" t="n"/>
      <c r="BV298" s="31" t="n"/>
      <c r="BW298" s="29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1" t="n"/>
      <c r="BY298" s="21" t="n"/>
      <c r="BZ298" s="27">
        <f>SUM(BX298:BY298)</f>
        <v/>
      </c>
      <c r="CA298" s="28" t="n"/>
      <c r="CB298" s="31" t="n"/>
      <c r="CC298" s="29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1" t="n"/>
      <c r="CE298" s="21" t="n"/>
      <c r="CF298" s="27">
        <f>SUM(CD298:CE298)</f>
        <v/>
      </c>
      <c r="CG298" s="28" t="n"/>
      <c r="CH298" s="31" t="n"/>
      <c r="CI298" s="29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1" t="n"/>
      <c r="CK298" s="21" t="n"/>
      <c r="CL298" s="27">
        <f>SUM(CJ298:CK298)</f>
        <v/>
      </c>
      <c r="CM298" s="28" t="n"/>
      <c r="CN298" s="31" t="n"/>
      <c r="CO298" s="29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1" t="n"/>
      <c r="CQ298" s="21" t="n"/>
      <c r="CR298" s="27">
        <f>SUM(CP298:CQ298)</f>
        <v/>
      </c>
      <c r="CS298" s="28" t="n"/>
      <c r="CT298" s="31" t="n"/>
      <c r="CU298" s="29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1" t="n"/>
      <c r="CW298" s="21" t="n"/>
      <c r="CX298" s="27">
        <f>SUM(CV298:CW298)</f>
        <v/>
      </c>
      <c r="CY298" s="28" t="n"/>
      <c r="CZ298" s="31" t="n"/>
      <c r="DA298" s="29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1" t="n"/>
      <c r="DC298" s="21" t="n"/>
      <c r="DD298" s="27">
        <f>SUM(DB298:DC298)</f>
        <v/>
      </c>
      <c r="DE298" s="28" t="n"/>
      <c r="DF298" s="31" t="n"/>
      <c r="DG298" s="29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34">
        <f>SUM(O298,U298,AA298,AG298,AM298,AS298,AY298,BE298,BK298,BQ298,BW298,CC298,CI298,CO298,CU298,DA298,DG298)</f>
        <v/>
      </c>
      <c r="DI298" s="39">
        <f>RANK(DH298,DH$4:DH$503)</f>
        <v/>
      </c>
      <c r="DJ298" s="40" t="inlineStr">
        <is>
          <t>CHOOSE RATING</t>
        </is>
      </c>
      <c r="DK298" s="40" t="inlineStr">
        <is>
          <t>CHOOSE RATING</t>
        </is>
      </c>
      <c r="DL298" s="40" t="inlineStr">
        <is>
          <t>CHOOSE RATING</t>
        </is>
      </c>
      <c r="DM298" s="40" t="inlineStr">
        <is>
          <t>CHOOSE RATING</t>
        </is>
      </c>
      <c r="DN298" s="40" t="inlineStr">
        <is>
          <t>CHOOSE RATING</t>
        </is>
      </c>
      <c r="DO298" s="40" t="inlineStr">
        <is>
          <t>CHOOSE RATING</t>
        </is>
      </c>
      <c r="DP298" s="40" t="inlineStr">
        <is>
          <t>CHOOSE RATING</t>
        </is>
      </c>
      <c r="DQ298" s="40" t="inlineStr">
        <is>
          <t>CHOOSE RATING</t>
        </is>
      </c>
      <c r="DR298" s="43" t="inlineStr">
        <is>
          <t>2024/2025</t>
        </is>
      </c>
      <c r="DS298" s="45" t="inlineStr">
        <is>
          <t>THIRD</t>
        </is>
      </c>
      <c r="DT298" s="40" t="inlineStr">
        <is>
          <t>CHOOSE RATING</t>
        </is>
      </c>
      <c r="DU298" s="40" t="inlineStr">
        <is>
          <t>CHOOSE RATING</t>
        </is>
      </c>
      <c r="DV298" s="40" t="inlineStr">
        <is>
          <t>CHOOSE RATING</t>
        </is>
      </c>
      <c r="DW298" s="40" t="inlineStr">
        <is>
          <t>CHOOSE RATING</t>
        </is>
      </c>
      <c r="DX298" s="40" t="inlineStr">
        <is>
          <t>CHOOSE RATING</t>
        </is>
      </c>
      <c r="DY298" s="40" t="inlineStr">
        <is>
          <t>CHOOSE RATING</t>
        </is>
      </c>
      <c r="DZ298" s="53" t="inlineStr">
        <is>
          <t>CHOOSE RATING</t>
        </is>
      </c>
      <c r="EA298" s="54" t="inlineStr">
        <is>
          <t>Add the Tutor's Comment . . .</t>
        </is>
      </c>
      <c r="EB298" s="55" t="inlineStr">
        <is>
          <t>Choose Principals comment</t>
        </is>
      </c>
      <c r="EC298" s="56" t="n"/>
      <c r="ED298" s="57" t="inlineStr">
        <is>
          <t>Next Term Begins on Monday, 22nd September, 2025</t>
        </is>
      </c>
    </row>
    <row r="299" ht="30.6" customHeight="1" s="6">
      <c r="A299" s="18" t="n">
        <v>296</v>
      </c>
      <c r="B299" s="19" t="n"/>
      <c r="C299" s="20" t="n"/>
      <c r="D299" s="128" t="n"/>
      <c r="E299" s="21" t="n"/>
      <c r="F299" s="22" t="n"/>
      <c r="G299" s="22" t="n"/>
      <c r="H299" s="22" t="n"/>
      <c r="I299" s="26">
        <f>G299-H299</f>
        <v/>
      </c>
      <c r="J299" s="21" t="n"/>
      <c r="K299" s="21" t="n"/>
      <c r="L299" s="27">
        <f>SUM(J299:K299)</f>
        <v/>
      </c>
      <c r="M299" s="28" t="n"/>
      <c r="N299" s="28" t="n"/>
      <c r="O299" s="29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1" t="n"/>
      <c r="Q299" s="21" t="n"/>
      <c r="R299" s="27">
        <f>SUM(P299:Q299)</f>
        <v/>
      </c>
      <c r="S299" s="28" t="n"/>
      <c r="T299" s="28" t="n"/>
      <c r="U299" s="29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1" t="n"/>
      <c r="W299" s="21" t="n"/>
      <c r="X299" s="27">
        <f>SUM(V299:W299)</f>
        <v/>
      </c>
      <c r="Y299" s="28" t="n"/>
      <c r="Z299" s="28" t="n"/>
      <c r="AA299" s="29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1" t="n"/>
      <c r="AC299" s="21" t="n"/>
      <c r="AD299" s="27">
        <f>SUM(AB299:AC299)</f>
        <v/>
      </c>
      <c r="AE299" s="28" t="n"/>
      <c r="AF299" s="28" t="n"/>
      <c r="AG299" s="29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1" t="n"/>
      <c r="AI299" s="21" t="n"/>
      <c r="AJ299" s="27">
        <f>SUM(AH299:AI299)</f>
        <v/>
      </c>
      <c r="AK299" s="28" t="n"/>
      <c r="AL299" s="28" t="n"/>
      <c r="AM299" s="29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1" t="n"/>
      <c r="AO299" s="21" t="n"/>
      <c r="AP299" s="27">
        <f>SUM(AN299:AO299)</f>
        <v/>
      </c>
      <c r="AQ299" s="28" t="n"/>
      <c r="AR299" s="30" t="n"/>
      <c r="AS299" s="29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1" t="n"/>
      <c r="AU299" s="21" t="n"/>
      <c r="AV299" s="27">
        <f>SUM(AT299:AU299)</f>
        <v/>
      </c>
      <c r="AW299" s="28" t="n"/>
      <c r="AX299" s="30" t="n"/>
      <c r="AY299" s="29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1" t="n"/>
      <c r="BA299" s="21" t="n"/>
      <c r="BB299" s="27">
        <f>SUM(AZ299:BA299)</f>
        <v/>
      </c>
      <c r="BC299" s="28" t="n"/>
      <c r="BD299" s="28" t="n"/>
      <c r="BE299" s="29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1" t="n"/>
      <c r="BG299" s="21" t="n"/>
      <c r="BH299" s="27">
        <f>SUM(BF299:BG299)</f>
        <v/>
      </c>
      <c r="BI299" s="28" t="n"/>
      <c r="BJ299" s="28" t="n"/>
      <c r="BK299" s="29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1" t="n"/>
      <c r="BM299" s="21" t="n"/>
      <c r="BN299" s="27">
        <f>SUM(BL299:BM299)</f>
        <v/>
      </c>
      <c r="BO299" s="28" t="n"/>
      <c r="BP299" s="31" t="n"/>
      <c r="BQ299" s="29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1" t="n"/>
      <c r="BS299" s="21" t="n"/>
      <c r="BT299" s="27">
        <f>SUM(BR299:BS299)</f>
        <v/>
      </c>
      <c r="BU299" s="28" t="n"/>
      <c r="BV299" s="31" t="n"/>
      <c r="BW299" s="29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1" t="n"/>
      <c r="BY299" s="21" t="n"/>
      <c r="BZ299" s="27">
        <f>SUM(BX299:BY299)</f>
        <v/>
      </c>
      <c r="CA299" s="28" t="n"/>
      <c r="CB299" s="31" t="n"/>
      <c r="CC299" s="29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1" t="n"/>
      <c r="CE299" s="21" t="n"/>
      <c r="CF299" s="27">
        <f>SUM(CD299:CE299)</f>
        <v/>
      </c>
      <c r="CG299" s="28" t="n"/>
      <c r="CH299" s="31" t="n"/>
      <c r="CI299" s="29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1" t="n"/>
      <c r="CK299" s="21" t="n"/>
      <c r="CL299" s="27">
        <f>SUM(CJ299:CK299)</f>
        <v/>
      </c>
      <c r="CM299" s="28" t="n"/>
      <c r="CN299" s="31" t="n"/>
      <c r="CO299" s="29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1" t="n"/>
      <c r="CQ299" s="21" t="n"/>
      <c r="CR299" s="27">
        <f>SUM(CP299:CQ299)</f>
        <v/>
      </c>
      <c r="CS299" s="28" t="n"/>
      <c r="CT299" s="31" t="n"/>
      <c r="CU299" s="29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1" t="n"/>
      <c r="CW299" s="21" t="n"/>
      <c r="CX299" s="27">
        <f>SUM(CV299:CW299)</f>
        <v/>
      </c>
      <c r="CY299" s="28" t="n"/>
      <c r="CZ299" s="31" t="n"/>
      <c r="DA299" s="29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1" t="n"/>
      <c r="DC299" s="21" t="n"/>
      <c r="DD299" s="27">
        <f>SUM(DB299:DC299)</f>
        <v/>
      </c>
      <c r="DE299" s="28" t="n"/>
      <c r="DF299" s="31" t="n"/>
      <c r="DG299" s="29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34">
        <f>SUM(O299,U299,AA299,AG299,AM299,AS299,AY299,BE299,BK299,BQ299,BW299,CC299,CI299,CO299,CU299,DA299,DG299)</f>
        <v/>
      </c>
      <c r="DI299" s="39">
        <f>RANK(DH299,DH$4:DH$503)</f>
        <v/>
      </c>
      <c r="DJ299" s="40" t="inlineStr">
        <is>
          <t>CHOOSE RATING</t>
        </is>
      </c>
      <c r="DK299" s="40" t="inlineStr">
        <is>
          <t>CHOOSE RATING</t>
        </is>
      </c>
      <c r="DL299" s="40" t="inlineStr">
        <is>
          <t>CHOOSE RATING</t>
        </is>
      </c>
      <c r="DM299" s="40" t="inlineStr">
        <is>
          <t>CHOOSE RATING</t>
        </is>
      </c>
      <c r="DN299" s="40" t="inlineStr">
        <is>
          <t>CHOOSE RATING</t>
        </is>
      </c>
      <c r="DO299" s="40" t="inlineStr">
        <is>
          <t>CHOOSE RATING</t>
        </is>
      </c>
      <c r="DP299" s="40" t="inlineStr">
        <is>
          <t>CHOOSE RATING</t>
        </is>
      </c>
      <c r="DQ299" s="40" t="inlineStr">
        <is>
          <t>CHOOSE RATING</t>
        </is>
      </c>
      <c r="DR299" s="43" t="inlineStr">
        <is>
          <t>2024/2025</t>
        </is>
      </c>
      <c r="DS299" s="45" t="inlineStr">
        <is>
          <t>THIRD</t>
        </is>
      </c>
      <c r="DT299" s="40" t="inlineStr">
        <is>
          <t>CHOOSE RATING</t>
        </is>
      </c>
      <c r="DU299" s="40" t="inlineStr">
        <is>
          <t>CHOOSE RATING</t>
        </is>
      </c>
      <c r="DV299" s="40" t="inlineStr">
        <is>
          <t>CHOOSE RATING</t>
        </is>
      </c>
      <c r="DW299" s="40" t="inlineStr">
        <is>
          <t>CHOOSE RATING</t>
        </is>
      </c>
      <c r="DX299" s="40" t="inlineStr">
        <is>
          <t>CHOOSE RATING</t>
        </is>
      </c>
      <c r="DY299" s="40" t="inlineStr">
        <is>
          <t>CHOOSE RATING</t>
        </is>
      </c>
      <c r="DZ299" s="53" t="inlineStr">
        <is>
          <t>CHOOSE RATING</t>
        </is>
      </c>
      <c r="EA299" s="54" t="inlineStr">
        <is>
          <t>Add the Tutor's Comment . . .</t>
        </is>
      </c>
      <c r="EB299" s="55" t="inlineStr">
        <is>
          <t>Choose Principals comment</t>
        </is>
      </c>
      <c r="EC299" s="56" t="n"/>
      <c r="ED299" s="57" t="inlineStr">
        <is>
          <t>Next Term Begins on Monday, 22nd September, 2025</t>
        </is>
      </c>
    </row>
    <row r="300" ht="30.6" customHeight="1" s="6">
      <c r="A300" s="18" t="n">
        <v>297</v>
      </c>
      <c r="B300" s="19" t="n"/>
      <c r="C300" s="20" t="n"/>
      <c r="D300" s="128" t="n"/>
      <c r="E300" s="21" t="n"/>
      <c r="F300" s="22" t="n"/>
      <c r="G300" s="22" t="n"/>
      <c r="H300" s="22" t="n"/>
      <c r="I300" s="26">
        <f>G300-H300</f>
        <v/>
      </c>
      <c r="J300" s="21" t="n"/>
      <c r="K300" s="21" t="n"/>
      <c r="L300" s="27">
        <f>SUM(J300:K300)</f>
        <v/>
      </c>
      <c r="M300" s="28" t="n"/>
      <c r="N300" s="28" t="n"/>
      <c r="O300" s="29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1" t="n"/>
      <c r="Q300" s="21" t="n"/>
      <c r="R300" s="27">
        <f>SUM(P300:Q300)</f>
        <v/>
      </c>
      <c r="S300" s="28" t="n"/>
      <c r="T300" s="28" t="n"/>
      <c r="U300" s="29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1" t="n"/>
      <c r="W300" s="21" t="n"/>
      <c r="X300" s="27">
        <f>SUM(V300:W300)</f>
        <v/>
      </c>
      <c r="Y300" s="28" t="n"/>
      <c r="Z300" s="28" t="n"/>
      <c r="AA300" s="29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1" t="n"/>
      <c r="AC300" s="21" t="n"/>
      <c r="AD300" s="27">
        <f>SUM(AB300:AC300)</f>
        <v/>
      </c>
      <c r="AE300" s="28" t="n"/>
      <c r="AF300" s="28" t="n"/>
      <c r="AG300" s="29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1" t="n"/>
      <c r="AI300" s="21" t="n"/>
      <c r="AJ300" s="27">
        <f>SUM(AH300:AI300)</f>
        <v/>
      </c>
      <c r="AK300" s="28" t="n"/>
      <c r="AL300" s="28" t="n"/>
      <c r="AM300" s="29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1" t="n"/>
      <c r="AO300" s="21" t="n"/>
      <c r="AP300" s="27">
        <f>SUM(AN300:AO300)</f>
        <v/>
      </c>
      <c r="AQ300" s="28" t="n"/>
      <c r="AR300" s="30" t="n"/>
      <c r="AS300" s="29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1" t="n"/>
      <c r="AU300" s="21" t="n"/>
      <c r="AV300" s="27">
        <f>SUM(AT300:AU300)</f>
        <v/>
      </c>
      <c r="AW300" s="28" t="n"/>
      <c r="AX300" s="30" t="n"/>
      <c r="AY300" s="29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1" t="n"/>
      <c r="BA300" s="21" t="n"/>
      <c r="BB300" s="27">
        <f>SUM(AZ300:BA300)</f>
        <v/>
      </c>
      <c r="BC300" s="28" t="n"/>
      <c r="BD300" s="28" t="n"/>
      <c r="BE300" s="29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1" t="n"/>
      <c r="BG300" s="21" t="n"/>
      <c r="BH300" s="27">
        <f>SUM(BF300:BG300)</f>
        <v/>
      </c>
      <c r="BI300" s="28" t="n"/>
      <c r="BJ300" s="28" t="n"/>
      <c r="BK300" s="29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1" t="n"/>
      <c r="BM300" s="21" t="n"/>
      <c r="BN300" s="27">
        <f>SUM(BL300:BM300)</f>
        <v/>
      </c>
      <c r="BO300" s="28" t="n"/>
      <c r="BP300" s="31" t="n"/>
      <c r="BQ300" s="29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1" t="n"/>
      <c r="BS300" s="21" t="n"/>
      <c r="BT300" s="27">
        <f>SUM(BR300:BS300)</f>
        <v/>
      </c>
      <c r="BU300" s="28" t="n"/>
      <c r="BV300" s="31" t="n"/>
      <c r="BW300" s="29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1" t="n"/>
      <c r="BY300" s="21" t="n"/>
      <c r="BZ300" s="27">
        <f>SUM(BX300:BY300)</f>
        <v/>
      </c>
      <c r="CA300" s="28" t="n"/>
      <c r="CB300" s="31" t="n"/>
      <c r="CC300" s="29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1" t="n"/>
      <c r="CE300" s="21" t="n"/>
      <c r="CF300" s="27">
        <f>SUM(CD300:CE300)</f>
        <v/>
      </c>
      <c r="CG300" s="28" t="n"/>
      <c r="CH300" s="31" t="n"/>
      <c r="CI300" s="29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1" t="n"/>
      <c r="CK300" s="21" t="n"/>
      <c r="CL300" s="27">
        <f>SUM(CJ300:CK300)</f>
        <v/>
      </c>
      <c r="CM300" s="28" t="n"/>
      <c r="CN300" s="31" t="n"/>
      <c r="CO300" s="29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1" t="n"/>
      <c r="CQ300" s="21" t="n"/>
      <c r="CR300" s="27">
        <f>SUM(CP300:CQ300)</f>
        <v/>
      </c>
      <c r="CS300" s="28" t="n"/>
      <c r="CT300" s="31" t="n"/>
      <c r="CU300" s="29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1" t="n"/>
      <c r="CW300" s="21" t="n"/>
      <c r="CX300" s="27">
        <f>SUM(CV300:CW300)</f>
        <v/>
      </c>
      <c r="CY300" s="28" t="n"/>
      <c r="CZ300" s="31" t="n"/>
      <c r="DA300" s="29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1" t="n"/>
      <c r="DC300" s="21" t="n"/>
      <c r="DD300" s="27">
        <f>SUM(DB300:DC300)</f>
        <v/>
      </c>
      <c r="DE300" s="28" t="n"/>
      <c r="DF300" s="31" t="n"/>
      <c r="DG300" s="29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34">
        <f>SUM(O300,U300,AA300,AG300,AM300,AS300,AY300,BE300,BK300,BQ300,BW300,CC300,CI300,CO300,CU300,DA300,DG300)</f>
        <v/>
      </c>
      <c r="DI300" s="39">
        <f>RANK(DH300,DH$4:DH$503)</f>
        <v/>
      </c>
      <c r="DJ300" s="40" t="inlineStr">
        <is>
          <t>CHOOSE RATING</t>
        </is>
      </c>
      <c r="DK300" s="40" t="inlineStr">
        <is>
          <t>CHOOSE RATING</t>
        </is>
      </c>
      <c r="DL300" s="40" t="inlineStr">
        <is>
          <t>CHOOSE RATING</t>
        </is>
      </c>
      <c r="DM300" s="40" t="inlineStr">
        <is>
          <t>CHOOSE RATING</t>
        </is>
      </c>
      <c r="DN300" s="40" t="inlineStr">
        <is>
          <t>CHOOSE RATING</t>
        </is>
      </c>
      <c r="DO300" s="40" t="inlineStr">
        <is>
          <t>CHOOSE RATING</t>
        </is>
      </c>
      <c r="DP300" s="40" t="inlineStr">
        <is>
          <t>CHOOSE RATING</t>
        </is>
      </c>
      <c r="DQ300" s="40" t="inlineStr">
        <is>
          <t>CHOOSE RATING</t>
        </is>
      </c>
      <c r="DR300" s="43" t="inlineStr">
        <is>
          <t>2024/2025</t>
        </is>
      </c>
      <c r="DS300" s="45" t="inlineStr">
        <is>
          <t>THIRD</t>
        </is>
      </c>
      <c r="DT300" s="40" t="inlineStr">
        <is>
          <t>CHOOSE RATING</t>
        </is>
      </c>
      <c r="DU300" s="40" t="inlineStr">
        <is>
          <t>CHOOSE RATING</t>
        </is>
      </c>
      <c r="DV300" s="40" t="inlineStr">
        <is>
          <t>CHOOSE RATING</t>
        </is>
      </c>
      <c r="DW300" s="40" t="inlineStr">
        <is>
          <t>CHOOSE RATING</t>
        </is>
      </c>
      <c r="DX300" s="40" t="inlineStr">
        <is>
          <t>CHOOSE RATING</t>
        </is>
      </c>
      <c r="DY300" s="40" t="inlineStr">
        <is>
          <t>CHOOSE RATING</t>
        </is>
      </c>
      <c r="DZ300" s="53" t="inlineStr">
        <is>
          <t>CHOOSE RATING</t>
        </is>
      </c>
      <c r="EA300" s="54" t="inlineStr">
        <is>
          <t>Add the Tutor's Comment . . .</t>
        </is>
      </c>
      <c r="EB300" s="55" t="inlineStr">
        <is>
          <t>Choose Principals comment</t>
        </is>
      </c>
      <c r="EC300" s="56" t="n"/>
      <c r="ED300" s="57" t="inlineStr">
        <is>
          <t>Next Term Begins on Monday, 22nd September, 2025</t>
        </is>
      </c>
    </row>
    <row r="301" ht="30.6" customHeight="1" s="6">
      <c r="A301" s="18" t="n">
        <v>298</v>
      </c>
      <c r="B301" s="19" t="n"/>
      <c r="C301" s="20" t="n"/>
      <c r="D301" s="128" t="n"/>
      <c r="E301" s="21" t="n"/>
      <c r="F301" s="22" t="n"/>
      <c r="G301" s="22" t="n"/>
      <c r="H301" s="22" t="n"/>
      <c r="I301" s="26">
        <f>G301-H301</f>
        <v/>
      </c>
      <c r="J301" s="21" t="n"/>
      <c r="K301" s="21" t="n"/>
      <c r="L301" s="27">
        <f>SUM(J301:K301)</f>
        <v/>
      </c>
      <c r="M301" s="28" t="n"/>
      <c r="N301" s="28" t="n"/>
      <c r="O301" s="29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1" t="n"/>
      <c r="Q301" s="21" t="n"/>
      <c r="R301" s="27">
        <f>SUM(P301:Q301)</f>
        <v/>
      </c>
      <c r="S301" s="28" t="n"/>
      <c r="T301" s="28" t="n"/>
      <c r="U301" s="29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1" t="n"/>
      <c r="W301" s="21" t="n"/>
      <c r="X301" s="27">
        <f>SUM(V301:W301)</f>
        <v/>
      </c>
      <c r="Y301" s="28" t="n"/>
      <c r="Z301" s="28" t="n"/>
      <c r="AA301" s="29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1" t="n"/>
      <c r="AC301" s="21" t="n"/>
      <c r="AD301" s="27">
        <f>SUM(AB301:AC301)</f>
        <v/>
      </c>
      <c r="AE301" s="28" t="n"/>
      <c r="AF301" s="28" t="n"/>
      <c r="AG301" s="29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1" t="n"/>
      <c r="AI301" s="21" t="n"/>
      <c r="AJ301" s="27">
        <f>SUM(AH301:AI301)</f>
        <v/>
      </c>
      <c r="AK301" s="28" t="n"/>
      <c r="AL301" s="28" t="n"/>
      <c r="AM301" s="29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1" t="n"/>
      <c r="AO301" s="21" t="n"/>
      <c r="AP301" s="27">
        <f>SUM(AN301:AO301)</f>
        <v/>
      </c>
      <c r="AQ301" s="28" t="n"/>
      <c r="AR301" s="30" t="n"/>
      <c r="AS301" s="29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1" t="n"/>
      <c r="AU301" s="21" t="n"/>
      <c r="AV301" s="27">
        <f>SUM(AT301:AU301)</f>
        <v/>
      </c>
      <c r="AW301" s="28" t="n"/>
      <c r="AX301" s="30" t="n"/>
      <c r="AY301" s="29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1" t="n"/>
      <c r="BA301" s="21" t="n"/>
      <c r="BB301" s="27">
        <f>SUM(AZ301:BA301)</f>
        <v/>
      </c>
      <c r="BC301" s="28" t="n"/>
      <c r="BD301" s="28" t="n"/>
      <c r="BE301" s="29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1" t="n"/>
      <c r="BG301" s="21" t="n"/>
      <c r="BH301" s="27">
        <f>SUM(BF301:BG301)</f>
        <v/>
      </c>
      <c r="BI301" s="28" t="n"/>
      <c r="BJ301" s="28" t="n"/>
      <c r="BK301" s="29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1" t="n"/>
      <c r="BM301" s="21" t="n"/>
      <c r="BN301" s="27">
        <f>SUM(BL301:BM301)</f>
        <v/>
      </c>
      <c r="BO301" s="28" t="n"/>
      <c r="BP301" s="31" t="n"/>
      <c r="BQ301" s="29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1" t="n"/>
      <c r="BS301" s="21" t="n"/>
      <c r="BT301" s="27">
        <f>SUM(BR301:BS301)</f>
        <v/>
      </c>
      <c r="BU301" s="28" t="n"/>
      <c r="BV301" s="31" t="n"/>
      <c r="BW301" s="29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1" t="n"/>
      <c r="BY301" s="21" t="n"/>
      <c r="BZ301" s="27">
        <f>SUM(BX301:BY301)</f>
        <v/>
      </c>
      <c r="CA301" s="28" t="n"/>
      <c r="CB301" s="31" t="n"/>
      <c r="CC301" s="29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1" t="n"/>
      <c r="CE301" s="21" t="n"/>
      <c r="CF301" s="27">
        <f>SUM(CD301:CE301)</f>
        <v/>
      </c>
      <c r="CG301" s="28" t="n"/>
      <c r="CH301" s="31" t="n"/>
      <c r="CI301" s="29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1" t="n"/>
      <c r="CK301" s="21" t="n"/>
      <c r="CL301" s="27">
        <f>SUM(CJ301:CK301)</f>
        <v/>
      </c>
      <c r="CM301" s="28" t="n"/>
      <c r="CN301" s="31" t="n"/>
      <c r="CO301" s="29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1" t="n"/>
      <c r="CQ301" s="21" t="n"/>
      <c r="CR301" s="27">
        <f>SUM(CP301:CQ301)</f>
        <v/>
      </c>
      <c r="CS301" s="28" t="n"/>
      <c r="CT301" s="31" t="n"/>
      <c r="CU301" s="29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1" t="n"/>
      <c r="CW301" s="21" t="n"/>
      <c r="CX301" s="27">
        <f>SUM(CV301:CW301)</f>
        <v/>
      </c>
      <c r="CY301" s="28" t="n"/>
      <c r="CZ301" s="31" t="n"/>
      <c r="DA301" s="29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1" t="n"/>
      <c r="DC301" s="21" t="n"/>
      <c r="DD301" s="27">
        <f>SUM(DB301:DC301)</f>
        <v/>
      </c>
      <c r="DE301" s="28" t="n"/>
      <c r="DF301" s="31" t="n"/>
      <c r="DG301" s="29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34">
        <f>SUM(O301,U301,AA301,AG301,AM301,AS301,AY301,BE301,BK301,BQ301,BW301,CC301,CI301,CO301,CU301,DA301,DG301)</f>
        <v/>
      </c>
      <c r="DI301" s="39">
        <f>RANK(DH301,DH$4:DH$503)</f>
        <v/>
      </c>
      <c r="DJ301" s="40" t="inlineStr">
        <is>
          <t>CHOOSE RATING</t>
        </is>
      </c>
      <c r="DK301" s="40" t="inlineStr">
        <is>
          <t>CHOOSE RATING</t>
        </is>
      </c>
      <c r="DL301" s="40" t="inlineStr">
        <is>
          <t>CHOOSE RATING</t>
        </is>
      </c>
      <c r="DM301" s="40" t="inlineStr">
        <is>
          <t>CHOOSE RATING</t>
        </is>
      </c>
      <c r="DN301" s="40" t="inlineStr">
        <is>
          <t>CHOOSE RATING</t>
        </is>
      </c>
      <c r="DO301" s="40" t="inlineStr">
        <is>
          <t>CHOOSE RATING</t>
        </is>
      </c>
      <c r="DP301" s="40" t="inlineStr">
        <is>
          <t>CHOOSE RATING</t>
        </is>
      </c>
      <c r="DQ301" s="40" t="inlineStr">
        <is>
          <t>CHOOSE RATING</t>
        </is>
      </c>
      <c r="DR301" s="43" t="inlineStr">
        <is>
          <t>2024/2025</t>
        </is>
      </c>
      <c r="DS301" s="45" t="inlineStr">
        <is>
          <t>THIRD</t>
        </is>
      </c>
      <c r="DT301" s="40" t="inlineStr">
        <is>
          <t>CHOOSE RATING</t>
        </is>
      </c>
      <c r="DU301" s="40" t="inlineStr">
        <is>
          <t>CHOOSE RATING</t>
        </is>
      </c>
      <c r="DV301" s="40" t="inlineStr">
        <is>
          <t>CHOOSE RATING</t>
        </is>
      </c>
      <c r="DW301" s="40" t="inlineStr">
        <is>
          <t>CHOOSE RATING</t>
        </is>
      </c>
      <c r="DX301" s="40" t="inlineStr">
        <is>
          <t>CHOOSE RATING</t>
        </is>
      </c>
      <c r="DY301" s="40" t="inlineStr">
        <is>
          <t>CHOOSE RATING</t>
        </is>
      </c>
      <c r="DZ301" s="53" t="inlineStr">
        <is>
          <t>CHOOSE RATING</t>
        </is>
      </c>
      <c r="EA301" s="54" t="inlineStr">
        <is>
          <t>Add the Tutor's Comment . . .</t>
        </is>
      </c>
      <c r="EB301" s="55" t="inlineStr">
        <is>
          <t>Choose Principals comment</t>
        </is>
      </c>
      <c r="EC301" s="56" t="n"/>
      <c r="ED301" s="57" t="inlineStr">
        <is>
          <t>Next Term Begins on Monday, 22nd September, 2025</t>
        </is>
      </c>
    </row>
    <row r="302" ht="30.6" customHeight="1" s="6">
      <c r="A302" s="18" t="n">
        <v>299</v>
      </c>
      <c r="B302" s="19" t="n"/>
      <c r="C302" s="20" t="n"/>
      <c r="D302" s="128" t="n"/>
      <c r="E302" s="21" t="n"/>
      <c r="F302" s="22" t="n"/>
      <c r="G302" s="22" t="n"/>
      <c r="H302" s="22" t="n"/>
      <c r="I302" s="26">
        <f>G302-H302</f>
        <v/>
      </c>
      <c r="J302" s="21" t="n"/>
      <c r="K302" s="21" t="n"/>
      <c r="L302" s="27">
        <f>SUM(J302:K302)</f>
        <v/>
      </c>
      <c r="M302" s="28" t="n"/>
      <c r="N302" s="28" t="n"/>
      <c r="O302" s="29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1" t="n"/>
      <c r="Q302" s="21" t="n"/>
      <c r="R302" s="27">
        <f>SUM(P302:Q302)</f>
        <v/>
      </c>
      <c r="S302" s="28" t="n"/>
      <c r="T302" s="28" t="n"/>
      <c r="U302" s="29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1" t="n"/>
      <c r="W302" s="21" t="n"/>
      <c r="X302" s="27">
        <f>SUM(V302:W302)</f>
        <v/>
      </c>
      <c r="Y302" s="28" t="n"/>
      <c r="Z302" s="28" t="n"/>
      <c r="AA302" s="29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1" t="n"/>
      <c r="AC302" s="21" t="n"/>
      <c r="AD302" s="27">
        <f>SUM(AB302:AC302)</f>
        <v/>
      </c>
      <c r="AE302" s="28" t="n"/>
      <c r="AF302" s="28" t="n"/>
      <c r="AG302" s="29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1" t="n"/>
      <c r="AI302" s="21" t="n"/>
      <c r="AJ302" s="27">
        <f>SUM(AH302:AI302)</f>
        <v/>
      </c>
      <c r="AK302" s="28" t="n"/>
      <c r="AL302" s="28" t="n"/>
      <c r="AM302" s="29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1" t="n"/>
      <c r="AO302" s="21" t="n"/>
      <c r="AP302" s="27">
        <f>SUM(AN302:AO302)</f>
        <v/>
      </c>
      <c r="AQ302" s="28" t="n"/>
      <c r="AR302" s="30" t="n"/>
      <c r="AS302" s="29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1" t="n"/>
      <c r="AU302" s="21" t="n"/>
      <c r="AV302" s="27">
        <f>SUM(AT302:AU302)</f>
        <v/>
      </c>
      <c r="AW302" s="28" t="n"/>
      <c r="AX302" s="30" t="n"/>
      <c r="AY302" s="29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1" t="n"/>
      <c r="BA302" s="21" t="n"/>
      <c r="BB302" s="27">
        <f>SUM(AZ302:BA302)</f>
        <v/>
      </c>
      <c r="BC302" s="28" t="n"/>
      <c r="BD302" s="28" t="n"/>
      <c r="BE302" s="29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1" t="n"/>
      <c r="BG302" s="21" t="n"/>
      <c r="BH302" s="27">
        <f>SUM(BF302:BG302)</f>
        <v/>
      </c>
      <c r="BI302" s="28" t="n"/>
      <c r="BJ302" s="28" t="n"/>
      <c r="BK302" s="29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1" t="n"/>
      <c r="BM302" s="21" t="n"/>
      <c r="BN302" s="27">
        <f>SUM(BL302:BM302)</f>
        <v/>
      </c>
      <c r="BO302" s="28" t="n"/>
      <c r="BP302" s="31" t="n"/>
      <c r="BQ302" s="29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1" t="n"/>
      <c r="BS302" s="21" t="n"/>
      <c r="BT302" s="27">
        <f>SUM(BR302:BS302)</f>
        <v/>
      </c>
      <c r="BU302" s="28" t="n"/>
      <c r="BV302" s="31" t="n"/>
      <c r="BW302" s="29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1" t="n"/>
      <c r="BY302" s="21" t="n"/>
      <c r="BZ302" s="27">
        <f>SUM(BX302:BY302)</f>
        <v/>
      </c>
      <c r="CA302" s="28" t="n"/>
      <c r="CB302" s="31" t="n"/>
      <c r="CC302" s="29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1" t="n"/>
      <c r="CE302" s="21" t="n"/>
      <c r="CF302" s="27">
        <f>SUM(CD302:CE302)</f>
        <v/>
      </c>
      <c r="CG302" s="28" t="n"/>
      <c r="CH302" s="31" t="n"/>
      <c r="CI302" s="29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1" t="n"/>
      <c r="CK302" s="21" t="n"/>
      <c r="CL302" s="27">
        <f>SUM(CJ302:CK302)</f>
        <v/>
      </c>
      <c r="CM302" s="28" t="n"/>
      <c r="CN302" s="31" t="n"/>
      <c r="CO302" s="29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1" t="n"/>
      <c r="CQ302" s="21" t="n"/>
      <c r="CR302" s="27">
        <f>SUM(CP302:CQ302)</f>
        <v/>
      </c>
      <c r="CS302" s="28" t="n"/>
      <c r="CT302" s="31" t="n"/>
      <c r="CU302" s="29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1" t="n"/>
      <c r="CW302" s="21" t="n"/>
      <c r="CX302" s="27">
        <f>SUM(CV302:CW302)</f>
        <v/>
      </c>
      <c r="CY302" s="28" t="n"/>
      <c r="CZ302" s="31" t="n"/>
      <c r="DA302" s="29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1" t="n"/>
      <c r="DC302" s="21" t="n"/>
      <c r="DD302" s="27">
        <f>SUM(DB302:DC302)</f>
        <v/>
      </c>
      <c r="DE302" s="28" t="n"/>
      <c r="DF302" s="31" t="n"/>
      <c r="DG302" s="29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34">
        <f>SUM(O302,U302,AA302,AG302,AM302,AS302,AY302,BE302,BK302,BQ302,BW302,CC302,CI302,CO302,CU302,DA302,DG302)</f>
        <v/>
      </c>
      <c r="DI302" s="39">
        <f>RANK(DH302,DH$4:DH$503)</f>
        <v/>
      </c>
      <c r="DJ302" s="40" t="inlineStr">
        <is>
          <t>CHOOSE RATING</t>
        </is>
      </c>
      <c r="DK302" s="40" t="inlineStr">
        <is>
          <t>CHOOSE RATING</t>
        </is>
      </c>
      <c r="DL302" s="40" t="inlineStr">
        <is>
          <t>CHOOSE RATING</t>
        </is>
      </c>
      <c r="DM302" s="40" t="inlineStr">
        <is>
          <t>CHOOSE RATING</t>
        </is>
      </c>
      <c r="DN302" s="40" t="inlineStr">
        <is>
          <t>CHOOSE RATING</t>
        </is>
      </c>
      <c r="DO302" s="40" t="inlineStr">
        <is>
          <t>CHOOSE RATING</t>
        </is>
      </c>
      <c r="DP302" s="40" t="inlineStr">
        <is>
          <t>CHOOSE RATING</t>
        </is>
      </c>
      <c r="DQ302" s="40" t="inlineStr">
        <is>
          <t>CHOOSE RATING</t>
        </is>
      </c>
      <c r="DR302" s="43" t="inlineStr">
        <is>
          <t>2024/2025</t>
        </is>
      </c>
      <c r="DS302" s="45" t="inlineStr">
        <is>
          <t>THIRD</t>
        </is>
      </c>
      <c r="DT302" s="40" t="inlineStr">
        <is>
          <t>CHOOSE RATING</t>
        </is>
      </c>
      <c r="DU302" s="40" t="inlineStr">
        <is>
          <t>CHOOSE RATING</t>
        </is>
      </c>
      <c r="DV302" s="40" t="inlineStr">
        <is>
          <t>CHOOSE RATING</t>
        </is>
      </c>
      <c r="DW302" s="40" t="inlineStr">
        <is>
          <t>CHOOSE RATING</t>
        </is>
      </c>
      <c r="DX302" s="40" t="inlineStr">
        <is>
          <t>CHOOSE RATING</t>
        </is>
      </c>
      <c r="DY302" s="40" t="inlineStr">
        <is>
          <t>CHOOSE RATING</t>
        </is>
      </c>
      <c r="DZ302" s="53" t="inlineStr">
        <is>
          <t>CHOOSE RATING</t>
        </is>
      </c>
      <c r="EA302" s="54" t="inlineStr">
        <is>
          <t>Add the Tutor's Comment . . .</t>
        </is>
      </c>
      <c r="EB302" s="55" t="inlineStr">
        <is>
          <t>Choose Principals comment</t>
        </is>
      </c>
      <c r="EC302" s="56" t="n"/>
      <c r="ED302" s="57" t="inlineStr">
        <is>
          <t>Next Term Begins on Monday, 22nd September, 2025</t>
        </is>
      </c>
    </row>
    <row r="303" ht="30.6" customHeight="1" s="6">
      <c r="A303" s="18" t="n">
        <v>300</v>
      </c>
      <c r="B303" s="19" t="n"/>
      <c r="C303" s="20" t="n"/>
      <c r="D303" s="128" t="n"/>
      <c r="E303" s="21" t="n"/>
      <c r="F303" s="22" t="n"/>
      <c r="G303" s="22" t="n"/>
      <c r="H303" s="22" t="n"/>
      <c r="I303" s="26">
        <f>G303-H303</f>
        <v/>
      </c>
      <c r="J303" s="21" t="n"/>
      <c r="K303" s="21" t="n"/>
      <c r="L303" s="27">
        <f>SUM(J303:K303)</f>
        <v/>
      </c>
      <c r="M303" s="28" t="n"/>
      <c r="N303" s="28" t="n"/>
      <c r="O303" s="29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1" t="n"/>
      <c r="Q303" s="21" t="n"/>
      <c r="R303" s="27">
        <f>SUM(P303:Q303)</f>
        <v/>
      </c>
      <c r="S303" s="28" t="n"/>
      <c r="T303" s="28" t="n"/>
      <c r="U303" s="29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1" t="n"/>
      <c r="W303" s="21" t="n"/>
      <c r="X303" s="27">
        <f>SUM(V303:W303)</f>
        <v/>
      </c>
      <c r="Y303" s="28" t="n"/>
      <c r="Z303" s="28" t="n"/>
      <c r="AA303" s="29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1" t="n"/>
      <c r="AC303" s="21" t="n"/>
      <c r="AD303" s="27">
        <f>SUM(AB303:AC303)</f>
        <v/>
      </c>
      <c r="AE303" s="28" t="n"/>
      <c r="AF303" s="28" t="n"/>
      <c r="AG303" s="29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1" t="n"/>
      <c r="AI303" s="21" t="n"/>
      <c r="AJ303" s="27">
        <f>SUM(AH303:AI303)</f>
        <v/>
      </c>
      <c r="AK303" s="28" t="n"/>
      <c r="AL303" s="28" t="n"/>
      <c r="AM303" s="29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1" t="n"/>
      <c r="AO303" s="21" t="n"/>
      <c r="AP303" s="27">
        <f>SUM(AN303:AO303)</f>
        <v/>
      </c>
      <c r="AQ303" s="28" t="n"/>
      <c r="AR303" s="30" t="n"/>
      <c r="AS303" s="29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1" t="n"/>
      <c r="AU303" s="21" t="n"/>
      <c r="AV303" s="27">
        <f>SUM(AT303:AU303)</f>
        <v/>
      </c>
      <c r="AW303" s="28" t="n"/>
      <c r="AX303" s="30" t="n"/>
      <c r="AY303" s="29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1" t="n"/>
      <c r="BA303" s="21" t="n"/>
      <c r="BB303" s="27">
        <f>SUM(AZ303:BA303)</f>
        <v/>
      </c>
      <c r="BC303" s="28" t="n"/>
      <c r="BD303" s="28" t="n"/>
      <c r="BE303" s="29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1" t="n"/>
      <c r="BG303" s="21" t="n"/>
      <c r="BH303" s="27">
        <f>SUM(BF303:BG303)</f>
        <v/>
      </c>
      <c r="BI303" s="28" t="n"/>
      <c r="BJ303" s="28" t="n"/>
      <c r="BK303" s="29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1" t="n"/>
      <c r="BM303" s="21" t="n"/>
      <c r="BN303" s="27">
        <f>SUM(BL303:BM303)</f>
        <v/>
      </c>
      <c r="BO303" s="28" t="n"/>
      <c r="BP303" s="31" t="n"/>
      <c r="BQ303" s="29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1" t="n"/>
      <c r="BS303" s="21" t="n"/>
      <c r="BT303" s="27">
        <f>SUM(BR303:BS303)</f>
        <v/>
      </c>
      <c r="BU303" s="28" t="n"/>
      <c r="BV303" s="31" t="n"/>
      <c r="BW303" s="29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1" t="n"/>
      <c r="BY303" s="21" t="n"/>
      <c r="BZ303" s="27">
        <f>SUM(BX303:BY303)</f>
        <v/>
      </c>
      <c r="CA303" s="28" t="n"/>
      <c r="CB303" s="31" t="n"/>
      <c r="CC303" s="29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1" t="n"/>
      <c r="CE303" s="21" t="n"/>
      <c r="CF303" s="27">
        <f>SUM(CD303:CE303)</f>
        <v/>
      </c>
      <c r="CG303" s="28" t="n"/>
      <c r="CH303" s="31" t="n"/>
      <c r="CI303" s="29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1" t="n"/>
      <c r="CK303" s="21" t="n"/>
      <c r="CL303" s="27">
        <f>SUM(CJ303:CK303)</f>
        <v/>
      </c>
      <c r="CM303" s="28" t="n"/>
      <c r="CN303" s="31" t="n"/>
      <c r="CO303" s="29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1" t="n"/>
      <c r="CQ303" s="21" t="n"/>
      <c r="CR303" s="27">
        <f>SUM(CP303:CQ303)</f>
        <v/>
      </c>
      <c r="CS303" s="28" t="n"/>
      <c r="CT303" s="31" t="n"/>
      <c r="CU303" s="29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1" t="n"/>
      <c r="CW303" s="21" t="n"/>
      <c r="CX303" s="27">
        <f>SUM(CV303:CW303)</f>
        <v/>
      </c>
      <c r="CY303" s="28" t="n"/>
      <c r="CZ303" s="31" t="n"/>
      <c r="DA303" s="29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1" t="n"/>
      <c r="DC303" s="21" t="n"/>
      <c r="DD303" s="27">
        <f>SUM(DB303:DC303)</f>
        <v/>
      </c>
      <c r="DE303" s="28" t="n"/>
      <c r="DF303" s="31" t="n"/>
      <c r="DG303" s="29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34">
        <f>SUM(O303,U303,AA303,AG303,AM303,AS303,AY303,BE303,BK303,BQ303,BW303,CC303,CI303,CO303,CU303,DA303,DG303)</f>
        <v/>
      </c>
      <c r="DI303" s="39">
        <f>RANK(DH303,DH$4:DH$503)</f>
        <v/>
      </c>
      <c r="DJ303" s="40" t="inlineStr">
        <is>
          <t>CHOOSE RATING</t>
        </is>
      </c>
      <c r="DK303" s="40" t="inlineStr">
        <is>
          <t>CHOOSE RATING</t>
        </is>
      </c>
      <c r="DL303" s="40" t="inlineStr">
        <is>
          <t>CHOOSE RATING</t>
        </is>
      </c>
      <c r="DM303" s="40" t="inlineStr">
        <is>
          <t>CHOOSE RATING</t>
        </is>
      </c>
      <c r="DN303" s="40" t="inlineStr">
        <is>
          <t>CHOOSE RATING</t>
        </is>
      </c>
      <c r="DO303" s="40" t="inlineStr">
        <is>
          <t>CHOOSE RATING</t>
        </is>
      </c>
      <c r="DP303" s="40" t="inlineStr">
        <is>
          <t>CHOOSE RATING</t>
        </is>
      </c>
      <c r="DQ303" s="40" t="inlineStr">
        <is>
          <t>CHOOSE RATING</t>
        </is>
      </c>
      <c r="DR303" s="43" t="inlineStr">
        <is>
          <t>2024/2025</t>
        </is>
      </c>
      <c r="DS303" s="45" t="inlineStr">
        <is>
          <t>THIRD</t>
        </is>
      </c>
      <c r="DT303" s="40" t="inlineStr">
        <is>
          <t>CHOOSE RATING</t>
        </is>
      </c>
      <c r="DU303" s="40" t="inlineStr">
        <is>
          <t>CHOOSE RATING</t>
        </is>
      </c>
      <c r="DV303" s="40" t="inlineStr">
        <is>
          <t>CHOOSE RATING</t>
        </is>
      </c>
      <c r="DW303" s="40" t="inlineStr">
        <is>
          <t>CHOOSE RATING</t>
        </is>
      </c>
      <c r="DX303" s="40" t="inlineStr">
        <is>
          <t>CHOOSE RATING</t>
        </is>
      </c>
      <c r="DY303" s="40" t="inlineStr">
        <is>
          <t>CHOOSE RATING</t>
        </is>
      </c>
      <c r="DZ303" s="53" t="inlineStr">
        <is>
          <t>CHOOSE RATING</t>
        </is>
      </c>
      <c r="EA303" s="54" t="inlineStr">
        <is>
          <t>Add the Tutor's Comment . . .</t>
        </is>
      </c>
      <c r="EB303" s="55" t="inlineStr">
        <is>
          <t>Choose Principals comment</t>
        </is>
      </c>
      <c r="EC303" s="56" t="n"/>
      <c r="ED303" s="57" t="inlineStr">
        <is>
          <t>Next Term Begins on Monday, 22nd September, 2025</t>
        </is>
      </c>
    </row>
    <row r="304" ht="30.6" customHeight="1" s="6">
      <c r="A304" s="18" t="n">
        <v>301</v>
      </c>
      <c r="B304" s="19" t="n"/>
      <c r="C304" s="20" t="n"/>
      <c r="D304" s="128" t="n"/>
      <c r="E304" s="21" t="n"/>
      <c r="F304" s="22" t="n"/>
      <c r="G304" s="22" t="n"/>
      <c r="H304" s="22" t="n"/>
      <c r="I304" s="26">
        <f>G304-H304</f>
        <v/>
      </c>
      <c r="J304" s="21" t="n"/>
      <c r="K304" s="21" t="n"/>
      <c r="L304" s="27">
        <f>SUM(J304:K304)</f>
        <v/>
      </c>
      <c r="M304" s="28" t="n"/>
      <c r="N304" s="28" t="n"/>
      <c r="O304" s="29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1" t="n"/>
      <c r="Q304" s="21" t="n"/>
      <c r="R304" s="27">
        <f>SUM(P304:Q304)</f>
        <v/>
      </c>
      <c r="S304" s="28" t="n"/>
      <c r="T304" s="28" t="n"/>
      <c r="U304" s="29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1" t="n"/>
      <c r="W304" s="21" t="n"/>
      <c r="X304" s="27">
        <f>SUM(V304:W304)</f>
        <v/>
      </c>
      <c r="Y304" s="28" t="n"/>
      <c r="Z304" s="28" t="n"/>
      <c r="AA304" s="29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1" t="n"/>
      <c r="AC304" s="21" t="n"/>
      <c r="AD304" s="27">
        <f>SUM(AB304:AC304)</f>
        <v/>
      </c>
      <c r="AE304" s="28" t="n"/>
      <c r="AF304" s="28" t="n"/>
      <c r="AG304" s="29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1" t="n"/>
      <c r="AI304" s="21" t="n"/>
      <c r="AJ304" s="27">
        <f>SUM(AH304:AI304)</f>
        <v/>
      </c>
      <c r="AK304" s="28" t="n"/>
      <c r="AL304" s="28" t="n"/>
      <c r="AM304" s="29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1" t="n"/>
      <c r="AO304" s="21" t="n"/>
      <c r="AP304" s="27">
        <f>SUM(AN304:AO304)</f>
        <v/>
      </c>
      <c r="AQ304" s="28" t="n"/>
      <c r="AR304" s="30" t="n"/>
      <c r="AS304" s="29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1" t="n"/>
      <c r="AU304" s="21" t="n"/>
      <c r="AV304" s="27">
        <f>SUM(AT304:AU304)</f>
        <v/>
      </c>
      <c r="AW304" s="28" t="n"/>
      <c r="AX304" s="30" t="n"/>
      <c r="AY304" s="29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1" t="n"/>
      <c r="BA304" s="21" t="n"/>
      <c r="BB304" s="27">
        <f>SUM(AZ304:BA304)</f>
        <v/>
      </c>
      <c r="BC304" s="28" t="n"/>
      <c r="BD304" s="28" t="n"/>
      <c r="BE304" s="29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1" t="n"/>
      <c r="BG304" s="21" t="n"/>
      <c r="BH304" s="27">
        <f>SUM(BF304:BG304)</f>
        <v/>
      </c>
      <c r="BI304" s="28" t="n"/>
      <c r="BJ304" s="28" t="n"/>
      <c r="BK304" s="29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1" t="n"/>
      <c r="BM304" s="21" t="n"/>
      <c r="BN304" s="27">
        <f>SUM(BL304:BM304)</f>
        <v/>
      </c>
      <c r="BO304" s="28" t="n"/>
      <c r="BP304" s="31" t="n"/>
      <c r="BQ304" s="29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1" t="n"/>
      <c r="BS304" s="21" t="n"/>
      <c r="BT304" s="27">
        <f>SUM(BR304:BS304)</f>
        <v/>
      </c>
      <c r="BU304" s="28" t="n"/>
      <c r="BV304" s="31" t="n"/>
      <c r="BW304" s="29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1" t="n"/>
      <c r="BY304" s="21" t="n"/>
      <c r="BZ304" s="27">
        <f>SUM(BX304:BY304)</f>
        <v/>
      </c>
      <c r="CA304" s="28" t="n"/>
      <c r="CB304" s="31" t="n"/>
      <c r="CC304" s="29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1" t="n"/>
      <c r="CE304" s="21" t="n"/>
      <c r="CF304" s="27">
        <f>SUM(CD304:CE304)</f>
        <v/>
      </c>
      <c r="CG304" s="28" t="n"/>
      <c r="CH304" s="31" t="n"/>
      <c r="CI304" s="29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1" t="n"/>
      <c r="CK304" s="21" t="n"/>
      <c r="CL304" s="27">
        <f>SUM(CJ304:CK304)</f>
        <v/>
      </c>
      <c r="CM304" s="28" t="n"/>
      <c r="CN304" s="31" t="n"/>
      <c r="CO304" s="29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1" t="n"/>
      <c r="CQ304" s="21" t="n"/>
      <c r="CR304" s="27">
        <f>SUM(CP304:CQ304)</f>
        <v/>
      </c>
      <c r="CS304" s="28" t="n"/>
      <c r="CT304" s="31" t="n"/>
      <c r="CU304" s="29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1" t="n"/>
      <c r="CW304" s="21" t="n"/>
      <c r="CX304" s="27">
        <f>SUM(CV304:CW304)</f>
        <v/>
      </c>
      <c r="CY304" s="28" t="n"/>
      <c r="CZ304" s="31" t="n"/>
      <c r="DA304" s="29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1" t="n"/>
      <c r="DC304" s="21" t="n"/>
      <c r="DD304" s="27">
        <f>SUM(DB304:DC304)</f>
        <v/>
      </c>
      <c r="DE304" s="28" t="n"/>
      <c r="DF304" s="31" t="n"/>
      <c r="DG304" s="29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34">
        <f>SUM(O304,U304,AA304,AG304,AM304,AS304,AY304,BE304,BK304,BQ304,BW304,CC304,CI304,CO304,CU304,DA304,DG304)</f>
        <v/>
      </c>
      <c r="DI304" s="39">
        <f>RANK(DH304,DH$4:DH$503)</f>
        <v/>
      </c>
      <c r="DJ304" s="40" t="inlineStr">
        <is>
          <t>CHOOSE RATING</t>
        </is>
      </c>
      <c r="DK304" s="40" t="inlineStr">
        <is>
          <t>CHOOSE RATING</t>
        </is>
      </c>
      <c r="DL304" s="40" t="inlineStr">
        <is>
          <t>CHOOSE RATING</t>
        </is>
      </c>
      <c r="DM304" s="40" t="inlineStr">
        <is>
          <t>CHOOSE RATING</t>
        </is>
      </c>
      <c r="DN304" s="40" t="inlineStr">
        <is>
          <t>CHOOSE RATING</t>
        </is>
      </c>
      <c r="DO304" s="40" t="inlineStr">
        <is>
          <t>CHOOSE RATING</t>
        </is>
      </c>
      <c r="DP304" s="40" t="inlineStr">
        <is>
          <t>CHOOSE RATING</t>
        </is>
      </c>
      <c r="DQ304" s="40" t="inlineStr">
        <is>
          <t>CHOOSE RATING</t>
        </is>
      </c>
      <c r="DR304" s="43" t="inlineStr">
        <is>
          <t>2024/2025</t>
        </is>
      </c>
      <c r="DS304" s="45" t="inlineStr">
        <is>
          <t>THIRD</t>
        </is>
      </c>
      <c r="DT304" s="40" t="inlineStr">
        <is>
          <t>CHOOSE RATING</t>
        </is>
      </c>
      <c r="DU304" s="40" t="inlineStr">
        <is>
          <t>CHOOSE RATING</t>
        </is>
      </c>
      <c r="DV304" s="40" t="inlineStr">
        <is>
          <t>CHOOSE RATING</t>
        </is>
      </c>
      <c r="DW304" s="40" t="inlineStr">
        <is>
          <t>CHOOSE RATING</t>
        </is>
      </c>
      <c r="DX304" s="40" t="inlineStr">
        <is>
          <t>CHOOSE RATING</t>
        </is>
      </c>
      <c r="DY304" s="40" t="inlineStr">
        <is>
          <t>CHOOSE RATING</t>
        </is>
      </c>
      <c r="DZ304" s="53" t="inlineStr">
        <is>
          <t>CHOOSE RATING</t>
        </is>
      </c>
      <c r="EA304" s="54" t="inlineStr">
        <is>
          <t>Add the Tutor's Comment . . .</t>
        </is>
      </c>
      <c r="EB304" s="55" t="inlineStr">
        <is>
          <t>Choose Principals comment</t>
        </is>
      </c>
      <c r="EC304" s="56" t="n"/>
      <c r="ED304" s="57" t="inlineStr">
        <is>
          <t>Next Term Begins on Monday, 22nd September, 2025</t>
        </is>
      </c>
    </row>
    <row r="305" ht="30.6" customHeight="1" s="6">
      <c r="A305" s="18" t="n">
        <v>302</v>
      </c>
      <c r="B305" s="19" t="n"/>
      <c r="C305" s="20" t="n"/>
      <c r="D305" s="128" t="n"/>
      <c r="E305" s="21" t="n"/>
      <c r="F305" s="22" t="n"/>
      <c r="G305" s="22" t="n"/>
      <c r="H305" s="22" t="n"/>
      <c r="I305" s="26">
        <f>G305-H305</f>
        <v/>
      </c>
      <c r="J305" s="21" t="n"/>
      <c r="K305" s="21" t="n"/>
      <c r="L305" s="27">
        <f>SUM(J305:K305)</f>
        <v/>
      </c>
      <c r="M305" s="28" t="n"/>
      <c r="N305" s="28" t="n"/>
      <c r="O305" s="29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1" t="n"/>
      <c r="Q305" s="21" t="n"/>
      <c r="R305" s="27">
        <f>SUM(P305:Q305)</f>
        <v/>
      </c>
      <c r="S305" s="28" t="n"/>
      <c r="T305" s="28" t="n"/>
      <c r="U305" s="29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1" t="n"/>
      <c r="W305" s="21" t="n"/>
      <c r="X305" s="27">
        <f>SUM(V305:W305)</f>
        <v/>
      </c>
      <c r="Y305" s="28" t="n"/>
      <c r="Z305" s="28" t="n"/>
      <c r="AA305" s="29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1" t="n"/>
      <c r="AC305" s="21" t="n"/>
      <c r="AD305" s="27">
        <f>SUM(AB305:AC305)</f>
        <v/>
      </c>
      <c r="AE305" s="28" t="n"/>
      <c r="AF305" s="28" t="n"/>
      <c r="AG305" s="29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1" t="n"/>
      <c r="AI305" s="21" t="n"/>
      <c r="AJ305" s="27">
        <f>SUM(AH305:AI305)</f>
        <v/>
      </c>
      <c r="AK305" s="28" t="n"/>
      <c r="AL305" s="28" t="n"/>
      <c r="AM305" s="29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1" t="n"/>
      <c r="AO305" s="21" t="n"/>
      <c r="AP305" s="27">
        <f>SUM(AN305:AO305)</f>
        <v/>
      </c>
      <c r="AQ305" s="28" t="n"/>
      <c r="AR305" s="30" t="n"/>
      <c r="AS305" s="29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1" t="n"/>
      <c r="AU305" s="21" t="n"/>
      <c r="AV305" s="27">
        <f>SUM(AT305:AU305)</f>
        <v/>
      </c>
      <c r="AW305" s="28" t="n"/>
      <c r="AX305" s="30" t="n"/>
      <c r="AY305" s="29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1" t="n"/>
      <c r="BA305" s="21" t="n"/>
      <c r="BB305" s="27">
        <f>SUM(AZ305:BA305)</f>
        <v/>
      </c>
      <c r="BC305" s="28" t="n"/>
      <c r="BD305" s="28" t="n"/>
      <c r="BE305" s="29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1" t="n"/>
      <c r="BG305" s="21" t="n"/>
      <c r="BH305" s="27">
        <f>SUM(BF305:BG305)</f>
        <v/>
      </c>
      <c r="BI305" s="28" t="n"/>
      <c r="BJ305" s="28" t="n"/>
      <c r="BK305" s="29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1" t="n"/>
      <c r="BM305" s="21" t="n"/>
      <c r="BN305" s="27">
        <f>SUM(BL305:BM305)</f>
        <v/>
      </c>
      <c r="BO305" s="28" t="n"/>
      <c r="BP305" s="31" t="n"/>
      <c r="BQ305" s="29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1" t="n"/>
      <c r="BS305" s="21" t="n"/>
      <c r="BT305" s="27">
        <f>SUM(BR305:BS305)</f>
        <v/>
      </c>
      <c r="BU305" s="28" t="n"/>
      <c r="BV305" s="31" t="n"/>
      <c r="BW305" s="29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1" t="n"/>
      <c r="BY305" s="21" t="n"/>
      <c r="BZ305" s="27">
        <f>SUM(BX305:BY305)</f>
        <v/>
      </c>
      <c r="CA305" s="28" t="n"/>
      <c r="CB305" s="31" t="n"/>
      <c r="CC305" s="29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1" t="n"/>
      <c r="CE305" s="21" t="n"/>
      <c r="CF305" s="27">
        <f>SUM(CD305:CE305)</f>
        <v/>
      </c>
      <c r="CG305" s="28" t="n"/>
      <c r="CH305" s="31" t="n"/>
      <c r="CI305" s="29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1" t="n"/>
      <c r="CK305" s="21" t="n"/>
      <c r="CL305" s="27">
        <f>SUM(CJ305:CK305)</f>
        <v/>
      </c>
      <c r="CM305" s="28" t="n"/>
      <c r="CN305" s="31" t="n"/>
      <c r="CO305" s="29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1" t="n"/>
      <c r="CQ305" s="21" t="n"/>
      <c r="CR305" s="27">
        <f>SUM(CP305:CQ305)</f>
        <v/>
      </c>
      <c r="CS305" s="28" t="n"/>
      <c r="CT305" s="31" t="n"/>
      <c r="CU305" s="29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1" t="n"/>
      <c r="CW305" s="21" t="n"/>
      <c r="CX305" s="27">
        <f>SUM(CV305:CW305)</f>
        <v/>
      </c>
      <c r="CY305" s="28" t="n"/>
      <c r="CZ305" s="31" t="n"/>
      <c r="DA305" s="29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1" t="n"/>
      <c r="DC305" s="21" t="n"/>
      <c r="DD305" s="27">
        <f>SUM(DB305:DC305)</f>
        <v/>
      </c>
      <c r="DE305" s="28" t="n"/>
      <c r="DF305" s="31" t="n"/>
      <c r="DG305" s="29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34">
        <f>SUM(O305,U305,AA305,AG305,AM305,AS305,AY305,BE305,BK305,BQ305,BW305,CC305,CI305,CO305,CU305,DA305,DG305)</f>
        <v/>
      </c>
      <c r="DI305" s="39">
        <f>RANK(DH305,DH$4:DH$503)</f>
        <v/>
      </c>
      <c r="DJ305" s="40" t="inlineStr">
        <is>
          <t>CHOOSE RATING</t>
        </is>
      </c>
      <c r="DK305" s="40" t="inlineStr">
        <is>
          <t>CHOOSE RATING</t>
        </is>
      </c>
      <c r="DL305" s="40" t="inlineStr">
        <is>
          <t>CHOOSE RATING</t>
        </is>
      </c>
      <c r="DM305" s="40" t="inlineStr">
        <is>
          <t>CHOOSE RATING</t>
        </is>
      </c>
      <c r="DN305" s="40" t="inlineStr">
        <is>
          <t>CHOOSE RATING</t>
        </is>
      </c>
      <c r="DO305" s="40" t="inlineStr">
        <is>
          <t>CHOOSE RATING</t>
        </is>
      </c>
      <c r="DP305" s="40" t="inlineStr">
        <is>
          <t>CHOOSE RATING</t>
        </is>
      </c>
      <c r="DQ305" s="40" t="inlineStr">
        <is>
          <t>CHOOSE RATING</t>
        </is>
      </c>
      <c r="DR305" s="43" t="inlineStr">
        <is>
          <t>2024/2025</t>
        </is>
      </c>
      <c r="DS305" s="45" t="inlineStr">
        <is>
          <t>THIRD</t>
        </is>
      </c>
      <c r="DT305" s="40" t="inlineStr">
        <is>
          <t>CHOOSE RATING</t>
        </is>
      </c>
      <c r="DU305" s="40" t="inlineStr">
        <is>
          <t>CHOOSE RATING</t>
        </is>
      </c>
      <c r="DV305" s="40" t="inlineStr">
        <is>
          <t>CHOOSE RATING</t>
        </is>
      </c>
      <c r="DW305" s="40" t="inlineStr">
        <is>
          <t>CHOOSE RATING</t>
        </is>
      </c>
      <c r="DX305" s="40" t="inlineStr">
        <is>
          <t>CHOOSE RATING</t>
        </is>
      </c>
      <c r="DY305" s="40" t="inlineStr">
        <is>
          <t>CHOOSE RATING</t>
        </is>
      </c>
      <c r="DZ305" s="53" t="inlineStr">
        <is>
          <t>CHOOSE RATING</t>
        </is>
      </c>
      <c r="EA305" s="54" t="inlineStr">
        <is>
          <t>Add the Tutor's Comment . . .</t>
        </is>
      </c>
      <c r="EB305" s="55" t="inlineStr">
        <is>
          <t>Choose Principals comment</t>
        </is>
      </c>
      <c r="EC305" s="56" t="n"/>
      <c r="ED305" s="57" t="inlineStr">
        <is>
          <t>Next Term Begins on Monday, 22nd September, 2025</t>
        </is>
      </c>
    </row>
    <row r="306" ht="30.6" customHeight="1" s="6">
      <c r="A306" s="18" t="n">
        <v>303</v>
      </c>
      <c r="B306" s="19" t="n"/>
      <c r="C306" s="20" t="n"/>
      <c r="D306" s="128" t="n"/>
      <c r="E306" s="21" t="n"/>
      <c r="F306" s="22" t="n"/>
      <c r="G306" s="22" t="n"/>
      <c r="H306" s="22" t="n"/>
      <c r="I306" s="26">
        <f>G306-H306</f>
        <v/>
      </c>
      <c r="J306" s="21" t="n"/>
      <c r="K306" s="21" t="n"/>
      <c r="L306" s="27">
        <f>SUM(J306:K306)</f>
        <v/>
      </c>
      <c r="M306" s="28" t="n"/>
      <c r="N306" s="28" t="n"/>
      <c r="O306" s="29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1" t="n"/>
      <c r="Q306" s="21" t="n"/>
      <c r="R306" s="27">
        <f>SUM(P306:Q306)</f>
        <v/>
      </c>
      <c r="S306" s="28" t="n"/>
      <c r="T306" s="28" t="n"/>
      <c r="U306" s="29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1" t="n"/>
      <c r="W306" s="21" t="n"/>
      <c r="X306" s="27">
        <f>SUM(V306:W306)</f>
        <v/>
      </c>
      <c r="Y306" s="28" t="n"/>
      <c r="Z306" s="28" t="n"/>
      <c r="AA306" s="29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1" t="n"/>
      <c r="AC306" s="21" t="n"/>
      <c r="AD306" s="27">
        <f>SUM(AB306:AC306)</f>
        <v/>
      </c>
      <c r="AE306" s="28" t="n"/>
      <c r="AF306" s="28" t="n"/>
      <c r="AG306" s="29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1" t="n"/>
      <c r="AI306" s="21" t="n"/>
      <c r="AJ306" s="27">
        <f>SUM(AH306:AI306)</f>
        <v/>
      </c>
      <c r="AK306" s="28" t="n"/>
      <c r="AL306" s="28" t="n"/>
      <c r="AM306" s="29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1" t="n"/>
      <c r="AO306" s="21" t="n"/>
      <c r="AP306" s="27">
        <f>SUM(AN306:AO306)</f>
        <v/>
      </c>
      <c r="AQ306" s="28" t="n"/>
      <c r="AR306" s="30" t="n"/>
      <c r="AS306" s="29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1" t="n"/>
      <c r="AU306" s="21" t="n"/>
      <c r="AV306" s="27">
        <f>SUM(AT306:AU306)</f>
        <v/>
      </c>
      <c r="AW306" s="28" t="n"/>
      <c r="AX306" s="30" t="n"/>
      <c r="AY306" s="29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1" t="n"/>
      <c r="BA306" s="21" t="n"/>
      <c r="BB306" s="27">
        <f>SUM(AZ306:BA306)</f>
        <v/>
      </c>
      <c r="BC306" s="28" t="n"/>
      <c r="BD306" s="28" t="n"/>
      <c r="BE306" s="29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1" t="n"/>
      <c r="BG306" s="21" t="n"/>
      <c r="BH306" s="27">
        <f>SUM(BF306:BG306)</f>
        <v/>
      </c>
      <c r="BI306" s="28" t="n"/>
      <c r="BJ306" s="28" t="n"/>
      <c r="BK306" s="29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1" t="n"/>
      <c r="BM306" s="21" t="n"/>
      <c r="BN306" s="27">
        <f>SUM(BL306:BM306)</f>
        <v/>
      </c>
      <c r="BO306" s="28" t="n"/>
      <c r="BP306" s="31" t="n"/>
      <c r="BQ306" s="29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1" t="n"/>
      <c r="BS306" s="21" t="n"/>
      <c r="BT306" s="27">
        <f>SUM(BR306:BS306)</f>
        <v/>
      </c>
      <c r="BU306" s="28" t="n"/>
      <c r="BV306" s="31" t="n"/>
      <c r="BW306" s="29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1" t="n"/>
      <c r="BY306" s="21" t="n"/>
      <c r="BZ306" s="27">
        <f>SUM(BX306:BY306)</f>
        <v/>
      </c>
      <c r="CA306" s="28" t="n"/>
      <c r="CB306" s="31" t="n"/>
      <c r="CC306" s="29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1" t="n"/>
      <c r="CE306" s="21" t="n"/>
      <c r="CF306" s="27">
        <f>SUM(CD306:CE306)</f>
        <v/>
      </c>
      <c r="CG306" s="28" t="n"/>
      <c r="CH306" s="31" t="n"/>
      <c r="CI306" s="29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1" t="n"/>
      <c r="CK306" s="21" t="n"/>
      <c r="CL306" s="27">
        <f>SUM(CJ306:CK306)</f>
        <v/>
      </c>
      <c r="CM306" s="28" t="n"/>
      <c r="CN306" s="31" t="n"/>
      <c r="CO306" s="29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1" t="n"/>
      <c r="CQ306" s="21" t="n"/>
      <c r="CR306" s="27">
        <f>SUM(CP306:CQ306)</f>
        <v/>
      </c>
      <c r="CS306" s="28" t="n"/>
      <c r="CT306" s="31" t="n"/>
      <c r="CU306" s="29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1" t="n"/>
      <c r="CW306" s="21" t="n"/>
      <c r="CX306" s="27">
        <f>SUM(CV306:CW306)</f>
        <v/>
      </c>
      <c r="CY306" s="28" t="n"/>
      <c r="CZ306" s="31" t="n"/>
      <c r="DA306" s="29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1" t="n"/>
      <c r="DC306" s="21" t="n"/>
      <c r="DD306" s="27">
        <f>SUM(DB306:DC306)</f>
        <v/>
      </c>
      <c r="DE306" s="28" t="n"/>
      <c r="DF306" s="31" t="n"/>
      <c r="DG306" s="29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34">
        <f>SUM(O306,U306,AA306,AG306,AM306,AS306,AY306,BE306,BK306,BQ306,BW306,CC306,CI306,CO306,CU306,DA306,DG306)</f>
        <v/>
      </c>
      <c r="DI306" s="39">
        <f>RANK(DH306,DH$4:DH$503)</f>
        <v/>
      </c>
      <c r="DJ306" s="40" t="inlineStr">
        <is>
          <t>CHOOSE RATING</t>
        </is>
      </c>
      <c r="DK306" s="40" t="inlineStr">
        <is>
          <t>CHOOSE RATING</t>
        </is>
      </c>
      <c r="DL306" s="40" t="inlineStr">
        <is>
          <t>CHOOSE RATING</t>
        </is>
      </c>
      <c r="DM306" s="40" t="inlineStr">
        <is>
          <t>CHOOSE RATING</t>
        </is>
      </c>
      <c r="DN306" s="40" t="inlineStr">
        <is>
          <t>CHOOSE RATING</t>
        </is>
      </c>
      <c r="DO306" s="40" t="inlineStr">
        <is>
          <t>CHOOSE RATING</t>
        </is>
      </c>
      <c r="DP306" s="40" t="inlineStr">
        <is>
          <t>CHOOSE RATING</t>
        </is>
      </c>
      <c r="DQ306" s="40" t="inlineStr">
        <is>
          <t>CHOOSE RATING</t>
        </is>
      </c>
      <c r="DR306" s="43" t="inlineStr">
        <is>
          <t>2024/2025</t>
        </is>
      </c>
      <c r="DS306" s="45" t="inlineStr">
        <is>
          <t>THIRD</t>
        </is>
      </c>
      <c r="DT306" s="40" t="inlineStr">
        <is>
          <t>CHOOSE RATING</t>
        </is>
      </c>
      <c r="DU306" s="40" t="inlineStr">
        <is>
          <t>CHOOSE RATING</t>
        </is>
      </c>
      <c r="DV306" s="40" t="inlineStr">
        <is>
          <t>CHOOSE RATING</t>
        </is>
      </c>
      <c r="DW306" s="40" t="inlineStr">
        <is>
          <t>CHOOSE RATING</t>
        </is>
      </c>
      <c r="DX306" s="40" t="inlineStr">
        <is>
          <t>CHOOSE RATING</t>
        </is>
      </c>
      <c r="DY306" s="40" t="inlineStr">
        <is>
          <t>CHOOSE RATING</t>
        </is>
      </c>
      <c r="DZ306" s="53" t="inlineStr">
        <is>
          <t>CHOOSE RATING</t>
        </is>
      </c>
      <c r="EA306" s="54" t="inlineStr">
        <is>
          <t>Add the Tutor's Comment . . .</t>
        </is>
      </c>
      <c r="EB306" s="55" t="inlineStr">
        <is>
          <t>Choose Principals comment</t>
        </is>
      </c>
      <c r="EC306" s="56" t="n"/>
      <c r="ED306" s="57" t="inlineStr">
        <is>
          <t>Next Term Begins on Monday, 22nd September, 2025</t>
        </is>
      </c>
    </row>
    <row r="307" ht="30.6" customHeight="1" s="6">
      <c r="A307" s="18" t="n">
        <v>304</v>
      </c>
      <c r="B307" s="19" t="n"/>
      <c r="C307" s="20" t="n"/>
      <c r="D307" s="128" t="n"/>
      <c r="E307" s="21" t="n"/>
      <c r="F307" s="22" t="n"/>
      <c r="G307" s="22" t="n"/>
      <c r="H307" s="22" t="n"/>
      <c r="I307" s="26">
        <f>G307-H307</f>
        <v/>
      </c>
      <c r="J307" s="21" t="n"/>
      <c r="K307" s="21" t="n"/>
      <c r="L307" s="27">
        <f>SUM(J307:K307)</f>
        <v/>
      </c>
      <c r="M307" s="28" t="n"/>
      <c r="N307" s="28" t="n"/>
      <c r="O307" s="29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1" t="n"/>
      <c r="Q307" s="21" t="n"/>
      <c r="R307" s="27">
        <f>SUM(P307:Q307)</f>
        <v/>
      </c>
      <c r="S307" s="28" t="n"/>
      <c r="T307" s="28" t="n"/>
      <c r="U307" s="29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1" t="n"/>
      <c r="W307" s="21" t="n"/>
      <c r="X307" s="27">
        <f>SUM(V307:W307)</f>
        <v/>
      </c>
      <c r="Y307" s="28" t="n"/>
      <c r="Z307" s="28" t="n"/>
      <c r="AA307" s="29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1" t="n"/>
      <c r="AC307" s="21" t="n"/>
      <c r="AD307" s="27">
        <f>SUM(AB307:AC307)</f>
        <v/>
      </c>
      <c r="AE307" s="28" t="n"/>
      <c r="AF307" s="28" t="n"/>
      <c r="AG307" s="29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1" t="n"/>
      <c r="AI307" s="21" t="n"/>
      <c r="AJ307" s="27">
        <f>SUM(AH307:AI307)</f>
        <v/>
      </c>
      <c r="AK307" s="28" t="n"/>
      <c r="AL307" s="28" t="n"/>
      <c r="AM307" s="29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1" t="n"/>
      <c r="AO307" s="21" t="n"/>
      <c r="AP307" s="27">
        <f>SUM(AN307:AO307)</f>
        <v/>
      </c>
      <c r="AQ307" s="28" t="n"/>
      <c r="AR307" s="30" t="n"/>
      <c r="AS307" s="29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1" t="n"/>
      <c r="AU307" s="21" t="n"/>
      <c r="AV307" s="27">
        <f>SUM(AT307:AU307)</f>
        <v/>
      </c>
      <c r="AW307" s="28" t="n"/>
      <c r="AX307" s="30" t="n"/>
      <c r="AY307" s="29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1" t="n"/>
      <c r="BA307" s="21" t="n"/>
      <c r="BB307" s="27">
        <f>SUM(AZ307:BA307)</f>
        <v/>
      </c>
      <c r="BC307" s="28" t="n"/>
      <c r="BD307" s="28" t="n"/>
      <c r="BE307" s="29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1" t="n"/>
      <c r="BG307" s="21" t="n"/>
      <c r="BH307" s="27">
        <f>SUM(BF307:BG307)</f>
        <v/>
      </c>
      <c r="BI307" s="28" t="n"/>
      <c r="BJ307" s="28" t="n"/>
      <c r="BK307" s="29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1" t="n"/>
      <c r="BM307" s="21" t="n"/>
      <c r="BN307" s="27">
        <f>SUM(BL307:BM307)</f>
        <v/>
      </c>
      <c r="BO307" s="28" t="n"/>
      <c r="BP307" s="31" t="n"/>
      <c r="BQ307" s="29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1" t="n"/>
      <c r="BS307" s="21" t="n"/>
      <c r="BT307" s="27">
        <f>SUM(BR307:BS307)</f>
        <v/>
      </c>
      <c r="BU307" s="28" t="n"/>
      <c r="BV307" s="31" t="n"/>
      <c r="BW307" s="29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1" t="n"/>
      <c r="BY307" s="21" t="n"/>
      <c r="BZ307" s="27">
        <f>SUM(BX307:BY307)</f>
        <v/>
      </c>
      <c r="CA307" s="28" t="n"/>
      <c r="CB307" s="31" t="n"/>
      <c r="CC307" s="29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1" t="n"/>
      <c r="CE307" s="21" t="n"/>
      <c r="CF307" s="27">
        <f>SUM(CD307:CE307)</f>
        <v/>
      </c>
      <c r="CG307" s="28" t="n"/>
      <c r="CH307" s="31" t="n"/>
      <c r="CI307" s="29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1" t="n"/>
      <c r="CK307" s="21" t="n"/>
      <c r="CL307" s="27">
        <f>SUM(CJ307:CK307)</f>
        <v/>
      </c>
      <c r="CM307" s="28" t="n"/>
      <c r="CN307" s="31" t="n"/>
      <c r="CO307" s="29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1" t="n"/>
      <c r="CQ307" s="21" t="n"/>
      <c r="CR307" s="27">
        <f>SUM(CP307:CQ307)</f>
        <v/>
      </c>
      <c r="CS307" s="28" t="n"/>
      <c r="CT307" s="31" t="n"/>
      <c r="CU307" s="29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1" t="n"/>
      <c r="CW307" s="21" t="n"/>
      <c r="CX307" s="27">
        <f>SUM(CV307:CW307)</f>
        <v/>
      </c>
      <c r="CY307" s="28" t="n"/>
      <c r="CZ307" s="31" t="n"/>
      <c r="DA307" s="29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1" t="n"/>
      <c r="DC307" s="21" t="n"/>
      <c r="DD307" s="27">
        <f>SUM(DB307:DC307)</f>
        <v/>
      </c>
      <c r="DE307" s="28" t="n"/>
      <c r="DF307" s="31" t="n"/>
      <c r="DG307" s="29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34">
        <f>SUM(O307,U307,AA307,AG307,AM307,AS307,AY307,BE307,BK307,BQ307,BW307,CC307,CI307,CO307,CU307,DA307,DG307)</f>
        <v/>
      </c>
      <c r="DI307" s="39">
        <f>RANK(DH307,DH$4:DH$503)</f>
        <v/>
      </c>
      <c r="DJ307" s="40" t="inlineStr">
        <is>
          <t>CHOOSE RATING</t>
        </is>
      </c>
      <c r="DK307" s="40" t="inlineStr">
        <is>
          <t>CHOOSE RATING</t>
        </is>
      </c>
      <c r="DL307" s="40" t="inlineStr">
        <is>
          <t>CHOOSE RATING</t>
        </is>
      </c>
      <c r="DM307" s="40" t="inlineStr">
        <is>
          <t>CHOOSE RATING</t>
        </is>
      </c>
      <c r="DN307" s="40" t="inlineStr">
        <is>
          <t>CHOOSE RATING</t>
        </is>
      </c>
      <c r="DO307" s="40" t="inlineStr">
        <is>
          <t>CHOOSE RATING</t>
        </is>
      </c>
      <c r="DP307" s="40" t="inlineStr">
        <is>
          <t>CHOOSE RATING</t>
        </is>
      </c>
      <c r="DQ307" s="40" t="inlineStr">
        <is>
          <t>CHOOSE RATING</t>
        </is>
      </c>
      <c r="DR307" s="43" t="inlineStr">
        <is>
          <t>2024/2025</t>
        </is>
      </c>
      <c r="DS307" s="45" t="inlineStr">
        <is>
          <t>THIRD</t>
        </is>
      </c>
      <c r="DT307" s="40" t="inlineStr">
        <is>
          <t>CHOOSE RATING</t>
        </is>
      </c>
      <c r="DU307" s="40" t="inlineStr">
        <is>
          <t>CHOOSE RATING</t>
        </is>
      </c>
      <c r="DV307" s="40" t="inlineStr">
        <is>
          <t>CHOOSE RATING</t>
        </is>
      </c>
      <c r="DW307" s="40" t="inlineStr">
        <is>
          <t>CHOOSE RATING</t>
        </is>
      </c>
      <c r="DX307" s="40" t="inlineStr">
        <is>
          <t>CHOOSE RATING</t>
        </is>
      </c>
      <c r="DY307" s="40" t="inlineStr">
        <is>
          <t>CHOOSE RATING</t>
        </is>
      </c>
      <c r="DZ307" s="53" t="inlineStr">
        <is>
          <t>CHOOSE RATING</t>
        </is>
      </c>
      <c r="EA307" s="54" t="inlineStr">
        <is>
          <t>Add the Tutor's Comment . . .</t>
        </is>
      </c>
      <c r="EB307" s="55" t="inlineStr">
        <is>
          <t>Choose Principals comment</t>
        </is>
      </c>
      <c r="EC307" s="56" t="n"/>
      <c r="ED307" s="57" t="inlineStr">
        <is>
          <t>Next Term Begins on Monday, 22nd September, 2025</t>
        </is>
      </c>
    </row>
    <row r="308" ht="30.6" customHeight="1" s="6">
      <c r="A308" s="18" t="n">
        <v>305</v>
      </c>
      <c r="B308" s="19" t="n"/>
      <c r="C308" s="20" t="n"/>
      <c r="D308" s="128" t="n"/>
      <c r="E308" s="21" t="n"/>
      <c r="F308" s="22" t="n"/>
      <c r="G308" s="22" t="n"/>
      <c r="H308" s="22" t="n"/>
      <c r="I308" s="26">
        <f>G308-H308</f>
        <v/>
      </c>
      <c r="J308" s="21" t="n"/>
      <c r="K308" s="21" t="n"/>
      <c r="L308" s="27">
        <f>SUM(J308:K308)</f>
        <v/>
      </c>
      <c r="M308" s="28" t="n"/>
      <c r="N308" s="28" t="n"/>
      <c r="O308" s="29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1" t="n"/>
      <c r="Q308" s="21" t="n"/>
      <c r="R308" s="27">
        <f>SUM(P308:Q308)</f>
        <v/>
      </c>
      <c r="S308" s="28" t="n"/>
      <c r="T308" s="28" t="n"/>
      <c r="U308" s="29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1" t="n"/>
      <c r="W308" s="21" t="n"/>
      <c r="X308" s="27">
        <f>SUM(V308:W308)</f>
        <v/>
      </c>
      <c r="Y308" s="28" t="n"/>
      <c r="Z308" s="28" t="n"/>
      <c r="AA308" s="29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1" t="n"/>
      <c r="AC308" s="21" t="n"/>
      <c r="AD308" s="27">
        <f>SUM(AB308:AC308)</f>
        <v/>
      </c>
      <c r="AE308" s="28" t="n"/>
      <c r="AF308" s="28" t="n"/>
      <c r="AG308" s="29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1" t="n"/>
      <c r="AI308" s="21" t="n"/>
      <c r="AJ308" s="27">
        <f>SUM(AH308:AI308)</f>
        <v/>
      </c>
      <c r="AK308" s="28" t="n"/>
      <c r="AL308" s="28" t="n"/>
      <c r="AM308" s="29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1" t="n"/>
      <c r="AO308" s="21" t="n"/>
      <c r="AP308" s="27">
        <f>SUM(AN308:AO308)</f>
        <v/>
      </c>
      <c r="AQ308" s="28" t="n"/>
      <c r="AR308" s="30" t="n"/>
      <c r="AS308" s="29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1" t="n"/>
      <c r="AU308" s="21" t="n"/>
      <c r="AV308" s="27">
        <f>SUM(AT308:AU308)</f>
        <v/>
      </c>
      <c r="AW308" s="28" t="n"/>
      <c r="AX308" s="30" t="n"/>
      <c r="AY308" s="29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1" t="n"/>
      <c r="BA308" s="21" t="n"/>
      <c r="BB308" s="27">
        <f>SUM(AZ308:BA308)</f>
        <v/>
      </c>
      <c r="BC308" s="28" t="n"/>
      <c r="BD308" s="28" t="n"/>
      <c r="BE308" s="29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1" t="n"/>
      <c r="BG308" s="21" t="n"/>
      <c r="BH308" s="27">
        <f>SUM(BF308:BG308)</f>
        <v/>
      </c>
      <c r="BI308" s="28" t="n"/>
      <c r="BJ308" s="28" t="n"/>
      <c r="BK308" s="29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1" t="n"/>
      <c r="BM308" s="21" t="n"/>
      <c r="BN308" s="27">
        <f>SUM(BL308:BM308)</f>
        <v/>
      </c>
      <c r="BO308" s="28" t="n"/>
      <c r="BP308" s="31" t="n"/>
      <c r="BQ308" s="29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1" t="n"/>
      <c r="BS308" s="21" t="n"/>
      <c r="BT308" s="27">
        <f>SUM(BR308:BS308)</f>
        <v/>
      </c>
      <c r="BU308" s="28" t="n"/>
      <c r="BV308" s="31" t="n"/>
      <c r="BW308" s="29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1" t="n"/>
      <c r="BY308" s="21" t="n"/>
      <c r="BZ308" s="27">
        <f>SUM(BX308:BY308)</f>
        <v/>
      </c>
      <c r="CA308" s="28" t="n"/>
      <c r="CB308" s="31" t="n"/>
      <c r="CC308" s="29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1" t="n"/>
      <c r="CE308" s="21" t="n"/>
      <c r="CF308" s="27">
        <f>SUM(CD308:CE308)</f>
        <v/>
      </c>
      <c r="CG308" s="28" t="n"/>
      <c r="CH308" s="31" t="n"/>
      <c r="CI308" s="29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1" t="n"/>
      <c r="CK308" s="21" t="n"/>
      <c r="CL308" s="27">
        <f>SUM(CJ308:CK308)</f>
        <v/>
      </c>
      <c r="CM308" s="28" t="n"/>
      <c r="CN308" s="31" t="n"/>
      <c r="CO308" s="29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1" t="n"/>
      <c r="CQ308" s="21" t="n"/>
      <c r="CR308" s="27">
        <f>SUM(CP308:CQ308)</f>
        <v/>
      </c>
      <c r="CS308" s="28" t="n"/>
      <c r="CT308" s="31" t="n"/>
      <c r="CU308" s="29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1" t="n"/>
      <c r="CW308" s="21" t="n"/>
      <c r="CX308" s="27">
        <f>SUM(CV308:CW308)</f>
        <v/>
      </c>
      <c r="CY308" s="28" t="n"/>
      <c r="CZ308" s="31" t="n"/>
      <c r="DA308" s="29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1" t="n"/>
      <c r="DC308" s="21" t="n"/>
      <c r="DD308" s="27">
        <f>SUM(DB308:DC308)</f>
        <v/>
      </c>
      <c r="DE308" s="28" t="n"/>
      <c r="DF308" s="31" t="n"/>
      <c r="DG308" s="29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34">
        <f>SUM(O308,U308,AA308,AG308,AM308,AS308,AY308,BE308,BK308,BQ308,BW308,CC308,CI308,CO308,CU308,DA308,DG308)</f>
        <v/>
      </c>
      <c r="DI308" s="39">
        <f>RANK(DH308,DH$4:DH$503)</f>
        <v/>
      </c>
      <c r="DJ308" s="40" t="inlineStr">
        <is>
          <t>CHOOSE RATING</t>
        </is>
      </c>
      <c r="DK308" s="40" t="inlineStr">
        <is>
          <t>CHOOSE RATING</t>
        </is>
      </c>
      <c r="DL308" s="40" t="inlineStr">
        <is>
          <t>CHOOSE RATING</t>
        </is>
      </c>
      <c r="DM308" s="40" t="inlineStr">
        <is>
          <t>CHOOSE RATING</t>
        </is>
      </c>
      <c r="DN308" s="40" t="inlineStr">
        <is>
          <t>CHOOSE RATING</t>
        </is>
      </c>
      <c r="DO308" s="40" t="inlineStr">
        <is>
          <t>CHOOSE RATING</t>
        </is>
      </c>
      <c r="DP308" s="40" t="inlineStr">
        <is>
          <t>CHOOSE RATING</t>
        </is>
      </c>
      <c r="DQ308" s="40" t="inlineStr">
        <is>
          <t>CHOOSE RATING</t>
        </is>
      </c>
      <c r="DR308" s="43" t="inlineStr">
        <is>
          <t>2024/2025</t>
        </is>
      </c>
      <c r="DS308" s="45" t="inlineStr">
        <is>
          <t>THIRD</t>
        </is>
      </c>
      <c r="DT308" s="40" t="inlineStr">
        <is>
          <t>CHOOSE RATING</t>
        </is>
      </c>
      <c r="DU308" s="40" t="inlineStr">
        <is>
          <t>CHOOSE RATING</t>
        </is>
      </c>
      <c r="DV308" s="40" t="inlineStr">
        <is>
          <t>CHOOSE RATING</t>
        </is>
      </c>
      <c r="DW308" s="40" t="inlineStr">
        <is>
          <t>CHOOSE RATING</t>
        </is>
      </c>
      <c r="DX308" s="40" t="inlineStr">
        <is>
          <t>CHOOSE RATING</t>
        </is>
      </c>
      <c r="DY308" s="40" t="inlineStr">
        <is>
          <t>CHOOSE RATING</t>
        </is>
      </c>
      <c r="DZ308" s="53" t="inlineStr">
        <is>
          <t>CHOOSE RATING</t>
        </is>
      </c>
      <c r="EA308" s="54" t="inlineStr">
        <is>
          <t>Add the Tutor's Comment . . .</t>
        </is>
      </c>
      <c r="EB308" s="55" t="inlineStr">
        <is>
          <t>Choose Principals comment</t>
        </is>
      </c>
      <c r="EC308" s="56" t="n"/>
      <c r="ED308" s="57" t="inlineStr">
        <is>
          <t>Next Term Begins on Monday, 22nd September, 2025</t>
        </is>
      </c>
    </row>
    <row r="309" ht="30.6" customHeight="1" s="6">
      <c r="A309" s="18" t="n">
        <v>306</v>
      </c>
      <c r="B309" s="19" t="n"/>
      <c r="C309" s="20" t="n"/>
      <c r="D309" s="128" t="n"/>
      <c r="E309" s="21" t="n"/>
      <c r="F309" s="22" t="n"/>
      <c r="G309" s="22" t="n"/>
      <c r="H309" s="22" t="n"/>
      <c r="I309" s="26">
        <f>G309-H309</f>
        <v/>
      </c>
      <c r="J309" s="21" t="n"/>
      <c r="K309" s="21" t="n"/>
      <c r="L309" s="27">
        <f>SUM(J309:K309)</f>
        <v/>
      </c>
      <c r="M309" s="28" t="n"/>
      <c r="N309" s="28" t="n"/>
      <c r="O309" s="29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1" t="n"/>
      <c r="Q309" s="21" t="n"/>
      <c r="R309" s="27">
        <f>SUM(P309:Q309)</f>
        <v/>
      </c>
      <c r="S309" s="28" t="n"/>
      <c r="T309" s="28" t="n"/>
      <c r="U309" s="29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1" t="n"/>
      <c r="W309" s="21" t="n"/>
      <c r="X309" s="27">
        <f>SUM(V309:W309)</f>
        <v/>
      </c>
      <c r="Y309" s="28" t="n"/>
      <c r="Z309" s="28" t="n"/>
      <c r="AA309" s="29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1" t="n"/>
      <c r="AC309" s="21" t="n"/>
      <c r="AD309" s="27">
        <f>SUM(AB309:AC309)</f>
        <v/>
      </c>
      <c r="AE309" s="28" t="n"/>
      <c r="AF309" s="28" t="n"/>
      <c r="AG309" s="29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1" t="n"/>
      <c r="AI309" s="21" t="n"/>
      <c r="AJ309" s="27">
        <f>SUM(AH309:AI309)</f>
        <v/>
      </c>
      <c r="AK309" s="28" t="n"/>
      <c r="AL309" s="28" t="n"/>
      <c r="AM309" s="29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1" t="n"/>
      <c r="AO309" s="21" t="n"/>
      <c r="AP309" s="27">
        <f>SUM(AN309:AO309)</f>
        <v/>
      </c>
      <c r="AQ309" s="28" t="n"/>
      <c r="AR309" s="30" t="n"/>
      <c r="AS309" s="29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1" t="n"/>
      <c r="AU309" s="21" t="n"/>
      <c r="AV309" s="27">
        <f>SUM(AT309:AU309)</f>
        <v/>
      </c>
      <c r="AW309" s="28" t="n"/>
      <c r="AX309" s="30" t="n"/>
      <c r="AY309" s="29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1" t="n"/>
      <c r="BA309" s="21" t="n"/>
      <c r="BB309" s="27">
        <f>SUM(AZ309:BA309)</f>
        <v/>
      </c>
      <c r="BC309" s="28" t="n"/>
      <c r="BD309" s="28" t="n"/>
      <c r="BE309" s="29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1" t="n"/>
      <c r="BG309" s="21" t="n"/>
      <c r="BH309" s="27">
        <f>SUM(BF309:BG309)</f>
        <v/>
      </c>
      <c r="BI309" s="28" t="n"/>
      <c r="BJ309" s="28" t="n"/>
      <c r="BK309" s="29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1" t="n"/>
      <c r="BM309" s="21" t="n"/>
      <c r="BN309" s="27">
        <f>SUM(BL309:BM309)</f>
        <v/>
      </c>
      <c r="BO309" s="28" t="n"/>
      <c r="BP309" s="31" t="n"/>
      <c r="BQ309" s="29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1" t="n"/>
      <c r="BS309" s="21" t="n"/>
      <c r="BT309" s="27">
        <f>SUM(BR309:BS309)</f>
        <v/>
      </c>
      <c r="BU309" s="28" t="n"/>
      <c r="BV309" s="31" t="n"/>
      <c r="BW309" s="29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1" t="n"/>
      <c r="BY309" s="21" t="n"/>
      <c r="BZ309" s="27">
        <f>SUM(BX309:BY309)</f>
        <v/>
      </c>
      <c r="CA309" s="28" t="n"/>
      <c r="CB309" s="31" t="n"/>
      <c r="CC309" s="29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1" t="n"/>
      <c r="CE309" s="21" t="n"/>
      <c r="CF309" s="27">
        <f>SUM(CD309:CE309)</f>
        <v/>
      </c>
      <c r="CG309" s="28" t="n"/>
      <c r="CH309" s="31" t="n"/>
      <c r="CI309" s="29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1" t="n"/>
      <c r="CK309" s="21" t="n"/>
      <c r="CL309" s="27">
        <f>SUM(CJ309:CK309)</f>
        <v/>
      </c>
      <c r="CM309" s="28" t="n"/>
      <c r="CN309" s="31" t="n"/>
      <c r="CO309" s="29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1" t="n"/>
      <c r="CQ309" s="21" t="n"/>
      <c r="CR309" s="27">
        <f>SUM(CP309:CQ309)</f>
        <v/>
      </c>
      <c r="CS309" s="28" t="n"/>
      <c r="CT309" s="31" t="n"/>
      <c r="CU309" s="29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1" t="n"/>
      <c r="CW309" s="21" t="n"/>
      <c r="CX309" s="27">
        <f>SUM(CV309:CW309)</f>
        <v/>
      </c>
      <c r="CY309" s="28" t="n"/>
      <c r="CZ309" s="31" t="n"/>
      <c r="DA309" s="29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1" t="n"/>
      <c r="DC309" s="21" t="n"/>
      <c r="DD309" s="27">
        <f>SUM(DB309:DC309)</f>
        <v/>
      </c>
      <c r="DE309" s="28" t="n"/>
      <c r="DF309" s="31" t="n"/>
      <c r="DG309" s="29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34">
        <f>SUM(O309,U309,AA309,AG309,AM309,AS309,AY309,BE309,BK309,BQ309,BW309,CC309,CI309,CO309,CU309,DA309,DG309)</f>
        <v/>
      </c>
      <c r="DI309" s="39">
        <f>RANK(DH309,DH$4:DH$503)</f>
        <v/>
      </c>
      <c r="DJ309" s="40" t="inlineStr">
        <is>
          <t>CHOOSE RATING</t>
        </is>
      </c>
      <c r="DK309" s="40" t="inlineStr">
        <is>
          <t>CHOOSE RATING</t>
        </is>
      </c>
      <c r="DL309" s="40" t="inlineStr">
        <is>
          <t>CHOOSE RATING</t>
        </is>
      </c>
      <c r="DM309" s="40" t="inlineStr">
        <is>
          <t>CHOOSE RATING</t>
        </is>
      </c>
      <c r="DN309" s="40" t="inlineStr">
        <is>
          <t>CHOOSE RATING</t>
        </is>
      </c>
      <c r="DO309" s="40" t="inlineStr">
        <is>
          <t>CHOOSE RATING</t>
        </is>
      </c>
      <c r="DP309" s="40" t="inlineStr">
        <is>
          <t>CHOOSE RATING</t>
        </is>
      </c>
      <c r="DQ309" s="40" t="inlineStr">
        <is>
          <t>CHOOSE RATING</t>
        </is>
      </c>
      <c r="DR309" s="43" t="inlineStr">
        <is>
          <t>2024/2025</t>
        </is>
      </c>
      <c r="DS309" s="45" t="inlineStr">
        <is>
          <t>THIRD</t>
        </is>
      </c>
      <c r="DT309" s="40" t="inlineStr">
        <is>
          <t>CHOOSE RATING</t>
        </is>
      </c>
      <c r="DU309" s="40" t="inlineStr">
        <is>
          <t>CHOOSE RATING</t>
        </is>
      </c>
      <c r="DV309" s="40" t="inlineStr">
        <is>
          <t>CHOOSE RATING</t>
        </is>
      </c>
      <c r="DW309" s="40" t="inlineStr">
        <is>
          <t>CHOOSE RATING</t>
        </is>
      </c>
      <c r="DX309" s="40" t="inlineStr">
        <is>
          <t>CHOOSE RATING</t>
        </is>
      </c>
      <c r="DY309" s="40" t="inlineStr">
        <is>
          <t>CHOOSE RATING</t>
        </is>
      </c>
      <c r="DZ309" s="53" t="inlineStr">
        <is>
          <t>CHOOSE RATING</t>
        </is>
      </c>
      <c r="EA309" s="54" t="inlineStr">
        <is>
          <t>Add the Tutor's Comment . . .</t>
        </is>
      </c>
      <c r="EB309" s="55" t="inlineStr">
        <is>
          <t>Choose Principals comment</t>
        </is>
      </c>
      <c r="EC309" s="56" t="n"/>
      <c r="ED309" s="57" t="inlineStr">
        <is>
          <t>Next Term Begins on Monday, 22nd September, 2025</t>
        </is>
      </c>
    </row>
    <row r="310" ht="30.6" customHeight="1" s="6">
      <c r="A310" s="18" t="n">
        <v>307</v>
      </c>
      <c r="B310" s="19" t="n"/>
      <c r="C310" s="20" t="n"/>
      <c r="D310" s="128" t="n"/>
      <c r="E310" s="21" t="n"/>
      <c r="F310" s="22" t="n"/>
      <c r="G310" s="22" t="n"/>
      <c r="H310" s="22" t="n"/>
      <c r="I310" s="26">
        <f>G310-H310</f>
        <v/>
      </c>
      <c r="J310" s="21" t="n"/>
      <c r="K310" s="21" t="n"/>
      <c r="L310" s="27">
        <f>SUM(J310:K310)</f>
        <v/>
      </c>
      <c r="M310" s="28" t="n"/>
      <c r="N310" s="28" t="n"/>
      <c r="O310" s="29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1" t="n"/>
      <c r="Q310" s="21" t="n"/>
      <c r="R310" s="27">
        <f>SUM(P310:Q310)</f>
        <v/>
      </c>
      <c r="S310" s="28" t="n"/>
      <c r="T310" s="28" t="n"/>
      <c r="U310" s="29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1" t="n"/>
      <c r="W310" s="21" t="n"/>
      <c r="X310" s="27">
        <f>SUM(V310:W310)</f>
        <v/>
      </c>
      <c r="Y310" s="28" t="n"/>
      <c r="Z310" s="28" t="n"/>
      <c r="AA310" s="29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1" t="n"/>
      <c r="AC310" s="21" t="n"/>
      <c r="AD310" s="27">
        <f>SUM(AB310:AC310)</f>
        <v/>
      </c>
      <c r="AE310" s="28" t="n"/>
      <c r="AF310" s="28" t="n"/>
      <c r="AG310" s="29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1" t="n"/>
      <c r="AI310" s="21" t="n"/>
      <c r="AJ310" s="27">
        <f>SUM(AH310:AI310)</f>
        <v/>
      </c>
      <c r="AK310" s="28" t="n"/>
      <c r="AL310" s="28" t="n"/>
      <c r="AM310" s="29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1" t="n"/>
      <c r="AO310" s="21" t="n"/>
      <c r="AP310" s="27">
        <f>SUM(AN310:AO310)</f>
        <v/>
      </c>
      <c r="AQ310" s="28" t="n"/>
      <c r="AR310" s="30" t="n"/>
      <c r="AS310" s="29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1" t="n"/>
      <c r="AU310" s="21" t="n"/>
      <c r="AV310" s="27">
        <f>SUM(AT310:AU310)</f>
        <v/>
      </c>
      <c r="AW310" s="28" t="n"/>
      <c r="AX310" s="30" t="n"/>
      <c r="AY310" s="29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1" t="n"/>
      <c r="BA310" s="21" t="n"/>
      <c r="BB310" s="27">
        <f>SUM(AZ310:BA310)</f>
        <v/>
      </c>
      <c r="BC310" s="28" t="n"/>
      <c r="BD310" s="28" t="n"/>
      <c r="BE310" s="29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1" t="n"/>
      <c r="BG310" s="21" t="n"/>
      <c r="BH310" s="27">
        <f>SUM(BF310:BG310)</f>
        <v/>
      </c>
      <c r="BI310" s="28" t="n"/>
      <c r="BJ310" s="28" t="n"/>
      <c r="BK310" s="29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1" t="n"/>
      <c r="BM310" s="21" t="n"/>
      <c r="BN310" s="27">
        <f>SUM(BL310:BM310)</f>
        <v/>
      </c>
      <c r="BO310" s="28" t="n"/>
      <c r="BP310" s="31" t="n"/>
      <c r="BQ310" s="29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1" t="n"/>
      <c r="BS310" s="21" t="n"/>
      <c r="BT310" s="27">
        <f>SUM(BR310:BS310)</f>
        <v/>
      </c>
      <c r="BU310" s="28" t="n"/>
      <c r="BV310" s="31" t="n"/>
      <c r="BW310" s="29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1" t="n"/>
      <c r="BY310" s="21" t="n"/>
      <c r="BZ310" s="27">
        <f>SUM(BX310:BY310)</f>
        <v/>
      </c>
      <c r="CA310" s="28" t="n"/>
      <c r="CB310" s="31" t="n"/>
      <c r="CC310" s="29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1" t="n"/>
      <c r="CE310" s="21" t="n"/>
      <c r="CF310" s="27">
        <f>SUM(CD310:CE310)</f>
        <v/>
      </c>
      <c r="CG310" s="28" t="n"/>
      <c r="CH310" s="31" t="n"/>
      <c r="CI310" s="29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1" t="n"/>
      <c r="CK310" s="21" t="n"/>
      <c r="CL310" s="27">
        <f>SUM(CJ310:CK310)</f>
        <v/>
      </c>
      <c r="CM310" s="28" t="n"/>
      <c r="CN310" s="31" t="n"/>
      <c r="CO310" s="29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1" t="n"/>
      <c r="CQ310" s="21" t="n"/>
      <c r="CR310" s="27">
        <f>SUM(CP310:CQ310)</f>
        <v/>
      </c>
      <c r="CS310" s="28" t="n"/>
      <c r="CT310" s="31" t="n"/>
      <c r="CU310" s="29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1" t="n"/>
      <c r="CW310" s="21" t="n"/>
      <c r="CX310" s="27">
        <f>SUM(CV310:CW310)</f>
        <v/>
      </c>
      <c r="CY310" s="28" t="n"/>
      <c r="CZ310" s="31" t="n"/>
      <c r="DA310" s="29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1" t="n"/>
      <c r="DC310" s="21" t="n"/>
      <c r="DD310" s="27">
        <f>SUM(DB310:DC310)</f>
        <v/>
      </c>
      <c r="DE310" s="28" t="n"/>
      <c r="DF310" s="31" t="n"/>
      <c r="DG310" s="29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34">
        <f>SUM(O310,U310,AA310,AG310,AM310,AS310,AY310,BE310,BK310,BQ310,BW310,CC310,CI310,CO310,CU310,DA310,DG310)</f>
        <v/>
      </c>
      <c r="DI310" s="39">
        <f>RANK(DH310,DH$4:DH$503)</f>
        <v/>
      </c>
      <c r="DJ310" s="40" t="inlineStr">
        <is>
          <t>CHOOSE RATING</t>
        </is>
      </c>
      <c r="DK310" s="40" t="inlineStr">
        <is>
          <t>CHOOSE RATING</t>
        </is>
      </c>
      <c r="DL310" s="40" t="inlineStr">
        <is>
          <t>CHOOSE RATING</t>
        </is>
      </c>
      <c r="DM310" s="40" t="inlineStr">
        <is>
          <t>CHOOSE RATING</t>
        </is>
      </c>
      <c r="DN310" s="40" t="inlineStr">
        <is>
          <t>CHOOSE RATING</t>
        </is>
      </c>
      <c r="DO310" s="40" t="inlineStr">
        <is>
          <t>CHOOSE RATING</t>
        </is>
      </c>
      <c r="DP310" s="40" t="inlineStr">
        <is>
          <t>CHOOSE RATING</t>
        </is>
      </c>
      <c r="DQ310" s="40" t="inlineStr">
        <is>
          <t>CHOOSE RATING</t>
        </is>
      </c>
      <c r="DR310" s="43" t="inlineStr">
        <is>
          <t>2024/2025</t>
        </is>
      </c>
      <c r="DS310" s="45" t="inlineStr">
        <is>
          <t>THIRD</t>
        </is>
      </c>
      <c r="DT310" s="40" t="inlineStr">
        <is>
          <t>CHOOSE RATING</t>
        </is>
      </c>
      <c r="DU310" s="40" t="inlineStr">
        <is>
          <t>CHOOSE RATING</t>
        </is>
      </c>
      <c r="DV310" s="40" t="inlineStr">
        <is>
          <t>CHOOSE RATING</t>
        </is>
      </c>
      <c r="DW310" s="40" t="inlineStr">
        <is>
          <t>CHOOSE RATING</t>
        </is>
      </c>
      <c r="DX310" s="40" t="inlineStr">
        <is>
          <t>CHOOSE RATING</t>
        </is>
      </c>
      <c r="DY310" s="40" t="inlineStr">
        <is>
          <t>CHOOSE RATING</t>
        </is>
      </c>
      <c r="DZ310" s="53" t="inlineStr">
        <is>
          <t>CHOOSE RATING</t>
        </is>
      </c>
      <c r="EA310" s="54" t="inlineStr">
        <is>
          <t>Add the Tutor's Comment . . .</t>
        </is>
      </c>
      <c r="EB310" s="55" t="inlineStr">
        <is>
          <t>Choose Principals comment</t>
        </is>
      </c>
      <c r="EC310" s="56" t="n"/>
      <c r="ED310" s="57" t="inlineStr">
        <is>
          <t>Next Term Begins on Monday, 22nd September, 2025</t>
        </is>
      </c>
    </row>
    <row r="311" ht="30.6" customHeight="1" s="6">
      <c r="A311" s="18" t="n">
        <v>308</v>
      </c>
      <c r="B311" s="19" t="n"/>
      <c r="C311" s="20" t="n"/>
      <c r="D311" s="128" t="n"/>
      <c r="E311" s="21" t="n"/>
      <c r="F311" s="22" t="n"/>
      <c r="G311" s="22" t="n"/>
      <c r="H311" s="22" t="n"/>
      <c r="I311" s="26">
        <f>G311-H311</f>
        <v/>
      </c>
      <c r="J311" s="21" t="n"/>
      <c r="K311" s="21" t="n"/>
      <c r="L311" s="27">
        <f>SUM(J311:K311)</f>
        <v/>
      </c>
      <c r="M311" s="28" t="n"/>
      <c r="N311" s="28" t="n"/>
      <c r="O311" s="29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1" t="n"/>
      <c r="Q311" s="21" t="n"/>
      <c r="R311" s="27">
        <f>SUM(P311:Q311)</f>
        <v/>
      </c>
      <c r="S311" s="28" t="n"/>
      <c r="T311" s="28" t="n"/>
      <c r="U311" s="29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1" t="n"/>
      <c r="W311" s="21" t="n"/>
      <c r="X311" s="27">
        <f>SUM(V311:W311)</f>
        <v/>
      </c>
      <c r="Y311" s="28" t="n"/>
      <c r="Z311" s="28" t="n"/>
      <c r="AA311" s="29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1" t="n"/>
      <c r="AC311" s="21" t="n"/>
      <c r="AD311" s="27">
        <f>SUM(AB311:AC311)</f>
        <v/>
      </c>
      <c r="AE311" s="28" t="n"/>
      <c r="AF311" s="28" t="n"/>
      <c r="AG311" s="29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1" t="n"/>
      <c r="AI311" s="21" t="n"/>
      <c r="AJ311" s="27">
        <f>SUM(AH311:AI311)</f>
        <v/>
      </c>
      <c r="AK311" s="28" t="n"/>
      <c r="AL311" s="28" t="n"/>
      <c r="AM311" s="29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1" t="n"/>
      <c r="AO311" s="21" t="n"/>
      <c r="AP311" s="27">
        <f>SUM(AN311:AO311)</f>
        <v/>
      </c>
      <c r="AQ311" s="28" t="n"/>
      <c r="AR311" s="30" t="n"/>
      <c r="AS311" s="29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1" t="n"/>
      <c r="AU311" s="21" t="n"/>
      <c r="AV311" s="27">
        <f>SUM(AT311:AU311)</f>
        <v/>
      </c>
      <c r="AW311" s="28" t="n"/>
      <c r="AX311" s="30" t="n"/>
      <c r="AY311" s="29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1" t="n"/>
      <c r="BA311" s="21" t="n"/>
      <c r="BB311" s="27">
        <f>SUM(AZ311:BA311)</f>
        <v/>
      </c>
      <c r="BC311" s="28" t="n"/>
      <c r="BD311" s="28" t="n"/>
      <c r="BE311" s="29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1" t="n"/>
      <c r="BG311" s="21" t="n"/>
      <c r="BH311" s="27">
        <f>SUM(BF311:BG311)</f>
        <v/>
      </c>
      <c r="BI311" s="28" t="n"/>
      <c r="BJ311" s="28" t="n"/>
      <c r="BK311" s="29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1" t="n"/>
      <c r="BM311" s="21" t="n"/>
      <c r="BN311" s="27">
        <f>SUM(BL311:BM311)</f>
        <v/>
      </c>
      <c r="BO311" s="28" t="n"/>
      <c r="BP311" s="31" t="n"/>
      <c r="BQ311" s="29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1" t="n"/>
      <c r="BS311" s="21" t="n"/>
      <c r="BT311" s="27">
        <f>SUM(BR311:BS311)</f>
        <v/>
      </c>
      <c r="BU311" s="28" t="n"/>
      <c r="BV311" s="31" t="n"/>
      <c r="BW311" s="29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1" t="n"/>
      <c r="BY311" s="21" t="n"/>
      <c r="BZ311" s="27">
        <f>SUM(BX311:BY311)</f>
        <v/>
      </c>
      <c r="CA311" s="28" t="n"/>
      <c r="CB311" s="31" t="n"/>
      <c r="CC311" s="29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1" t="n"/>
      <c r="CE311" s="21" t="n"/>
      <c r="CF311" s="27">
        <f>SUM(CD311:CE311)</f>
        <v/>
      </c>
      <c r="CG311" s="28" t="n"/>
      <c r="CH311" s="31" t="n"/>
      <c r="CI311" s="29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1" t="n"/>
      <c r="CK311" s="21" t="n"/>
      <c r="CL311" s="27">
        <f>SUM(CJ311:CK311)</f>
        <v/>
      </c>
      <c r="CM311" s="28" t="n"/>
      <c r="CN311" s="31" t="n"/>
      <c r="CO311" s="29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1" t="n"/>
      <c r="CQ311" s="21" t="n"/>
      <c r="CR311" s="27">
        <f>SUM(CP311:CQ311)</f>
        <v/>
      </c>
      <c r="CS311" s="28" t="n"/>
      <c r="CT311" s="31" t="n"/>
      <c r="CU311" s="29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1" t="n"/>
      <c r="CW311" s="21" t="n"/>
      <c r="CX311" s="27">
        <f>SUM(CV311:CW311)</f>
        <v/>
      </c>
      <c r="CY311" s="28" t="n"/>
      <c r="CZ311" s="31" t="n"/>
      <c r="DA311" s="29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1" t="n"/>
      <c r="DC311" s="21" t="n"/>
      <c r="DD311" s="27">
        <f>SUM(DB311:DC311)</f>
        <v/>
      </c>
      <c r="DE311" s="28" t="n"/>
      <c r="DF311" s="31" t="n"/>
      <c r="DG311" s="29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34">
        <f>SUM(O311,U311,AA311,AG311,AM311,AS311,AY311,BE311,BK311,BQ311,BW311,CC311,CI311,CO311,CU311,DA311,DG311)</f>
        <v/>
      </c>
      <c r="DI311" s="39">
        <f>RANK(DH311,DH$4:DH$503)</f>
        <v/>
      </c>
      <c r="DJ311" s="40" t="inlineStr">
        <is>
          <t>CHOOSE RATING</t>
        </is>
      </c>
      <c r="DK311" s="40" t="inlineStr">
        <is>
          <t>CHOOSE RATING</t>
        </is>
      </c>
      <c r="DL311" s="40" t="inlineStr">
        <is>
          <t>CHOOSE RATING</t>
        </is>
      </c>
      <c r="DM311" s="40" t="inlineStr">
        <is>
          <t>CHOOSE RATING</t>
        </is>
      </c>
      <c r="DN311" s="40" t="inlineStr">
        <is>
          <t>CHOOSE RATING</t>
        </is>
      </c>
      <c r="DO311" s="40" t="inlineStr">
        <is>
          <t>CHOOSE RATING</t>
        </is>
      </c>
      <c r="DP311" s="40" t="inlineStr">
        <is>
          <t>CHOOSE RATING</t>
        </is>
      </c>
      <c r="DQ311" s="40" t="inlineStr">
        <is>
          <t>CHOOSE RATING</t>
        </is>
      </c>
      <c r="DR311" s="43" t="inlineStr">
        <is>
          <t>2024/2025</t>
        </is>
      </c>
      <c r="DS311" s="45" t="inlineStr">
        <is>
          <t>THIRD</t>
        </is>
      </c>
      <c r="DT311" s="40" t="inlineStr">
        <is>
          <t>CHOOSE RATING</t>
        </is>
      </c>
      <c r="DU311" s="40" t="inlineStr">
        <is>
          <t>CHOOSE RATING</t>
        </is>
      </c>
      <c r="DV311" s="40" t="inlineStr">
        <is>
          <t>CHOOSE RATING</t>
        </is>
      </c>
      <c r="DW311" s="40" t="inlineStr">
        <is>
          <t>CHOOSE RATING</t>
        </is>
      </c>
      <c r="DX311" s="40" t="inlineStr">
        <is>
          <t>CHOOSE RATING</t>
        </is>
      </c>
      <c r="DY311" s="40" t="inlineStr">
        <is>
          <t>CHOOSE RATING</t>
        </is>
      </c>
      <c r="DZ311" s="53" t="inlineStr">
        <is>
          <t>CHOOSE RATING</t>
        </is>
      </c>
      <c r="EA311" s="54" t="inlineStr">
        <is>
          <t>Add the Tutor's Comment . . .</t>
        </is>
      </c>
      <c r="EB311" s="55" t="inlineStr">
        <is>
          <t>Choose Principals comment</t>
        </is>
      </c>
      <c r="EC311" s="56" t="n"/>
      <c r="ED311" s="57" t="inlineStr">
        <is>
          <t>Next Term Begins on Monday, 22nd September, 2025</t>
        </is>
      </c>
    </row>
    <row r="312" ht="30.6" customHeight="1" s="6">
      <c r="A312" s="18" t="n">
        <v>309</v>
      </c>
      <c r="B312" s="19" t="n"/>
      <c r="C312" s="20" t="n"/>
      <c r="D312" s="128" t="n"/>
      <c r="E312" s="21" t="n"/>
      <c r="F312" s="22" t="n"/>
      <c r="G312" s="22" t="n"/>
      <c r="H312" s="22" t="n"/>
      <c r="I312" s="26">
        <f>G312-H312</f>
        <v/>
      </c>
      <c r="J312" s="21" t="n"/>
      <c r="K312" s="21" t="n"/>
      <c r="L312" s="27">
        <f>SUM(J312:K312)</f>
        <v/>
      </c>
      <c r="M312" s="28" t="n"/>
      <c r="N312" s="28" t="n"/>
      <c r="O312" s="29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1" t="n"/>
      <c r="Q312" s="21" t="n"/>
      <c r="R312" s="27">
        <f>SUM(P312:Q312)</f>
        <v/>
      </c>
      <c r="S312" s="28" t="n"/>
      <c r="T312" s="28" t="n"/>
      <c r="U312" s="29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1" t="n"/>
      <c r="W312" s="21" t="n"/>
      <c r="X312" s="27">
        <f>SUM(V312:W312)</f>
        <v/>
      </c>
      <c r="Y312" s="28" t="n"/>
      <c r="Z312" s="28" t="n"/>
      <c r="AA312" s="29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1" t="n"/>
      <c r="AC312" s="21" t="n"/>
      <c r="AD312" s="27">
        <f>SUM(AB312:AC312)</f>
        <v/>
      </c>
      <c r="AE312" s="28" t="n"/>
      <c r="AF312" s="28" t="n"/>
      <c r="AG312" s="29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1" t="n"/>
      <c r="AI312" s="21" t="n"/>
      <c r="AJ312" s="27">
        <f>SUM(AH312:AI312)</f>
        <v/>
      </c>
      <c r="AK312" s="28" t="n"/>
      <c r="AL312" s="28" t="n"/>
      <c r="AM312" s="29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1" t="n"/>
      <c r="AO312" s="21" t="n"/>
      <c r="AP312" s="27">
        <f>SUM(AN312:AO312)</f>
        <v/>
      </c>
      <c r="AQ312" s="28" t="n"/>
      <c r="AR312" s="30" t="n"/>
      <c r="AS312" s="29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1" t="n"/>
      <c r="AU312" s="21" t="n"/>
      <c r="AV312" s="27">
        <f>SUM(AT312:AU312)</f>
        <v/>
      </c>
      <c r="AW312" s="28" t="n"/>
      <c r="AX312" s="30" t="n"/>
      <c r="AY312" s="29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1" t="n"/>
      <c r="BA312" s="21" t="n"/>
      <c r="BB312" s="27">
        <f>SUM(AZ312:BA312)</f>
        <v/>
      </c>
      <c r="BC312" s="28" t="n"/>
      <c r="BD312" s="28" t="n"/>
      <c r="BE312" s="29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1" t="n"/>
      <c r="BG312" s="21" t="n"/>
      <c r="BH312" s="27">
        <f>SUM(BF312:BG312)</f>
        <v/>
      </c>
      <c r="BI312" s="28" t="n"/>
      <c r="BJ312" s="28" t="n"/>
      <c r="BK312" s="29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1" t="n"/>
      <c r="BM312" s="21" t="n"/>
      <c r="BN312" s="27">
        <f>SUM(BL312:BM312)</f>
        <v/>
      </c>
      <c r="BO312" s="28" t="n"/>
      <c r="BP312" s="31" t="n"/>
      <c r="BQ312" s="29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1" t="n"/>
      <c r="BS312" s="21" t="n"/>
      <c r="BT312" s="27">
        <f>SUM(BR312:BS312)</f>
        <v/>
      </c>
      <c r="BU312" s="28" t="n"/>
      <c r="BV312" s="31" t="n"/>
      <c r="BW312" s="29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1" t="n"/>
      <c r="BY312" s="21" t="n"/>
      <c r="BZ312" s="27">
        <f>SUM(BX312:BY312)</f>
        <v/>
      </c>
      <c r="CA312" s="28" t="n"/>
      <c r="CB312" s="31" t="n"/>
      <c r="CC312" s="29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1" t="n"/>
      <c r="CE312" s="21" t="n"/>
      <c r="CF312" s="27">
        <f>SUM(CD312:CE312)</f>
        <v/>
      </c>
      <c r="CG312" s="28" t="n"/>
      <c r="CH312" s="31" t="n"/>
      <c r="CI312" s="29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1" t="n"/>
      <c r="CK312" s="21" t="n"/>
      <c r="CL312" s="27">
        <f>SUM(CJ312:CK312)</f>
        <v/>
      </c>
      <c r="CM312" s="28" t="n"/>
      <c r="CN312" s="31" t="n"/>
      <c r="CO312" s="29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1" t="n"/>
      <c r="CQ312" s="21" t="n"/>
      <c r="CR312" s="27">
        <f>SUM(CP312:CQ312)</f>
        <v/>
      </c>
      <c r="CS312" s="28" t="n"/>
      <c r="CT312" s="31" t="n"/>
      <c r="CU312" s="29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1" t="n"/>
      <c r="CW312" s="21" t="n"/>
      <c r="CX312" s="27">
        <f>SUM(CV312:CW312)</f>
        <v/>
      </c>
      <c r="CY312" s="28" t="n"/>
      <c r="CZ312" s="31" t="n"/>
      <c r="DA312" s="29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1" t="n"/>
      <c r="DC312" s="21" t="n"/>
      <c r="DD312" s="27">
        <f>SUM(DB312:DC312)</f>
        <v/>
      </c>
      <c r="DE312" s="28" t="n"/>
      <c r="DF312" s="31" t="n"/>
      <c r="DG312" s="29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34">
        <f>SUM(O312,U312,AA312,AG312,AM312,AS312,AY312,BE312,BK312,BQ312,BW312,CC312,CI312,CO312,CU312,DA312,DG312)</f>
        <v/>
      </c>
      <c r="DI312" s="39">
        <f>RANK(DH312,DH$4:DH$503)</f>
        <v/>
      </c>
      <c r="DJ312" s="40" t="inlineStr">
        <is>
          <t>CHOOSE RATING</t>
        </is>
      </c>
      <c r="DK312" s="40" t="inlineStr">
        <is>
          <t>CHOOSE RATING</t>
        </is>
      </c>
      <c r="DL312" s="40" t="inlineStr">
        <is>
          <t>CHOOSE RATING</t>
        </is>
      </c>
      <c r="DM312" s="40" t="inlineStr">
        <is>
          <t>CHOOSE RATING</t>
        </is>
      </c>
      <c r="DN312" s="40" t="inlineStr">
        <is>
          <t>CHOOSE RATING</t>
        </is>
      </c>
      <c r="DO312" s="40" t="inlineStr">
        <is>
          <t>CHOOSE RATING</t>
        </is>
      </c>
      <c r="DP312" s="40" t="inlineStr">
        <is>
          <t>CHOOSE RATING</t>
        </is>
      </c>
      <c r="DQ312" s="40" t="inlineStr">
        <is>
          <t>CHOOSE RATING</t>
        </is>
      </c>
      <c r="DR312" s="43" t="inlineStr">
        <is>
          <t>2024/2025</t>
        </is>
      </c>
      <c r="DS312" s="45" t="inlineStr">
        <is>
          <t>THIRD</t>
        </is>
      </c>
      <c r="DT312" s="40" t="inlineStr">
        <is>
          <t>CHOOSE RATING</t>
        </is>
      </c>
      <c r="DU312" s="40" t="inlineStr">
        <is>
          <t>CHOOSE RATING</t>
        </is>
      </c>
      <c r="DV312" s="40" t="inlineStr">
        <is>
          <t>CHOOSE RATING</t>
        </is>
      </c>
      <c r="DW312" s="40" t="inlineStr">
        <is>
          <t>CHOOSE RATING</t>
        </is>
      </c>
      <c r="DX312" s="40" t="inlineStr">
        <is>
          <t>CHOOSE RATING</t>
        </is>
      </c>
      <c r="DY312" s="40" t="inlineStr">
        <is>
          <t>CHOOSE RATING</t>
        </is>
      </c>
      <c r="DZ312" s="53" t="inlineStr">
        <is>
          <t>CHOOSE RATING</t>
        </is>
      </c>
      <c r="EA312" s="54" t="inlineStr">
        <is>
          <t>Add the Tutor's Comment . . .</t>
        </is>
      </c>
      <c r="EB312" s="55" t="inlineStr">
        <is>
          <t>Choose Principals comment</t>
        </is>
      </c>
      <c r="EC312" s="56" t="n"/>
      <c r="ED312" s="57" t="inlineStr">
        <is>
          <t>Next Term Begins on Monday, 22nd September, 2025</t>
        </is>
      </c>
    </row>
    <row r="313" ht="30.6" customHeight="1" s="6">
      <c r="A313" s="18" t="n">
        <v>310</v>
      </c>
      <c r="B313" s="19" t="n"/>
      <c r="C313" s="20" t="n"/>
      <c r="D313" s="128" t="n"/>
      <c r="E313" s="21" t="n"/>
      <c r="F313" s="22" t="n"/>
      <c r="G313" s="22" t="n"/>
      <c r="H313" s="22" t="n"/>
      <c r="I313" s="26">
        <f>G313-H313</f>
        <v/>
      </c>
      <c r="J313" s="21" t="n"/>
      <c r="K313" s="21" t="n"/>
      <c r="L313" s="27">
        <f>SUM(J313:K313)</f>
        <v/>
      </c>
      <c r="M313" s="28" t="n"/>
      <c r="N313" s="28" t="n"/>
      <c r="O313" s="29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1" t="n"/>
      <c r="Q313" s="21" t="n"/>
      <c r="R313" s="27">
        <f>SUM(P313:Q313)</f>
        <v/>
      </c>
      <c r="S313" s="28" t="n"/>
      <c r="T313" s="28" t="n"/>
      <c r="U313" s="29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1" t="n"/>
      <c r="W313" s="21" t="n"/>
      <c r="X313" s="27">
        <f>SUM(V313:W313)</f>
        <v/>
      </c>
      <c r="Y313" s="28" t="n"/>
      <c r="Z313" s="28" t="n"/>
      <c r="AA313" s="29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1" t="n"/>
      <c r="AC313" s="21" t="n"/>
      <c r="AD313" s="27">
        <f>SUM(AB313:AC313)</f>
        <v/>
      </c>
      <c r="AE313" s="28" t="n"/>
      <c r="AF313" s="28" t="n"/>
      <c r="AG313" s="29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1" t="n"/>
      <c r="AI313" s="21" t="n"/>
      <c r="AJ313" s="27">
        <f>SUM(AH313:AI313)</f>
        <v/>
      </c>
      <c r="AK313" s="28" t="n"/>
      <c r="AL313" s="28" t="n"/>
      <c r="AM313" s="29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1" t="n"/>
      <c r="AO313" s="21" t="n"/>
      <c r="AP313" s="27">
        <f>SUM(AN313:AO313)</f>
        <v/>
      </c>
      <c r="AQ313" s="28" t="n"/>
      <c r="AR313" s="30" t="n"/>
      <c r="AS313" s="29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1" t="n"/>
      <c r="AU313" s="21" t="n"/>
      <c r="AV313" s="27">
        <f>SUM(AT313:AU313)</f>
        <v/>
      </c>
      <c r="AW313" s="28" t="n"/>
      <c r="AX313" s="30" t="n"/>
      <c r="AY313" s="29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1" t="n"/>
      <c r="BA313" s="21" t="n"/>
      <c r="BB313" s="27">
        <f>SUM(AZ313:BA313)</f>
        <v/>
      </c>
      <c r="BC313" s="28" t="n"/>
      <c r="BD313" s="28" t="n"/>
      <c r="BE313" s="29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1" t="n"/>
      <c r="BG313" s="21" t="n"/>
      <c r="BH313" s="27">
        <f>SUM(BF313:BG313)</f>
        <v/>
      </c>
      <c r="BI313" s="28" t="n"/>
      <c r="BJ313" s="28" t="n"/>
      <c r="BK313" s="29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1" t="n"/>
      <c r="BM313" s="21" t="n"/>
      <c r="BN313" s="27">
        <f>SUM(BL313:BM313)</f>
        <v/>
      </c>
      <c r="BO313" s="28" t="n"/>
      <c r="BP313" s="31" t="n"/>
      <c r="BQ313" s="29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1" t="n"/>
      <c r="BS313" s="21" t="n"/>
      <c r="BT313" s="27">
        <f>SUM(BR313:BS313)</f>
        <v/>
      </c>
      <c r="BU313" s="28" t="n"/>
      <c r="BV313" s="31" t="n"/>
      <c r="BW313" s="29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1" t="n"/>
      <c r="BY313" s="21" t="n"/>
      <c r="BZ313" s="27">
        <f>SUM(BX313:BY313)</f>
        <v/>
      </c>
      <c r="CA313" s="28" t="n"/>
      <c r="CB313" s="31" t="n"/>
      <c r="CC313" s="29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1" t="n"/>
      <c r="CE313" s="21" t="n"/>
      <c r="CF313" s="27">
        <f>SUM(CD313:CE313)</f>
        <v/>
      </c>
      <c r="CG313" s="28" t="n"/>
      <c r="CH313" s="31" t="n"/>
      <c r="CI313" s="29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1" t="n"/>
      <c r="CK313" s="21" t="n"/>
      <c r="CL313" s="27">
        <f>SUM(CJ313:CK313)</f>
        <v/>
      </c>
      <c r="CM313" s="28" t="n"/>
      <c r="CN313" s="31" t="n"/>
      <c r="CO313" s="29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1" t="n"/>
      <c r="CQ313" s="21" t="n"/>
      <c r="CR313" s="27">
        <f>SUM(CP313:CQ313)</f>
        <v/>
      </c>
      <c r="CS313" s="28" t="n"/>
      <c r="CT313" s="31" t="n"/>
      <c r="CU313" s="29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1" t="n"/>
      <c r="CW313" s="21" t="n"/>
      <c r="CX313" s="27">
        <f>SUM(CV313:CW313)</f>
        <v/>
      </c>
      <c r="CY313" s="28" t="n"/>
      <c r="CZ313" s="31" t="n"/>
      <c r="DA313" s="29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1" t="n"/>
      <c r="DC313" s="21" t="n"/>
      <c r="DD313" s="27">
        <f>SUM(DB313:DC313)</f>
        <v/>
      </c>
      <c r="DE313" s="28" t="n"/>
      <c r="DF313" s="31" t="n"/>
      <c r="DG313" s="29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34">
        <f>SUM(O313,U313,AA313,AG313,AM313,AS313,AY313,BE313,BK313,BQ313,BW313,CC313,CI313,CO313,CU313,DA313,DG313)</f>
        <v/>
      </c>
      <c r="DI313" s="39">
        <f>RANK(DH313,DH$4:DH$503)</f>
        <v/>
      </c>
      <c r="DJ313" s="40" t="inlineStr">
        <is>
          <t>CHOOSE RATING</t>
        </is>
      </c>
      <c r="DK313" s="40" t="inlineStr">
        <is>
          <t>CHOOSE RATING</t>
        </is>
      </c>
      <c r="DL313" s="40" t="inlineStr">
        <is>
          <t>CHOOSE RATING</t>
        </is>
      </c>
      <c r="DM313" s="40" t="inlineStr">
        <is>
          <t>CHOOSE RATING</t>
        </is>
      </c>
      <c r="DN313" s="40" t="inlineStr">
        <is>
          <t>CHOOSE RATING</t>
        </is>
      </c>
      <c r="DO313" s="40" t="inlineStr">
        <is>
          <t>CHOOSE RATING</t>
        </is>
      </c>
      <c r="DP313" s="40" t="inlineStr">
        <is>
          <t>CHOOSE RATING</t>
        </is>
      </c>
      <c r="DQ313" s="40" t="inlineStr">
        <is>
          <t>CHOOSE RATING</t>
        </is>
      </c>
      <c r="DR313" s="43" t="inlineStr">
        <is>
          <t>2024/2025</t>
        </is>
      </c>
      <c r="DS313" s="45" t="inlineStr">
        <is>
          <t>THIRD</t>
        </is>
      </c>
      <c r="DT313" s="40" t="inlineStr">
        <is>
          <t>CHOOSE RATING</t>
        </is>
      </c>
      <c r="DU313" s="40" t="inlineStr">
        <is>
          <t>CHOOSE RATING</t>
        </is>
      </c>
      <c r="DV313" s="40" t="inlineStr">
        <is>
          <t>CHOOSE RATING</t>
        </is>
      </c>
      <c r="DW313" s="40" t="inlineStr">
        <is>
          <t>CHOOSE RATING</t>
        </is>
      </c>
      <c r="DX313" s="40" t="inlineStr">
        <is>
          <t>CHOOSE RATING</t>
        </is>
      </c>
      <c r="DY313" s="40" t="inlineStr">
        <is>
          <t>CHOOSE RATING</t>
        </is>
      </c>
      <c r="DZ313" s="53" t="inlineStr">
        <is>
          <t>CHOOSE RATING</t>
        </is>
      </c>
      <c r="EA313" s="54" t="inlineStr">
        <is>
          <t>Add the Tutor's Comment . . .</t>
        </is>
      </c>
      <c r="EB313" s="55" t="inlineStr">
        <is>
          <t>Choose Principals comment</t>
        </is>
      </c>
      <c r="EC313" s="56" t="n"/>
      <c r="ED313" s="57" t="inlineStr">
        <is>
          <t>Next Term Begins on Monday, 22nd September, 2025</t>
        </is>
      </c>
    </row>
    <row r="314" ht="30.6" customHeight="1" s="6">
      <c r="A314" s="18" t="n">
        <v>311</v>
      </c>
      <c r="B314" s="19" t="n"/>
      <c r="C314" s="20" t="n"/>
      <c r="D314" s="128" t="n"/>
      <c r="E314" s="21" t="n"/>
      <c r="F314" s="22" t="n"/>
      <c r="G314" s="22" t="n"/>
      <c r="H314" s="22" t="n"/>
      <c r="I314" s="26">
        <f>G314-H314</f>
        <v/>
      </c>
      <c r="J314" s="21" t="n"/>
      <c r="K314" s="21" t="n"/>
      <c r="L314" s="27">
        <f>SUM(J314:K314)</f>
        <v/>
      </c>
      <c r="M314" s="28" t="n"/>
      <c r="N314" s="28" t="n"/>
      <c r="O314" s="29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1" t="n"/>
      <c r="Q314" s="21" t="n"/>
      <c r="R314" s="27">
        <f>SUM(P314:Q314)</f>
        <v/>
      </c>
      <c r="S314" s="28" t="n"/>
      <c r="T314" s="28" t="n"/>
      <c r="U314" s="29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1" t="n"/>
      <c r="W314" s="21" t="n"/>
      <c r="X314" s="27">
        <f>SUM(V314:W314)</f>
        <v/>
      </c>
      <c r="Y314" s="28" t="n"/>
      <c r="Z314" s="28" t="n"/>
      <c r="AA314" s="29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1" t="n"/>
      <c r="AC314" s="21" t="n"/>
      <c r="AD314" s="27">
        <f>SUM(AB314:AC314)</f>
        <v/>
      </c>
      <c r="AE314" s="28" t="n"/>
      <c r="AF314" s="28" t="n"/>
      <c r="AG314" s="29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1" t="n"/>
      <c r="AI314" s="21" t="n"/>
      <c r="AJ314" s="27">
        <f>SUM(AH314:AI314)</f>
        <v/>
      </c>
      <c r="AK314" s="28" t="n"/>
      <c r="AL314" s="28" t="n"/>
      <c r="AM314" s="29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1" t="n"/>
      <c r="AO314" s="21" t="n"/>
      <c r="AP314" s="27">
        <f>SUM(AN314:AO314)</f>
        <v/>
      </c>
      <c r="AQ314" s="28" t="n"/>
      <c r="AR314" s="30" t="n"/>
      <c r="AS314" s="29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1" t="n"/>
      <c r="AU314" s="21" t="n"/>
      <c r="AV314" s="27">
        <f>SUM(AT314:AU314)</f>
        <v/>
      </c>
      <c r="AW314" s="28" t="n"/>
      <c r="AX314" s="30" t="n"/>
      <c r="AY314" s="29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1" t="n"/>
      <c r="BA314" s="21" t="n"/>
      <c r="BB314" s="27">
        <f>SUM(AZ314:BA314)</f>
        <v/>
      </c>
      <c r="BC314" s="28" t="n"/>
      <c r="BD314" s="28" t="n"/>
      <c r="BE314" s="29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1" t="n"/>
      <c r="BG314" s="21" t="n"/>
      <c r="BH314" s="27">
        <f>SUM(BF314:BG314)</f>
        <v/>
      </c>
      <c r="BI314" s="28" t="n"/>
      <c r="BJ314" s="28" t="n"/>
      <c r="BK314" s="29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1" t="n"/>
      <c r="BM314" s="21" t="n"/>
      <c r="BN314" s="27">
        <f>SUM(BL314:BM314)</f>
        <v/>
      </c>
      <c r="BO314" s="28" t="n"/>
      <c r="BP314" s="31" t="n"/>
      <c r="BQ314" s="29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1" t="n"/>
      <c r="BS314" s="21" t="n"/>
      <c r="BT314" s="27">
        <f>SUM(BR314:BS314)</f>
        <v/>
      </c>
      <c r="BU314" s="28" t="n"/>
      <c r="BV314" s="31" t="n"/>
      <c r="BW314" s="29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1" t="n"/>
      <c r="BY314" s="21" t="n"/>
      <c r="BZ314" s="27">
        <f>SUM(BX314:BY314)</f>
        <v/>
      </c>
      <c r="CA314" s="28" t="n"/>
      <c r="CB314" s="31" t="n"/>
      <c r="CC314" s="29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1" t="n"/>
      <c r="CE314" s="21" t="n"/>
      <c r="CF314" s="27">
        <f>SUM(CD314:CE314)</f>
        <v/>
      </c>
      <c r="CG314" s="28" t="n"/>
      <c r="CH314" s="31" t="n"/>
      <c r="CI314" s="29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1" t="n"/>
      <c r="CK314" s="21" t="n"/>
      <c r="CL314" s="27">
        <f>SUM(CJ314:CK314)</f>
        <v/>
      </c>
      <c r="CM314" s="28" t="n"/>
      <c r="CN314" s="31" t="n"/>
      <c r="CO314" s="29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1" t="n"/>
      <c r="CQ314" s="21" t="n"/>
      <c r="CR314" s="27">
        <f>SUM(CP314:CQ314)</f>
        <v/>
      </c>
      <c r="CS314" s="28" t="n"/>
      <c r="CT314" s="31" t="n"/>
      <c r="CU314" s="29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1" t="n"/>
      <c r="CW314" s="21" t="n"/>
      <c r="CX314" s="27">
        <f>SUM(CV314:CW314)</f>
        <v/>
      </c>
      <c r="CY314" s="28" t="n"/>
      <c r="CZ314" s="31" t="n"/>
      <c r="DA314" s="29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1" t="n"/>
      <c r="DC314" s="21" t="n"/>
      <c r="DD314" s="27">
        <f>SUM(DB314:DC314)</f>
        <v/>
      </c>
      <c r="DE314" s="28" t="n"/>
      <c r="DF314" s="31" t="n"/>
      <c r="DG314" s="29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34">
        <f>SUM(O314,U314,AA314,AG314,AM314,AS314,AY314,BE314,BK314,BQ314,BW314,CC314,CI314,CO314,CU314,DA314,DG314)</f>
        <v/>
      </c>
      <c r="DI314" s="39">
        <f>RANK(DH314,DH$4:DH$503)</f>
        <v/>
      </c>
      <c r="DJ314" s="40" t="inlineStr">
        <is>
          <t>CHOOSE RATING</t>
        </is>
      </c>
      <c r="DK314" s="40" t="inlineStr">
        <is>
          <t>CHOOSE RATING</t>
        </is>
      </c>
      <c r="DL314" s="40" t="inlineStr">
        <is>
          <t>CHOOSE RATING</t>
        </is>
      </c>
      <c r="DM314" s="40" t="inlineStr">
        <is>
          <t>CHOOSE RATING</t>
        </is>
      </c>
      <c r="DN314" s="40" t="inlineStr">
        <is>
          <t>CHOOSE RATING</t>
        </is>
      </c>
      <c r="DO314" s="40" t="inlineStr">
        <is>
          <t>CHOOSE RATING</t>
        </is>
      </c>
      <c r="DP314" s="40" t="inlineStr">
        <is>
          <t>CHOOSE RATING</t>
        </is>
      </c>
      <c r="DQ314" s="40" t="inlineStr">
        <is>
          <t>CHOOSE RATING</t>
        </is>
      </c>
      <c r="DR314" s="43" t="inlineStr">
        <is>
          <t>2024/2025</t>
        </is>
      </c>
      <c r="DS314" s="45" t="inlineStr">
        <is>
          <t>THIRD</t>
        </is>
      </c>
      <c r="DT314" s="40" t="inlineStr">
        <is>
          <t>CHOOSE RATING</t>
        </is>
      </c>
      <c r="DU314" s="40" t="inlineStr">
        <is>
          <t>CHOOSE RATING</t>
        </is>
      </c>
      <c r="DV314" s="40" t="inlineStr">
        <is>
          <t>CHOOSE RATING</t>
        </is>
      </c>
      <c r="DW314" s="40" t="inlineStr">
        <is>
          <t>CHOOSE RATING</t>
        </is>
      </c>
      <c r="DX314" s="40" t="inlineStr">
        <is>
          <t>CHOOSE RATING</t>
        </is>
      </c>
      <c r="DY314" s="40" t="inlineStr">
        <is>
          <t>CHOOSE RATING</t>
        </is>
      </c>
      <c r="DZ314" s="53" t="inlineStr">
        <is>
          <t>CHOOSE RATING</t>
        </is>
      </c>
      <c r="EA314" s="54" t="inlineStr">
        <is>
          <t>Add the Tutor's Comment . . .</t>
        </is>
      </c>
      <c r="EB314" s="55" t="inlineStr">
        <is>
          <t>Choose Principals comment</t>
        </is>
      </c>
      <c r="EC314" s="56" t="n"/>
      <c r="ED314" s="57" t="inlineStr">
        <is>
          <t>Next Term Begins on Monday, 22nd September, 2025</t>
        </is>
      </c>
    </row>
    <row r="315" ht="30.6" customHeight="1" s="6">
      <c r="A315" s="18" t="n">
        <v>312</v>
      </c>
      <c r="B315" s="19" t="n"/>
      <c r="C315" s="20" t="n"/>
      <c r="D315" s="128" t="n"/>
      <c r="E315" s="21" t="n"/>
      <c r="F315" s="22" t="n"/>
      <c r="G315" s="22" t="n"/>
      <c r="H315" s="22" t="n"/>
      <c r="I315" s="26">
        <f>G315-H315</f>
        <v/>
      </c>
      <c r="J315" s="21" t="n"/>
      <c r="K315" s="21" t="n"/>
      <c r="L315" s="27">
        <f>SUM(J315:K315)</f>
        <v/>
      </c>
      <c r="M315" s="28" t="n"/>
      <c r="N315" s="28" t="n"/>
      <c r="O315" s="29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1" t="n"/>
      <c r="Q315" s="21" t="n"/>
      <c r="R315" s="27">
        <f>SUM(P315:Q315)</f>
        <v/>
      </c>
      <c r="S315" s="28" t="n"/>
      <c r="T315" s="28" t="n"/>
      <c r="U315" s="29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1" t="n"/>
      <c r="W315" s="21" t="n"/>
      <c r="X315" s="27">
        <f>SUM(V315:W315)</f>
        <v/>
      </c>
      <c r="Y315" s="28" t="n"/>
      <c r="Z315" s="28" t="n"/>
      <c r="AA315" s="29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1" t="n"/>
      <c r="AC315" s="21" t="n"/>
      <c r="AD315" s="27">
        <f>SUM(AB315:AC315)</f>
        <v/>
      </c>
      <c r="AE315" s="28" t="n"/>
      <c r="AF315" s="28" t="n"/>
      <c r="AG315" s="29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1" t="n"/>
      <c r="AI315" s="21" t="n"/>
      <c r="AJ315" s="27">
        <f>SUM(AH315:AI315)</f>
        <v/>
      </c>
      <c r="AK315" s="28" t="n"/>
      <c r="AL315" s="28" t="n"/>
      <c r="AM315" s="29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1" t="n"/>
      <c r="AO315" s="21" t="n"/>
      <c r="AP315" s="27">
        <f>SUM(AN315:AO315)</f>
        <v/>
      </c>
      <c r="AQ315" s="28" t="n"/>
      <c r="AR315" s="30" t="n"/>
      <c r="AS315" s="29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1" t="n"/>
      <c r="AU315" s="21" t="n"/>
      <c r="AV315" s="27">
        <f>SUM(AT315:AU315)</f>
        <v/>
      </c>
      <c r="AW315" s="28" t="n"/>
      <c r="AX315" s="30" t="n"/>
      <c r="AY315" s="29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1" t="n"/>
      <c r="BA315" s="21" t="n"/>
      <c r="BB315" s="27">
        <f>SUM(AZ315:BA315)</f>
        <v/>
      </c>
      <c r="BC315" s="28" t="n"/>
      <c r="BD315" s="28" t="n"/>
      <c r="BE315" s="29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1" t="n"/>
      <c r="BG315" s="21" t="n"/>
      <c r="BH315" s="27">
        <f>SUM(BF315:BG315)</f>
        <v/>
      </c>
      <c r="BI315" s="28" t="n"/>
      <c r="BJ315" s="28" t="n"/>
      <c r="BK315" s="29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1" t="n"/>
      <c r="BM315" s="21" t="n"/>
      <c r="BN315" s="27">
        <f>SUM(BL315:BM315)</f>
        <v/>
      </c>
      <c r="BO315" s="28" t="n"/>
      <c r="BP315" s="31" t="n"/>
      <c r="BQ315" s="29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1" t="n"/>
      <c r="BS315" s="21" t="n"/>
      <c r="BT315" s="27">
        <f>SUM(BR315:BS315)</f>
        <v/>
      </c>
      <c r="BU315" s="28" t="n"/>
      <c r="BV315" s="31" t="n"/>
      <c r="BW315" s="29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1" t="n"/>
      <c r="BY315" s="21" t="n"/>
      <c r="BZ315" s="27">
        <f>SUM(BX315:BY315)</f>
        <v/>
      </c>
      <c r="CA315" s="28" t="n"/>
      <c r="CB315" s="31" t="n"/>
      <c r="CC315" s="29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1" t="n"/>
      <c r="CE315" s="21" t="n"/>
      <c r="CF315" s="27">
        <f>SUM(CD315:CE315)</f>
        <v/>
      </c>
      <c r="CG315" s="28" t="n"/>
      <c r="CH315" s="31" t="n"/>
      <c r="CI315" s="29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1" t="n"/>
      <c r="CK315" s="21" t="n"/>
      <c r="CL315" s="27">
        <f>SUM(CJ315:CK315)</f>
        <v/>
      </c>
      <c r="CM315" s="28" t="n"/>
      <c r="CN315" s="31" t="n"/>
      <c r="CO315" s="29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1" t="n"/>
      <c r="CQ315" s="21" t="n"/>
      <c r="CR315" s="27">
        <f>SUM(CP315:CQ315)</f>
        <v/>
      </c>
      <c r="CS315" s="28" t="n"/>
      <c r="CT315" s="31" t="n"/>
      <c r="CU315" s="29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1" t="n"/>
      <c r="CW315" s="21" t="n"/>
      <c r="CX315" s="27">
        <f>SUM(CV315:CW315)</f>
        <v/>
      </c>
      <c r="CY315" s="28" t="n"/>
      <c r="CZ315" s="31" t="n"/>
      <c r="DA315" s="29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1" t="n"/>
      <c r="DC315" s="21" t="n"/>
      <c r="DD315" s="27">
        <f>SUM(DB315:DC315)</f>
        <v/>
      </c>
      <c r="DE315" s="28" t="n"/>
      <c r="DF315" s="31" t="n"/>
      <c r="DG315" s="29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34">
        <f>SUM(O315,U315,AA315,AG315,AM315,AS315,AY315,BE315,BK315,BQ315,BW315,CC315,CI315,CO315,CU315,DA315,DG315)</f>
        <v/>
      </c>
      <c r="DI315" s="39">
        <f>RANK(DH315,DH$4:DH$503)</f>
        <v/>
      </c>
      <c r="DJ315" s="40" t="inlineStr">
        <is>
          <t>CHOOSE RATING</t>
        </is>
      </c>
      <c r="DK315" s="40" t="inlineStr">
        <is>
          <t>CHOOSE RATING</t>
        </is>
      </c>
      <c r="DL315" s="40" t="inlineStr">
        <is>
          <t>CHOOSE RATING</t>
        </is>
      </c>
      <c r="DM315" s="40" t="inlineStr">
        <is>
          <t>CHOOSE RATING</t>
        </is>
      </c>
      <c r="DN315" s="40" t="inlineStr">
        <is>
          <t>CHOOSE RATING</t>
        </is>
      </c>
      <c r="DO315" s="40" t="inlineStr">
        <is>
          <t>CHOOSE RATING</t>
        </is>
      </c>
      <c r="DP315" s="40" t="inlineStr">
        <is>
          <t>CHOOSE RATING</t>
        </is>
      </c>
      <c r="DQ315" s="40" t="inlineStr">
        <is>
          <t>CHOOSE RATING</t>
        </is>
      </c>
      <c r="DR315" s="43" t="inlineStr">
        <is>
          <t>2024/2025</t>
        </is>
      </c>
      <c r="DS315" s="45" t="inlineStr">
        <is>
          <t>THIRD</t>
        </is>
      </c>
      <c r="DT315" s="40" t="inlineStr">
        <is>
          <t>CHOOSE RATING</t>
        </is>
      </c>
      <c r="DU315" s="40" t="inlineStr">
        <is>
          <t>CHOOSE RATING</t>
        </is>
      </c>
      <c r="DV315" s="40" t="inlineStr">
        <is>
          <t>CHOOSE RATING</t>
        </is>
      </c>
      <c r="DW315" s="40" t="inlineStr">
        <is>
          <t>CHOOSE RATING</t>
        </is>
      </c>
      <c r="DX315" s="40" t="inlineStr">
        <is>
          <t>CHOOSE RATING</t>
        </is>
      </c>
      <c r="DY315" s="40" t="inlineStr">
        <is>
          <t>CHOOSE RATING</t>
        </is>
      </c>
      <c r="DZ315" s="53" t="inlineStr">
        <is>
          <t>CHOOSE RATING</t>
        </is>
      </c>
      <c r="EA315" s="54" t="inlineStr">
        <is>
          <t>Add the Tutor's Comment . . .</t>
        </is>
      </c>
      <c r="EB315" s="55" t="inlineStr">
        <is>
          <t>Choose Principals comment</t>
        </is>
      </c>
      <c r="EC315" s="56" t="n"/>
      <c r="ED315" s="57" t="inlineStr">
        <is>
          <t>Next Term Begins on Monday, 22nd September, 2025</t>
        </is>
      </c>
    </row>
    <row r="316" ht="30.6" customHeight="1" s="6">
      <c r="A316" s="18" t="n">
        <v>313</v>
      </c>
      <c r="B316" s="19" t="n"/>
      <c r="C316" s="20" t="n"/>
      <c r="D316" s="128" t="n"/>
      <c r="E316" s="21" t="n"/>
      <c r="F316" s="22" t="n"/>
      <c r="G316" s="22" t="n"/>
      <c r="H316" s="22" t="n"/>
      <c r="I316" s="26">
        <f>G316-H316</f>
        <v/>
      </c>
      <c r="J316" s="21" t="n"/>
      <c r="K316" s="21" t="n"/>
      <c r="L316" s="27">
        <f>SUM(J316:K316)</f>
        <v/>
      </c>
      <c r="M316" s="28" t="n"/>
      <c r="N316" s="28" t="n"/>
      <c r="O316" s="29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1" t="n"/>
      <c r="Q316" s="21" t="n"/>
      <c r="R316" s="27">
        <f>SUM(P316:Q316)</f>
        <v/>
      </c>
      <c r="S316" s="28" t="n"/>
      <c r="T316" s="28" t="n"/>
      <c r="U316" s="29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1" t="n"/>
      <c r="W316" s="21" t="n"/>
      <c r="X316" s="27">
        <f>SUM(V316:W316)</f>
        <v/>
      </c>
      <c r="Y316" s="28" t="n"/>
      <c r="Z316" s="28" t="n"/>
      <c r="AA316" s="29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1" t="n"/>
      <c r="AC316" s="21" t="n"/>
      <c r="AD316" s="27">
        <f>SUM(AB316:AC316)</f>
        <v/>
      </c>
      <c r="AE316" s="28" t="n"/>
      <c r="AF316" s="28" t="n"/>
      <c r="AG316" s="29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1" t="n"/>
      <c r="AI316" s="21" t="n"/>
      <c r="AJ316" s="27">
        <f>SUM(AH316:AI316)</f>
        <v/>
      </c>
      <c r="AK316" s="28" t="n"/>
      <c r="AL316" s="28" t="n"/>
      <c r="AM316" s="29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1" t="n"/>
      <c r="AO316" s="21" t="n"/>
      <c r="AP316" s="27">
        <f>SUM(AN316:AO316)</f>
        <v/>
      </c>
      <c r="AQ316" s="28" t="n"/>
      <c r="AR316" s="30" t="n"/>
      <c r="AS316" s="29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1" t="n"/>
      <c r="AU316" s="21" t="n"/>
      <c r="AV316" s="27">
        <f>SUM(AT316:AU316)</f>
        <v/>
      </c>
      <c r="AW316" s="28" t="n"/>
      <c r="AX316" s="30" t="n"/>
      <c r="AY316" s="29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1" t="n"/>
      <c r="BA316" s="21" t="n"/>
      <c r="BB316" s="27">
        <f>SUM(AZ316:BA316)</f>
        <v/>
      </c>
      <c r="BC316" s="28" t="n"/>
      <c r="BD316" s="28" t="n"/>
      <c r="BE316" s="29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1" t="n"/>
      <c r="BG316" s="21" t="n"/>
      <c r="BH316" s="27">
        <f>SUM(BF316:BG316)</f>
        <v/>
      </c>
      <c r="BI316" s="28" t="n"/>
      <c r="BJ316" s="28" t="n"/>
      <c r="BK316" s="29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1" t="n"/>
      <c r="BM316" s="21" t="n"/>
      <c r="BN316" s="27">
        <f>SUM(BL316:BM316)</f>
        <v/>
      </c>
      <c r="BO316" s="28" t="n"/>
      <c r="BP316" s="31" t="n"/>
      <c r="BQ316" s="29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1" t="n"/>
      <c r="BS316" s="21" t="n"/>
      <c r="BT316" s="27">
        <f>SUM(BR316:BS316)</f>
        <v/>
      </c>
      <c r="BU316" s="28" t="n"/>
      <c r="BV316" s="31" t="n"/>
      <c r="BW316" s="29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1" t="n"/>
      <c r="BY316" s="21" t="n"/>
      <c r="BZ316" s="27">
        <f>SUM(BX316:BY316)</f>
        <v/>
      </c>
      <c r="CA316" s="28" t="n"/>
      <c r="CB316" s="31" t="n"/>
      <c r="CC316" s="29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1" t="n"/>
      <c r="CE316" s="21" t="n"/>
      <c r="CF316" s="27">
        <f>SUM(CD316:CE316)</f>
        <v/>
      </c>
      <c r="CG316" s="28" t="n"/>
      <c r="CH316" s="31" t="n"/>
      <c r="CI316" s="29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1" t="n"/>
      <c r="CK316" s="21" t="n"/>
      <c r="CL316" s="27">
        <f>SUM(CJ316:CK316)</f>
        <v/>
      </c>
      <c r="CM316" s="28" t="n"/>
      <c r="CN316" s="31" t="n"/>
      <c r="CO316" s="29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1" t="n"/>
      <c r="CQ316" s="21" t="n"/>
      <c r="CR316" s="27">
        <f>SUM(CP316:CQ316)</f>
        <v/>
      </c>
      <c r="CS316" s="28" t="n"/>
      <c r="CT316" s="31" t="n"/>
      <c r="CU316" s="29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1" t="n"/>
      <c r="CW316" s="21" t="n"/>
      <c r="CX316" s="27">
        <f>SUM(CV316:CW316)</f>
        <v/>
      </c>
      <c r="CY316" s="28" t="n"/>
      <c r="CZ316" s="31" t="n"/>
      <c r="DA316" s="29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1" t="n"/>
      <c r="DC316" s="21" t="n"/>
      <c r="DD316" s="27">
        <f>SUM(DB316:DC316)</f>
        <v/>
      </c>
      <c r="DE316" s="28" t="n"/>
      <c r="DF316" s="31" t="n"/>
      <c r="DG316" s="29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34">
        <f>SUM(O316,U316,AA316,AG316,AM316,AS316,AY316,BE316,BK316,BQ316,BW316,CC316,CI316,CO316,CU316,DA316,DG316)</f>
        <v/>
      </c>
      <c r="DI316" s="39">
        <f>RANK(DH316,DH$4:DH$503)</f>
        <v/>
      </c>
      <c r="DJ316" s="40" t="inlineStr">
        <is>
          <t>CHOOSE RATING</t>
        </is>
      </c>
      <c r="DK316" s="40" t="inlineStr">
        <is>
          <t>CHOOSE RATING</t>
        </is>
      </c>
      <c r="DL316" s="40" t="inlineStr">
        <is>
          <t>CHOOSE RATING</t>
        </is>
      </c>
      <c r="DM316" s="40" t="inlineStr">
        <is>
          <t>CHOOSE RATING</t>
        </is>
      </c>
      <c r="DN316" s="40" t="inlineStr">
        <is>
          <t>CHOOSE RATING</t>
        </is>
      </c>
      <c r="DO316" s="40" t="inlineStr">
        <is>
          <t>CHOOSE RATING</t>
        </is>
      </c>
      <c r="DP316" s="40" t="inlineStr">
        <is>
          <t>CHOOSE RATING</t>
        </is>
      </c>
      <c r="DQ316" s="40" t="inlineStr">
        <is>
          <t>CHOOSE RATING</t>
        </is>
      </c>
      <c r="DR316" s="43" t="inlineStr">
        <is>
          <t>2024/2025</t>
        </is>
      </c>
      <c r="DS316" s="45" t="inlineStr">
        <is>
          <t>THIRD</t>
        </is>
      </c>
      <c r="DT316" s="40" t="inlineStr">
        <is>
          <t>CHOOSE RATING</t>
        </is>
      </c>
      <c r="DU316" s="40" t="inlineStr">
        <is>
          <t>CHOOSE RATING</t>
        </is>
      </c>
      <c r="DV316" s="40" t="inlineStr">
        <is>
          <t>CHOOSE RATING</t>
        </is>
      </c>
      <c r="DW316" s="40" t="inlineStr">
        <is>
          <t>CHOOSE RATING</t>
        </is>
      </c>
      <c r="DX316" s="40" t="inlineStr">
        <is>
          <t>CHOOSE RATING</t>
        </is>
      </c>
      <c r="DY316" s="40" t="inlineStr">
        <is>
          <t>CHOOSE RATING</t>
        </is>
      </c>
      <c r="DZ316" s="53" t="inlineStr">
        <is>
          <t>CHOOSE RATING</t>
        </is>
      </c>
      <c r="EA316" s="54" t="inlineStr">
        <is>
          <t>Add the Tutor's Comment . . .</t>
        </is>
      </c>
      <c r="EB316" s="55" t="inlineStr">
        <is>
          <t>Choose Principals comment</t>
        </is>
      </c>
      <c r="EC316" s="56" t="n"/>
      <c r="ED316" s="57" t="inlineStr">
        <is>
          <t>Next Term Begins on Monday, 22nd September, 2025</t>
        </is>
      </c>
    </row>
    <row r="317" ht="30.6" customHeight="1" s="6">
      <c r="A317" s="18" t="n">
        <v>314</v>
      </c>
      <c r="B317" s="19" t="n"/>
      <c r="C317" s="20" t="n"/>
      <c r="D317" s="128" t="n"/>
      <c r="E317" s="21" t="n"/>
      <c r="F317" s="22" t="n"/>
      <c r="G317" s="22" t="n"/>
      <c r="H317" s="22" t="n"/>
      <c r="I317" s="26">
        <f>G317-H317</f>
        <v/>
      </c>
      <c r="J317" s="21" t="n"/>
      <c r="K317" s="21" t="n"/>
      <c r="L317" s="27">
        <f>SUM(J317:K317)</f>
        <v/>
      </c>
      <c r="M317" s="28" t="n"/>
      <c r="N317" s="28" t="n"/>
      <c r="O317" s="29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1" t="n"/>
      <c r="Q317" s="21" t="n"/>
      <c r="R317" s="27">
        <f>SUM(P317:Q317)</f>
        <v/>
      </c>
      <c r="S317" s="28" t="n"/>
      <c r="T317" s="28" t="n"/>
      <c r="U317" s="29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1" t="n"/>
      <c r="W317" s="21" t="n"/>
      <c r="X317" s="27">
        <f>SUM(V317:W317)</f>
        <v/>
      </c>
      <c r="Y317" s="28" t="n"/>
      <c r="Z317" s="28" t="n"/>
      <c r="AA317" s="29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1" t="n"/>
      <c r="AC317" s="21" t="n"/>
      <c r="AD317" s="27">
        <f>SUM(AB317:AC317)</f>
        <v/>
      </c>
      <c r="AE317" s="28" t="n"/>
      <c r="AF317" s="28" t="n"/>
      <c r="AG317" s="29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1" t="n"/>
      <c r="AI317" s="21" t="n"/>
      <c r="AJ317" s="27">
        <f>SUM(AH317:AI317)</f>
        <v/>
      </c>
      <c r="AK317" s="28" t="n"/>
      <c r="AL317" s="28" t="n"/>
      <c r="AM317" s="29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1" t="n"/>
      <c r="AO317" s="21" t="n"/>
      <c r="AP317" s="27">
        <f>SUM(AN317:AO317)</f>
        <v/>
      </c>
      <c r="AQ317" s="28" t="n"/>
      <c r="AR317" s="30" t="n"/>
      <c r="AS317" s="29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1" t="n"/>
      <c r="AU317" s="21" t="n"/>
      <c r="AV317" s="27">
        <f>SUM(AT317:AU317)</f>
        <v/>
      </c>
      <c r="AW317" s="28" t="n"/>
      <c r="AX317" s="30" t="n"/>
      <c r="AY317" s="29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1" t="n"/>
      <c r="BA317" s="21" t="n"/>
      <c r="BB317" s="27">
        <f>SUM(AZ317:BA317)</f>
        <v/>
      </c>
      <c r="BC317" s="28" t="n"/>
      <c r="BD317" s="28" t="n"/>
      <c r="BE317" s="29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1" t="n"/>
      <c r="BG317" s="21" t="n"/>
      <c r="BH317" s="27">
        <f>SUM(BF317:BG317)</f>
        <v/>
      </c>
      <c r="BI317" s="28" t="n"/>
      <c r="BJ317" s="28" t="n"/>
      <c r="BK317" s="29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1" t="n"/>
      <c r="BM317" s="21" t="n"/>
      <c r="BN317" s="27">
        <f>SUM(BL317:BM317)</f>
        <v/>
      </c>
      <c r="BO317" s="28" t="n"/>
      <c r="BP317" s="31" t="n"/>
      <c r="BQ317" s="29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1" t="n"/>
      <c r="BS317" s="21" t="n"/>
      <c r="BT317" s="27">
        <f>SUM(BR317:BS317)</f>
        <v/>
      </c>
      <c r="BU317" s="28" t="n"/>
      <c r="BV317" s="31" t="n"/>
      <c r="BW317" s="29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1" t="n"/>
      <c r="BY317" s="21" t="n"/>
      <c r="BZ317" s="27">
        <f>SUM(BX317:BY317)</f>
        <v/>
      </c>
      <c r="CA317" s="28" t="n"/>
      <c r="CB317" s="31" t="n"/>
      <c r="CC317" s="29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1" t="n"/>
      <c r="CE317" s="21" t="n"/>
      <c r="CF317" s="27">
        <f>SUM(CD317:CE317)</f>
        <v/>
      </c>
      <c r="CG317" s="28" t="n"/>
      <c r="CH317" s="31" t="n"/>
      <c r="CI317" s="29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1" t="n"/>
      <c r="CK317" s="21" t="n"/>
      <c r="CL317" s="27">
        <f>SUM(CJ317:CK317)</f>
        <v/>
      </c>
      <c r="CM317" s="28" t="n"/>
      <c r="CN317" s="31" t="n"/>
      <c r="CO317" s="29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1" t="n"/>
      <c r="CQ317" s="21" t="n"/>
      <c r="CR317" s="27">
        <f>SUM(CP317:CQ317)</f>
        <v/>
      </c>
      <c r="CS317" s="28" t="n"/>
      <c r="CT317" s="31" t="n"/>
      <c r="CU317" s="29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1" t="n"/>
      <c r="CW317" s="21" t="n"/>
      <c r="CX317" s="27">
        <f>SUM(CV317:CW317)</f>
        <v/>
      </c>
      <c r="CY317" s="28" t="n"/>
      <c r="CZ317" s="31" t="n"/>
      <c r="DA317" s="29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1" t="n"/>
      <c r="DC317" s="21" t="n"/>
      <c r="DD317" s="27">
        <f>SUM(DB317:DC317)</f>
        <v/>
      </c>
      <c r="DE317" s="28" t="n"/>
      <c r="DF317" s="31" t="n"/>
      <c r="DG317" s="29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34">
        <f>SUM(O317,U317,AA317,AG317,AM317,AS317,AY317,BE317,BK317,BQ317,BW317,CC317,CI317,CO317,CU317,DA317,DG317)</f>
        <v/>
      </c>
      <c r="DI317" s="39">
        <f>RANK(DH317,DH$4:DH$503)</f>
        <v/>
      </c>
      <c r="DJ317" s="40" t="inlineStr">
        <is>
          <t>CHOOSE RATING</t>
        </is>
      </c>
      <c r="DK317" s="40" t="inlineStr">
        <is>
          <t>CHOOSE RATING</t>
        </is>
      </c>
      <c r="DL317" s="40" t="inlineStr">
        <is>
          <t>CHOOSE RATING</t>
        </is>
      </c>
      <c r="DM317" s="40" t="inlineStr">
        <is>
          <t>CHOOSE RATING</t>
        </is>
      </c>
      <c r="DN317" s="40" t="inlineStr">
        <is>
          <t>CHOOSE RATING</t>
        </is>
      </c>
      <c r="DO317" s="40" t="inlineStr">
        <is>
          <t>CHOOSE RATING</t>
        </is>
      </c>
      <c r="DP317" s="40" t="inlineStr">
        <is>
          <t>CHOOSE RATING</t>
        </is>
      </c>
      <c r="DQ317" s="40" t="inlineStr">
        <is>
          <t>CHOOSE RATING</t>
        </is>
      </c>
      <c r="DR317" s="43" t="inlineStr">
        <is>
          <t>2024/2025</t>
        </is>
      </c>
      <c r="DS317" s="45" t="inlineStr">
        <is>
          <t>THIRD</t>
        </is>
      </c>
      <c r="DT317" s="40" t="inlineStr">
        <is>
          <t>CHOOSE RATING</t>
        </is>
      </c>
      <c r="DU317" s="40" t="inlineStr">
        <is>
          <t>CHOOSE RATING</t>
        </is>
      </c>
      <c r="DV317" s="40" t="inlineStr">
        <is>
          <t>CHOOSE RATING</t>
        </is>
      </c>
      <c r="DW317" s="40" t="inlineStr">
        <is>
          <t>CHOOSE RATING</t>
        </is>
      </c>
      <c r="DX317" s="40" t="inlineStr">
        <is>
          <t>CHOOSE RATING</t>
        </is>
      </c>
      <c r="DY317" s="40" t="inlineStr">
        <is>
          <t>CHOOSE RATING</t>
        </is>
      </c>
      <c r="DZ317" s="53" t="inlineStr">
        <is>
          <t>CHOOSE RATING</t>
        </is>
      </c>
      <c r="EA317" s="54" t="inlineStr">
        <is>
          <t>Add the Tutor's Comment . . .</t>
        </is>
      </c>
      <c r="EB317" s="55" t="inlineStr">
        <is>
          <t>Choose Principals comment</t>
        </is>
      </c>
      <c r="EC317" s="56" t="n"/>
      <c r="ED317" s="57" t="inlineStr">
        <is>
          <t>Next Term Begins on Monday, 22nd September, 2025</t>
        </is>
      </c>
    </row>
    <row r="318" ht="30.6" customHeight="1" s="6">
      <c r="A318" s="18" t="n">
        <v>315</v>
      </c>
      <c r="B318" s="19" t="n"/>
      <c r="C318" s="20" t="n"/>
      <c r="D318" s="128" t="n"/>
      <c r="E318" s="21" t="n"/>
      <c r="F318" s="22" t="n"/>
      <c r="G318" s="22" t="n"/>
      <c r="H318" s="22" t="n"/>
      <c r="I318" s="26">
        <f>G318-H318</f>
        <v/>
      </c>
      <c r="J318" s="21" t="n"/>
      <c r="K318" s="21" t="n"/>
      <c r="L318" s="27">
        <f>SUM(J318:K318)</f>
        <v/>
      </c>
      <c r="M318" s="28" t="n"/>
      <c r="N318" s="28" t="n"/>
      <c r="O318" s="29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1" t="n"/>
      <c r="Q318" s="21" t="n"/>
      <c r="R318" s="27">
        <f>SUM(P318:Q318)</f>
        <v/>
      </c>
      <c r="S318" s="28" t="n"/>
      <c r="T318" s="28" t="n"/>
      <c r="U318" s="29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1" t="n"/>
      <c r="W318" s="21" t="n"/>
      <c r="X318" s="27">
        <f>SUM(V318:W318)</f>
        <v/>
      </c>
      <c r="Y318" s="28" t="n"/>
      <c r="Z318" s="28" t="n"/>
      <c r="AA318" s="29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1" t="n"/>
      <c r="AC318" s="21" t="n"/>
      <c r="AD318" s="27">
        <f>SUM(AB318:AC318)</f>
        <v/>
      </c>
      <c r="AE318" s="28" t="n"/>
      <c r="AF318" s="28" t="n"/>
      <c r="AG318" s="29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1" t="n"/>
      <c r="AI318" s="21" t="n"/>
      <c r="AJ318" s="27">
        <f>SUM(AH318:AI318)</f>
        <v/>
      </c>
      <c r="AK318" s="28" t="n"/>
      <c r="AL318" s="28" t="n"/>
      <c r="AM318" s="29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1" t="n"/>
      <c r="AO318" s="21" t="n"/>
      <c r="AP318" s="27">
        <f>SUM(AN318:AO318)</f>
        <v/>
      </c>
      <c r="AQ318" s="28" t="n"/>
      <c r="AR318" s="30" t="n"/>
      <c r="AS318" s="29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1" t="n"/>
      <c r="AU318" s="21" t="n"/>
      <c r="AV318" s="27">
        <f>SUM(AT318:AU318)</f>
        <v/>
      </c>
      <c r="AW318" s="28" t="n"/>
      <c r="AX318" s="30" t="n"/>
      <c r="AY318" s="29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1" t="n"/>
      <c r="BA318" s="21" t="n"/>
      <c r="BB318" s="27">
        <f>SUM(AZ318:BA318)</f>
        <v/>
      </c>
      <c r="BC318" s="28" t="n"/>
      <c r="BD318" s="28" t="n"/>
      <c r="BE318" s="29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1" t="n"/>
      <c r="BG318" s="21" t="n"/>
      <c r="BH318" s="27">
        <f>SUM(BF318:BG318)</f>
        <v/>
      </c>
      <c r="BI318" s="28" t="n"/>
      <c r="BJ318" s="28" t="n"/>
      <c r="BK318" s="29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1" t="n"/>
      <c r="BM318" s="21" t="n"/>
      <c r="BN318" s="27">
        <f>SUM(BL318:BM318)</f>
        <v/>
      </c>
      <c r="BO318" s="28" t="n"/>
      <c r="BP318" s="31" t="n"/>
      <c r="BQ318" s="29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1" t="n"/>
      <c r="BS318" s="21" t="n"/>
      <c r="BT318" s="27">
        <f>SUM(BR318:BS318)</f>
        <v/>
      </c>
      <c r="BU318" s="28" t="n"/>
      <c r="BV318" s="31" t="n"/>
      <c r="BW318" s="29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1" t="n"/>
      <c r="BY318" s="21" t="n"/>
      <c r="BZ318" s="27">
        <f>SUM(BX318:BY318)</f>
        <v/>
      </c>
      <c r="CA318" s="28" t="n"/>
      <c r="CB318" s="31" t="n"/>
      <c r="CC318" s="29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1" t="n"/>
      <c r="CE318" s="21" t="n"/>
      <c r="CF318" s="27">
        <f>SUM(CD318:CE318)</f>
        <v/>
      </c>
      <c r="CG318" s="28" t="n"/>
      <c r="CH318" s="31" t="n"/>
      <c r="CI318" s="29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1" t="n"/>
      <c r="CK318" s="21" t="n"/>
      <c r="CL318" s="27">
        <f>SUM(CJ318:CK318)</f>
        <v/>
      </c>
      <c r="CM318" s="28" t="n"/>
      <c r="CN318" s="31" t="n"/>
      <c r="CO318" s="29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1" t="n"/>
      <c r="CQ318" s="21" t="n"/>
      <c r="CR318" s="27">
        <f>SUM(CP318:CQ318)</f>
        <v/>
      </c>
      <c r="CS318" s="28" t="n"/>
      <c r="CT318" s="31" t="n"/>
      <c r="CU318" s="29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1" t="n"/>
      <c r="CW318" s="21" t="n"/>
      <c r="CX318" s="27">
        <f>SUM(CV318:CW318)</f>
        <v/>
      </c>
      <c r="CY318" s="28" t="n"/>
      <c r="CZ318" s="31" t="n"/>
      <c r="DA318" s="29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1" t="n"/>
      <c r="DC318" s="21" t="n"/>
      <c r="DD318" s="27">
        <f>SUM(DB318:DC318)</f>
        <v/>
      </c>
      <c r="DE318" s="28" t="n"/>
      <c r="DF318" s="31" t="n"/>
      <c r="DG318" s="29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34">
        <f>SUM(O318,U318,AA318,AG318,AM318,AS318,AY318,BE318,BK318,BQ318,BW318,CC318,CI318,CO318,CU318,DA318,DG318)</f>
        <v/>
      </c>
      <c r="DI318" s="39">
        <f>RANK(DH318,DH$4:DH$503)</f>
        <v/>
      </c>
      <c r="DJ318" s="40" t="inlineStr">
        <is>
          <t>CHOOSE RATING</t>
        </is>
      </c>
      <c r="DK318" s="40" t="inlineStr">
        <is>
          <t>CHOOSE RATING</t>
        </is>
      </c>
      <c r="DL318" s="40" t="inlineStr">
        <is>
          <t>CHOOSE RATING</t>
        </is>
      </c>
      <c r="DM318" s="40" t="inlineStr">
        <is>
          <t>CHOOSE RATING</t>
        </is>
      </c>
      <c r="DN318" s="40" t="inlineStr">
        <is>
          <t>CHOOSE RATING</t>
        </is>
      </c>
      <c r="DO318" s="40" t="inlineStr">
        <is>
          <t>CHOOSE RATING</t>
        </is>
      </c>
      <c r="DP318" s="40" t="inlineStr">
        <is>
          <t>CHOOSE RATING</t>
        </is>
      </c>
      <c r="DQ318" s="40" t="inlineStr">
        <is>
          <t>CHOOSE RATING</t>
        </is>
      </c>
      <c r="DR318" s="43" t="inlineStr">
        <is>
          <t>2024/2025</t>
        </is>
      </c>
      <c r="DS318" s="45" t="inlineStr">
        <is>
          <t>THIRD</t>
        </is>
      </c>
      <c r="DT318" s="40" t="inlineStr">
        <is>
          <t>CHOOSE RATING</t>
        </is>
      </c>
      <c r="DU318" s="40" t="inlineStr">
        <is>
          <t>CHOOSE RATING</t>
        </is>
      </c>
      <c r="DV318" s="40" t="inlineStr">
        <is>
          <t>CHOOSE RATING</t>
        </is>
      </c>
      <c r="DW318" s="40" t="inlineStr">
        <is>
          <t>CHOOSE RATING</t>
        </is>
      </c>
      <c r="DX318" s="40" t="inlineStr">
        <is>
          <t>CHOOSE RATING</t>
        </is>
      </c>
      <c r="DY318" s="40" t="inlineStr">
        <is>
          <t>CHOOSE RATING</t>
        </is>
      </c>
      <c r="DZ318" s="53" t="inlineStr">
        <is>
          <t>CHOOSE RATING</t>
        </is>
      </c>
      <c r="EA318" s="54" t="inlineStr">
        <is>
          <t>Add the Tutor's Comment . . .</t>
        </is>
      </c>
      <c r="EB318" s="55" t="inlineStr">
        <is>
          <t>Choose Principals comment</t>
        </is>
      </c>
      <c r="EC318" s="56" t="n"/>
      <c r="ED318" s="57" t="inlineStr">
        <is>
          <t>Next Term Begins on Monday, 22nd September, 2025</t>
        </is>
      </c>
    </row>
    <row r="319" ht="30.6" customHeight="1" s="6">
      <c r="A319" s="18" t="n">
        <v>316</v>
      </c>
      <c r="B319" s="19" t="n"/>
      <c r="C319" s="20" t="n"/>
      <c r="D319" s="128" t="n"/>
      <c r="E319" s="21" t="n"/>
      <c r="F319" s="22" t="n"/>
      <c r="G319" s="22" t="n"/>
      <c r="H319" s="22" t="n"/>
      <c r="I319" s="26">
        <f>G319-H319</f>
        <v/>
      </c>
      <c r="J319" s="21" t="n"/>
      <c r="K319" s="21" t="n"/>
      <c r="L319" s="27">
        <f>SUM(J319:K319)</f>
        <v/>
      </c>
      <c r="M319" s="28" t="n"/>
      <c r="N319" s="28" t="n"/>
      <c r="O319" s="29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1" t="n"/>
      <c r="Q319" s="21" t="n"/>
      <c r="R319" s="27">
        <f>SUM(P319:Q319)</f>
        <v/>
      </c>
      <c r="S319" s="28" t="n"/>
      <c r="T319" s="28" t="n"/>
      <c r="U319" s="29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1" t="n"/>
      <c r="W319" s="21" t="n"/>
      <c r="X319" s="27">
        <f>SUM(V319:W319)</f>
        <v/>
      </c>
      <c r="Y319" s="28" t="n"/>
      <c r="Z319" s="28" t="n"/>
      <c r="AA319" s="29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1" t="n"/>
      <c r="AC319" s="21" t="n"/>
      <c r="AD319" s="27">
        <f>SUM(AB319:AC319)</f>
        <v/>
      </c>
      <c r="AE319" s="28" t="n"/>
      <c r="AF319" s="28" t="n"/>
      <c r="AG319" s="29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1" t="n"/>
      <c r="AI319" s="21" t="n"/>
      <c r="AJ319" s="27">
        <f>SUM(AH319:AI319)</f>
        <v/>
      </c>
      <c r="AK319" s="28" t="n"/>
      <c r="AL319" s="28" t="n"/>
      <c r="AM319" s="29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1" t="n"/>
      <c r="AO319" s="21" t="n"/>
      <c r="AP319" s="27">
        <f>SUM(AN319:AO319)</f>
        <v/>
      </c>
      <c r="AQ319" s="28" t="n"/>
      <c r="AR319" s="30" t="n"/>
      <c r="AS319" s="29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1" t="n"/>
      <c r="AU319" s="21" t="n"/>
      <c r="AV319" s="27">
        <f>SUM(AT319:AU319)</f>
        <v/>
      </c>
      <c r="AW319" s="28" t="n"/>
      <c r="AX319" s="30" t="n"/>
      <c r="AY319" s="29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1" t="n"/>
      <c r="BA319" s="21" t="n"/>
      <c r="BB319" s="27">
        <f>SUM(AZ319:BA319)</f>
        <v/>
      </c>
      <c r="BC319" s="28" t="n"/>
      <c r="BD319" s="28" t="n"/>
      <c r="BE319" s="29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1" t="n"/>
      <c r="BG319" s="21" t="n"/>
      <c r="BH319" s="27">
        <f>SUM(BF319:BG319)</f>
        <v/>
      </c>
      <c r="BI319" s="28" t="n"/>
      <c r="BJ319" s="28" t="n"/>
      <c r="BK319" s="29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1" t="n"/>
      <c r="BM319" s="21" t="n"/>
      <c r="BN319" s="27">
        <f>SUM(BL319:BM319)</f>
        <v/>
      </c>
      <c r="BO319" s="28" t="n"/>
      <c r="BP319" s="31" t="n"/>
      <c r="BQ319" s="29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1" t="n"/>
      <c r="BS319" s="21" t="n"/>
      <c r="BT319" s="27">
        <f>SUM(BR319:BS319)</f>
        <v/>
      </c>
      <c r="BU319" s="28" t="n"/>
      <c r="BV319" s="31" t="n"/>
      <c r="BW319" s="29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1" t="n"/>
      <c r="BY319" s="21" t="n"/>
      <c r="BZ319" s="27">
        <f>SUM(BX319:BY319)</f>
        <v/>
      </c>
      <c r="CA319" s="28" t="n"/>
      <c r="CB319" s="31" t="n"/>
      <c r="CC319" s="29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1" t="n"/>
      <c r="CE319" s="21" t="n"/>
      <c r="CF319" s="27">
        <f>SUM(CD319:CE319)</f>
        <v/>
      </c>
      <c r="CG319" s="28" t="n"/>
      <c r="CH319" s="31" t="n"/>
      <c r="CI319" s="29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1" t="n"/>
      <c r="CK319" s="21" t="n"/>
      <c r="CL319" s="27">
        <f>SUM(CJ319:CK319)</f>
        <v/>
      </c>
      <c r="CM319" s="28" t="n"/>
      <c r="CN319" s="31" t="n"/>
      <c r="CO319" s="29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1" t="n"/>
      <c r="CQ319" s="21" t="n"/>
      <c r="CR319" s="27">
        <f>SUM(CP319:CQ319)</f>
        <v/>
      </c>
      <c r="CS319" s="28" t="n"/>
      <c r="CT319" s="31" t="n"/>
      <c r="CU319" s="29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1" t="n"/>
      <c r="CW319" s="21" t="n"/>
      <c r="CX319" s="27">
        <f>SUM(CV319:CW319)</f>
        <v/>
      </c>
      <c r="CY319" s="28" t="n"/>
      <c r="CZ319" s="31" t="n"/>
      <c r="DA319" s="29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1" t="n"/>
      <c r="DC319" s="21" t="n"/>
      <c r="DD319" s="27">
        <f>SUM(DB319:DC319)</f>
        <v/>
      </c>
      <c r="DE319" s="28" t="n"/>
      <c r="DF319" s="31" t="n"/>
      <c r="DG319" s="29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34">
        <f>SUM(O319,U319,AA319,AG319,AM319,AS319,AY319,BE319,BK319,BQ319,BW319,CC319,CI319,CO319,CU319,DA319,DG319)</f>
        <v/>
      </c>
      <c r="DI319" s="39">
        <f>RANK(DH319,DH$4:DH$503)</f>
        <v/>
      </c>
      <c r="DJ319" s="40" t="inlineStr">
        <is>
          <t>CHOOSE RATING</t>
        </is>
      </c>
      <c r="DK319" s="40" t="inlineStr">
        <is>
          <t>CHOOSE RATING</t>
        </is>
      </c>
      <c r="DL319" s="40" t="inlineStr">
        <is>
          <t>CHOOSE RATING</t>
        </is>
      </c>
      <c r="DM319" s="40" t="inlineStr">
        <is>
          <t>CHOOSE RATING</t>
        </is>
      </c>
      <c r="DN319" s="40" t="inlineStr">
        <is>
          <t>CHOOSE RATING</t>
        </is>
      </c>
      <c r="DO319" s="40" t="inlineStr">
        <is>
          <t>CHOOSE RATING</t>
        </is>
      </c>
      <c r="DP319" s="40" t="inlineStr">
        <is>
          <t>CHOOSE RATING</t>
        </is>
      </c>
      <c r="DQ319" s="40" t="inlineStr">
        <is>
          <t>CHOOSE RATING</t>
        </is>
      </c>
      <c r="DR319" s="43" t="inlineStr">
        <is>
          <t>2024/2025</t>
        </is>
      </c>
      <c r="DS319" s="45" t="inlineStr">
        <is>
          <t>THIRD</t>
        </is>
      </c>
      <c r="DT319" s="40" t="inlineStr">
        <is>
          <t>CHOOSE RATING</t>
        </is>
      </c>
      <c r="DU319" s="40" t="inlineStr">
        <is>
          <t>CHOOSE RATING</t>
        </is>
      </c>
      <c r="DV319" s="40" t="inlineStr">
        <is>
          <t>CHOOSE RATING</t>
        </is>
      </c>
      <c r="DW319" s="40" t="inlineStr">
        <is>
          <t>CHOOSE RATING</t>
        </is>
      </c>
      <c r="DX319" s="40" t="inlineStr">
        <is>
          <t>CHOOSE RATING</t>
        </is>
      </c>
      <c r="DY319" s="40" t="inlineStr">
        <is>
          <t>CHOOSE RATING</t>
        </is>
      </c>
      <c r="DZ319" s="53" t="inlineStr">
        <is>
          <t>CHOOSE RATING</t>
        </is>
      </c>
      <c r="EA319" s="54" t="inlineStr">
        <is>
          <t>Add the Tutor's Comment . . .</t>
        </is>
      </c>
      <c r="EB319" s="55" t="inlineStr">
        <is>
          <t>Choose Principals comment</t>
        </is>
      </c>
      <c r="EC319" s="56" t="n"/>
      <c r="ED319" s="57" t="inlineStr">
        <is>
          <t>Next Term Begins on Monday, 22nd September, 2025</t>
        </is>
      </c>
    </row>
    <row r="320" ht="30.6" customHeight="1" s="6">
      <c r="A320" s="18" t="n">
        <v>317</v>
      </c>
      <c r="B320" s="19" t="n"/>
      <c r="C320" s="20" t="n"/>
      <c r="D320" s="128" t="n"/>
      <c r="E320" s="21" t="n"/>
      <c r="F320" s="22" t="n"/>
      <c r="G320" s="22" t="n"/>
      <c r="H320" s="22" t="n"/>
      <c r="I320" s="26">
        <f>G320-H320</f>
        <v/>
      </c>
      <c r="J320" s="21" t="n"/>
      <c r="K320" s="21" t="n"/>
      <c r="L320" s="27">
        <f>SUM(J320:K320)</f>
        <v/>
      </c>
      <c r="M320" s="28" t="n"/>
      <c r="N320" s="28" t="n"/>
      <c r="O320" s="29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1" t="n"/>
      <c r="Q320" s="21" t="n"/>
      <c r="R320" s="27">
        <f>SUM(P320:Q320)</f>
        <v/>
      </c>
      <c r="S320" s="28" t="n"/>
      <c r="T320" s="28" t="n"/>
      <c r="U320" s="29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1" t="n"/>
      <c r="W320" s="21" t="n"/>
      <c r="X320" s="27">
        <f>SUM(V320:W320)</f>
        <v/>
      </c>
      <c r="Y320" s="28" t="n"/>
      <c r="Z320" s="28" t="n"/>
      <c r="AA320" s="29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1" t="n"/>
      <c r="AC320" s="21" t="n"/>
      <c r="AD320" s="27">
        <f>SUM(AB320:AC320)</f>
        <v/>
      </c>
      <c r="AE320" s="28" t="n"/>
      <c r="AF320" s="28" t="n"/>
      <c r="AG320" s="29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1" t="n"/>
      <c r="AI320" s="21" t="n"/>
      <c r="AJ320" s="27">
        <f>SUM(AH320:AI320)</f>
        <v/>
      </c>
      <c r="AK320" s="28" t="n"/>
      <c r="AL320" s="28" t="n"/>
      <c r="AM320" s="29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1" t="n"/>
      <c r="AO320" s="21" t="n"/>
      <c r="AP320" s="27">
        <f>SUM(AN320:AO320)</f>
        <v/>
      </c>
      <c r="AQ320" s="28" t="n"/>
      <c r="AR320" s="30" t="n"/>
      <c r="AS320" s="29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1" t="n"/>
      <c r="AU320" s="21" t="n"/>
      <c r="AV320" s="27">
        <f>SUM(AT320:AU320)</f>
        <v/>
      </c>
      <c r="AW320" s="28" t="n"/>
      <c r="AX320" s="30" t="n"/>
      <c r="AY320" s="29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1" t="n"/>
      <c r="BA320" s="21" t="n"/>
      <c r="BB320" s="27">
        <f>SUM(AZ320:BA320)</f>
        <v/>
      </c>
      <c r="BC320" s="28" t="n"/>
      <c r="BD320" s="28" t="n"/>
      <c r="BE320" s="29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1" t="n"/>
      <c r="BG320" s="21" t="n"/>
      <c r="BH320" s="27">
        <f>SUM(BF320:BG320)</f>
        <v/>
      </c>
      <c r="BI320" s="28" t="n"/>
      <c r="BJ320" s="28" t="n"/>
      <c r="BK320" s="29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1" t="n"/>
      <c r="BM320" s="21" t="n"/>
      <c r="BN320" s="27">
        <f>SUM(BL320:BM320)</f>
        <v/>
      </c>
      <c r="BO320" s="28" t="n"/>
      <c r="BP320" s="31" t="n"/>
      <c r="BQ320" s="29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1" t="n"/>
      <c r="BS320" s="21" t="n"/>
      <c r="BT320" s="27">
        <f>SUM(BR320:BS320)</f>
        <v/>
      </c>
      <c r="BU320" s="28" t="n"/>
      <c r="BV320" s="31" t="n"/>
      <c r="BW320" s="29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1" t="n"/>
      <c r="BY320" s="21" t="n"/>
      <c r="BZ320" s="27">
        <f>SUM(BX320:BY320)</f>
        <v/>
      </c>
      <c r="CA320" s="28" t="n"/>
      <c r="CB320" s="31" t="n"/>
      <c r="CC320" s="29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1" t="n"/>
      <c r="CE320" s="21" t="n"/>
      <c r="CF320" s="27">
        <f>SUM(CD320:CE320)</f>
        <v/>
      </c>
      <c r="CG320" s="28" t="n"/>
      <c r="CH320" s="31" t="n"/>
      <c r="CI320" s="29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1" t="n"/>
      <c r="CK320" s="21" t="n"/>
      <c r="CL320" s="27">
        <f>SUM(CJ320:CK320)</f>
        <v/>
      </c>
      <c r="CM320" s="28" t="n"/>
      <c r="CN320" s="31" t="n"/>
      <c r="CO320" s="29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1" t="n"/>
      <c r="CQ320" s="21" t="n"/>
      <c r="CR320" s="27">
        <f>SUM(CP320:CQ320)</f>
        <v/>
      </c>
      <c r="CS320" s="28" t="n"/>
      <c r="CT320" s="31" t="n"/>
      <c r="CU320" s="29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1" t="n"/>
      <c r="CW320" s="21" t="n"/>
      <c r="CX320" s="27">
        <f>SUM(CV320:CW320)</f>
        <v/>
      </c>
      <c r="CY320" s="28" t="n"/>
      <c r="CZ320" s="31" t="n"/>
      <c r="DA320" s="29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1" t="n"/>
      <c r="DC320" s="21" t="n"/>
      <c r="DD320" s="27">
        <f>SUM(DB320:DC320)</f>
        <v/>
      </c>
      <c r="DE320" s="28" t="n"/>
      <c r="DF320" s="31" t="n"/>
      <c r="DG320" s="29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34">
        <f>SUM(O320,U320,AA320,AG320,AM320,AS320,AY320,BE320,BK320,BQ320,BW320,CC320,CI320,CO320,CU320,DA320,DG320)</f>
        <v/>
      </c>
      <c r="DI320" s="39">
        <f>RANK(DH320,DH$4:DH$503)</f>
        <v/>
      </c>
      <c r="DJ320" s="40" t="inlineStr">
        <is>
          <t>CHOOSE RATING</t>
        </is>
      </c>
      <c r="DK320" s="40" t="inlineStr">
        <is>
          <t>CHOOSE RATING</t>
        </is>
      </c>
      <c r="DL320" s="40" t="inlineStr">
        <is>
          <t>CHOOSE RATING</t>
        </is>
      </c>
      <c r="DM320" s="40" t="inlineStr">
        <is>
          <t>CHOOSE RATING</t>
        </is>
      </c>
      <c r="DN320" s="40" t="inlineStr">
        <is>
          <t>CHOOSE RATING</t>
        </is>
      </c>
      <c r="DO320" s="40" t="inlineStr">
        <is>
          <t>CHOOSE RATING</t>
        </is>
      </c>
      <c r="DP320" s="40" t="inlineStr">
        <is>
          <t>CHOOSE RATING</t>
        </is>
      </c>
      <c r="DQ320" s="40" t="inlineStr">
        <is>
          <t>CHOOSE RATING</t>
        </is>
      </c>
      <c r="DR320" s="43" t="inlineStr">
        <is>
          <t>2024/2025</t>
        </is>
      </c>
      <c r="DS320" s="45" t="inlineStr">
        <is>
          <t>THIRD</t>
        </is>
      </c>
      <c r="DT320" s="40" t="inlineStr">
        <is>
          <t>CHOOSE RATING</t>
        </is>
      </c>
      <c r="DU320" s="40" t="inlineStr">
        <is>
          <t>CHOOSE RATING</t>
        </is>
      </c>
      <c r="DV320" s="40" t="inlineStr">
        <is>
          <t>CHOOSE RATING</t>
        </is>
      </c>
      <c r="DW320" s="40" t="inlineStr">
        <is>
          <t>CHOOSE RATING</t>
        </is>
      </c>
      <c r="DX320" s="40" t="inlineStr">
        <is>
          <t>CHOOSE RATING</t>
        </is>
      </c>
      <c r="DY320" s="40" t="inlineStr">
        <is>
          <t>CHOOSE RATING</t>
        </is>
      </c>
      <c r="DZ320" s="53" t="inlineStr">
        <is>
          <t>CHOOSE RATING</t>
        </is>
      </c>
      <c r="EA320" s="54" t="inlineStr">
        <is>
          <t>Add the Tutor's Comment . . .</t>
        </is>
      </c>
      <c r="EB320" s="55" t="inlineStr">
        <is>
          <t>Choose Principals comment</t>
        </is>
      </c>
      <c r="EC320" s="56" t="n"/>
      <c r="ED320" s="57" t="inlineStr">
        <is>
          <t>Next Term Begins on Monday, 22nd September, 2025</t>
        </is>
      </c>
    </row>
    <row r="321" ht="30.6" customHeight="1" s="6">
      <c r="A321" s="18" t="n">
        <v>318</v>
      </c>
      <c r="B321" s="19" t="n"/>
      <c r="C321" s="20" t="n"/>
      <c r="D321" s="128" t="n"/>
      <c r="E321" s="21" t="n"/>
      <c r="F321" s="22" t="n"/>
      <c r="G321" s="22" t="n"/>
      <c r="H321" s="22" t="n"/>
      <c r="I321" s="26">
        <f>G321-H321</f>
        <v/>
      </c>
      <c r="J321" s="21" t="n"/>
      <c r="K321" s="21" t="n"/>
      <c r="L321" s="27">
        <f>SUM(J321:K321)</f>
        <v/>
      </c>
      <c r="M321" s="28" t="n"/>
      <c r="N321" s="28" t="n"/>
      <c r="O321" s="29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1" t="n"/>
      <c r="Q321" s="21" t="n"/>
      <c r="R321" s="27">
        <f>SUM(P321:Q321)</f>
        <v/>
      </c>
      <c r="S321" s="28" t="n"/>
      <c r="T321" s="28" t="n"/>
      <c r="U321" s="29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1" t="n"/>
      <c r="W321" s="21" t="n"/>
      <c r="X321" s="27">
        <f>SUM(V321:W321)</f>
        <v/>
      </c>
      <c r="Y321" s="28" t="n"/>
      <c r="Z321" s="28" t="n"/>
      <c r="AA321" s="29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1" t="n"/>
      <c r="AC321" s="21" t="n"/>
      <c r="AD321" s="27">
        <f>SUM(AB321:AC321)</f>
        <v/>
      </c>
      <c r="AE321" s="28" t="n"/>
      <c r="AF321" s="28" t="n"/>
      <c r="AG321" s="29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1" t="n"/>
      <c r="AI321" s="21" t="n"/>
      <c r="AJ321" s="27">
        <f>SUM(AH321:AI321)</f>
        <v/>
      </c>
      <c r="AK321" s="28" t="n"/>
      <c r="AL321" s="28" t="n"/>
      <c r="AM321" s="29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1" t="n"/>
      <c r="AO321" s="21" t="n"/>
      <c r="AP321" s="27">
        <f>SUM(AN321:AO321)</f>
        <v/>
      </c>
      <c r="AQ321" s="28" t="n"/>
      <c r="AR321" s="30" t="n"/>
      <c r="AS321" s="29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1" t="n"/>
      <c r="AU321" s="21" t="n"/>
      <c r="AV321" s="27">
        <f>SUM(AT321:AU321)</f>
        <v/>
      </c>
      <c r="AW321" s="28" t="n"/>
      <c r="AX321" s="30" t="n"/>
      <c r="AY321" s="29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1" t="n"/>
      <c r="BA321" s="21" t="n"/>
      <c r="BB321" s="27">
        <f>SUM(AZ321:BA321)</f>
        <v/>
      </c>
      <c r="BC321" s="28" t="n"/>
      <c r="BD321" s="28" t="n"/>
      <c r="BE321" s="29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1" t="n"/>
      <c r="BG321" s="21" t="n"/>
      <c r="BH321" s="27">
        <f>SUM(BF321:BG321)</f>
        <v/>
      </c>
      <c r="BI321" s="28" t="n"/>
      <c r="BJ321" s="28" t="n"/>
      <c r="BK321" s="29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1" t="n"/>
      <c r="BM321" s="21" t="n"/>
      <c r="BN321" s="27">
        <f>SUM(BL321:BM321)</f>
        <v/>
      </c>
      <c r="BO321" s="28" t="n"/>
      <c r="BP321" s="31" t="n"/>
      <c r="BQ321" s="29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1" t="n"/>
      <c r="BS321" s="21" t="n"/>
      <c r="BT321" s="27">
        <f>SUM(BR321:BS321)</f>
        <v/>
      </c>
      <c r="BU321" s="28" t="n"/>
      <c r="BV321" s="31" t="n"/>
      <c r="BW321" s="29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1" t="n"/>
      <c r="BY321" s="21" t="n"/>
      <c r="BZ321" s="27">
        <f>SUM(BX321:BY321)</f>
        <v/>
      </c>
      <c r="CA321" s="28" t="n"/>
      <c r="CB321" s="31" t="n"/>
      <c r="CC321" s="29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1" t="n"/>
      <c r="CE321" s="21" t="n"/>
      <c r="CF321" s="27">
        <f>SUM(CD321:CE321)</f>
        <v/>
      </c>
      <c r="CG321" s="28" t="n"/>
      <c r="CH321" s="31" t="n"/>
      <c r="CI321" s="29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1" t="n"/>
      <c r="CK321" s="21" t="n"/>
      <c r="CL321" s="27">
        <f>SUM(CJ321:CK321)</f>
        <v/>
      </c>
      <c r="CM321" s="28" t="n"/>
      <c r="CN321" s="31" t="n"/>
      <c r="CO321" s="29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1" t="n"/>
      <c r="CQ321" s="21" t="n"/>
      <c r="CR321" s="27">
        <f>SUM(CP321:CQ321)</f>
        <v/>
      </c>
      <c r="CS321" s="28" t="n"/>
      <c r="CT321" s="31" t="n"/>
      <c r="CU321" s="29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1" t="n"/>
      <c r="CW321" s="21" t="n"/>
      <c r="CX321" s="27">
        <f>SUM(CV321:CW321)</f>
        <v/>
      </c>
      <c r="CY321" s="28" t="n"/>
      <c r="CZ321" s="31" t="n"/>
      <c r="DA321" s="29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1" t="n"/>
      <c r="DC321" s="21" t="n"/>
      <c r="DD321" s="27">
        <f>SUM(DB321:DC321)</f>
        <v/>
      </c>
      <c r="DE321" s="28" t="n"/>
      <c r="DF321" s="31" t="n"/>
      <c r="DG321" s="29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34">
        <f>SUM(O321,U321,AA321,AG321,AM321,AS321,AY321,BE321,BK321,BQ321,BW321,CC321,CI321,CO321,CU321,DA321,DG321)</f>
        <v/>
      </c>
      <c r="DI321" s="39">
        <f>RANK(DH321,DH$4:DH$503)</f>
        <v/>
      </c>
      <c r="DJ321" s="40" t="inlineStr">
        <is>
          <t>CHOOSE RATING</t>
        </is>
      </c>
      <c r="DK321" s="40" t="inlineStr">
        <is>
          <t>CHOOSE RATING</t>
        </is>
      </c>
      <c r="DL321" s="40" t="inlineStr">
        <is>
          <t>CHOOSE RATING</t>
        </is>
      </c>
      <c r="DM321" s="40" t="inlineStr">
        <is>
          <t>CHOOSE RATING</t>
        </is>
      </c>
      <c r="DN321" s="40" t="inlineStr">
        <is>
          <t>CHOOSE RATING</t>
        </is>
      </c>
      <c r="DO321" s="40" t="inlineStr">
        <is>
          <t>CHOOSE RATING</t>
        </is>
      </c>
      <c r="DP321" s="40" t="inlineStr">
        <is>
          <t>CHOOSE RATING</t>
        </is>
      </c>
      <c r="DQ321" s="40" t="inlineStr">
        <is>
          <t>CHOOSE RATING</t>
        </is>
      </c>
      <c r="DR321" s="43" t="inlineStr">
        <is>
          <t>2024/2025</t>
        </is>
      </c>
      <c r="DS321" s="45" t="inlineStr">
        <is>
          <t>THIRD</t>
        </is>
      </c>
      <c r="DT321" s="40" t="inlineStr">
        <is>
          <t>CHOOSE RATING</t>
        </is>
      </c>
      <c r="DU321" s="40" t="inlineStr">
        <is>
          <t>CHOOSE RATING</t>
        </is>
      </c>
      <c r="DV321" s="40" t="inlineStr">
        <is>
          <t>CHOOSE RATING</t>
        </is>
      </c>
      <c r="DW321" s="40" t="inlineStr">
        <is>
          <t>CHOOSE RATING</t>
        </is>
      </c>
      <c r="DX321" s="40" t="inlineStr">
        <is>
          <t>CHOOSE RATING</t>
        </is>
      </c>
      <c r="DY321" s="40" t="inlineStr">
        <is>
          <t>CHOOSE RATING</t>
        </is>
      </c>
      <c r="DZ321" s="53" t="inlineStr">
        <is>
          <t>CHOOSE RATING</t>
        </is>
      </c>
      <c r="EA321" s="54" t="inlineStr">
        <is>
          <t>Add the Tutor's Comment . . .</t>
        </is>
      </c>
      <c r="EB321" s="55" t="inlineStr">
        <is>
          <t>Choose Principals comment</t>
        </is>
      </c>
      <c r="EC321" s="56" t="n"/>
      <c r="ED321" s="57" t="inlineStr">
        <is>
          <t>Next Term Begins on Monday, 22nd September, 2025</t>
        </is>
      </c>
    </row>
    <row r="322" ht="30.6" customHeight="1" s="6">
      <c r="A322" s="18" t="n">
        <v>319</v>
      </c>
      <c r="B322" s="19" t="n"/>
      <c r="C322" s="20" t="n"/>
      <c r="D322" s="128" t="n"/>
      <c r="E322" s="21" t="n"/>
      <c r="F322" s="22" t="n"/>
      <c r="G322" s="22" t="n"/>
      <c r="H322" s="22" t="n"/>
      <c r="I322" s="26">
        <f>G322-H322</f>
        <v/>
      </c>
      <c r="J322" s="21" t="n"/>
      <c r="K322" s="21" t="n"/>
      <c r="L322" s="27">
        <f>SUM(J322:K322)</f>
        <v/>
      </c>
      <c r="M322" s="28" t="n"/>
      <c r="N322" s="28" t="n"/>
      <c r="O322" s="29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1" t="n"/>
      <c r="Q322" s="21" t="n"/>
      <c r="R322" s="27">
        <f>SUM(P322:Q322)</f>
        <v/>
      </c>
      <c r="S322" s="28" t="n"/>
      <c r="T322" s="28" t="n"/>
      <c r="U322" s="29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1" t="n"/>
      <c r="W322" s="21" t="n"/>
      <c r="X322" s="27">
        <f>SUM(V322:W322)</f>
        <v/>
      </c>
      <c r="Y322" s="28" t="n"/>
      <c r="Z322" s="28" t="n"/>
      <c r="AA322" s="29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1" t="n"/>
      <c r="AC322" s="21" t="n"/>
      <c r="AD322" s="27">
        <f>SUM(AB322:AC322)</f>
        <v/>
      </c>
      <c r="AE322" s="28" t="n"/>
      <c r="AF322" s="28" t="n"/>
      <c r="AG322" s="29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1" t="n"/>
      <c r="AI322" s="21" t="n"/>
      <c r="AJ322" s="27">
        <f>SUM(AH322:AI322)</f>
        <v/>
      </c>
      <c r="AK322" s="28" t="n"/>
      <c r="AL322" s="28" t="n"/>
      <c r="AM322" s="29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1" t="n"/>
      <c r="AO322" s="21" t="n"/>
      <c r="AP322" s="27">
        <f>SUM(AN322:AO322)</f>
        <v/>
      </c>
      <c r="AQ322" s="28" t="n"/>
      <c r="AR322" s="30" t="n"/>
      <c r="AS322" s="29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1" t="n"/>
      <c r="AU322" s="21" t="n"/>
      <c r="AV322" s="27">
        <f>SUM(AT322:AU322)</f>
        <v/>
      </c>
      <c r="AW322" s="28" t="n"/>
      <c r="AX322" s="30" t="n"/>
      <c r="AY322" s="29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1" t="n"/>
      <c r="BA322" s="21" t="n"/>
      <c r="BB322" s="27">
        <f>SUM(AZ322:BA322)</f>
        <v/>
      </c>
      <c r="BC322" s="28" t="n"/>
      <c r="BD322" s="28" t="n"/>
      <c r="BE322" s="29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1" t="n"/>
      <c r="BG322" s="21" t="n"/>
      <c r="BH322" s="27">
        <f>SUM(BF322:BG322)</f>
        <v/>
      </c>
      <c r="BI322" s="28" t="n"/>
      <c r="BJ322" s="28" t="n"/>
      <c r="BK322" s="29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1" t="n"/>
      <c r="BM322" s="21" t="n"/>
      <c r="BN322" s="27">
        <f>SUM(BL322:BM322)</f>
        <v/>
      </c>
      <c r="BO322" s="28" t="n"/>
      <c r="BP322" s="31" t="n"/>
      <c r="BQ322" s="29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1" t="n"/>
      <c r="BS322" s="21" t="n"/>
      <c r="BT322" s="27">
        <f>SUM(BR322:BS322)</f>
        <v/>
      </c>
      <c r="BU322" s="28" t="n"/>
      <c r="BV322" s="31" t="n"/>
      <c r="BW322" s="29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1" t="n"/>
      <c r="BY322" s="21" t="n"/>
      <c r="BZ322" s="27">
        <f>SUM(BX322:BY322)</f>
        <v/>
      </c>
      <c r="CA322" s="28" t="n"/>
      <c r="CB322" s="31" t="n"/>
      <c r="CC322" s="29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1" t="n"/>
      <c r="CE322" s="21" t="n"/>
      <c r="CF322" s="27">
        <f>SUM(CD322:CE322)</f>
        <v/>
      </c>
      <c r="CG322" s="28" t="n"/>
      <c r="CH322" s="31" t="n"/>
      <c r="CI322" s="29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1" t="n"/>
      <c r="CK322" s="21" t="n"/>
      <c r="CL322" s="27">
        <f>SUM(CJ322:CK322)</f>
        <v/>
      </c>
      <c r="CM322" s="28" t="n"/>
      <c r="CN322" s="31" t="n"/>
      <c r="CO322" s="29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1" t="n"/>
      <c r="CQ322" s="21" t="n"/>
      <c r="CR322" s="27">
        <f>SUM(CP322:CQ322)</f>
        <v/>
      </c>
      <c r="CS322" s="28" t="n"/>
      <c r="CT322" s="31" t="n"/>
      <c r="CU322" s="29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1" t="n"/>
      <c r="CW322" s="21" t="n"/>
      <c r="CX322" s="27">
        <f>SUM(CV322:CW322)</f>
        <v/>
      </c>
      <c r="CY322" s="28" t="n"/>
      <c r="CZ322" s="31" t="n"/>
      <c r="DA322" s="29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1" t="n"/>
      <c r="DC322" s="21" t="n"/>
      <c r="DD322" s="27">
        <f>SUM(DB322:DC322)</f>
        <v/>
      </c>
      <c r="DE322" s="28" t="n"/>
      <c r="DF322" s="31" t="n"/>
      <c r="DG322" s="29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34">
        <f>SUM(O322,U322,AA322,AG322,AM322,AS322,AY322,BE322,BK322,BQ322,BW322,CC322,CI322,CO322,CU322,DA322,DG322)</f>
        <v/>
      </c>
      <c r="DI322" s="39">
        <f>RANK(DH322,DH$4:DH$503)</f>
        <v/>
      </c>
      <c r="DJ322" s="40" t="inlineStr">
        <is>
          <t>CHOOSE RATING</t>
        </is>
      </c>
      <c r="DK322" s="40" t="inlineStr">
        <is>
          <t>CHOOSE RATING</t>
        </is>
      </c>
      <c r="DL322" s="40" t="inlineStr">
        <is>
          <t>CHOOSE RATING</t>
        </is>
      </c>
      <c r="DM322" s="40" t="inlineStr">
        <is>
          <t>CHOOSE RATING</t>
        </is>
      </c>
      <c r="DN322" s="40" t="inlineStr">
        <is>
          <t>CHOOSE RATING</t>
        </is>
      </c>
      <c r="DO322" s="40" t="inlineStr">
        <is>
          <t>CHOOSE RATING</t>
        </is>
      </c>
      <c r="DP322" s="40" t="inlineStr">
        <is>
          <t>CHOOSE RATING</t>
        </is>
      </c>
      <c r="DQ322" s="40" t="inlineStr">
        <is>
          <t>CHOOSE RATING</t>
        </is>
      </c>
      <c r="DR322" s="43" t="inlineStr">
        <is>
          <t>2024/2025</t>
        </is>
      </c>
      <c r="DS322" s="45" t="inlineStr">
        <is>
          <t>THIRD</t>
        </is>
      </c>
      <c r="DT322" s="40" t="inlineStr">
        <is>
          <t>CHOOSE RATING</t>
        </is>
      </c>
      <c r="DU322" s="40" t="inlineStr">
        <is>
          <t>CHOOSE RATING</t>
        </is>
      </c>
      <c r="DV322" s="40" t="inlineStr">
        <is>
          <t>CHOOSE RATING</t>
        </is>
      </c>
      <c r="DW322" s="40" t="inlineStr">
        <is>
          <t>CHOOSE RATING</t>
        </is>
      </c>
      <c r="DX322" s="40" t="inlineStr">
        <is>
          <t>CHOOSE RATING</t>
        </is>
      </c>
      <c r="DY322" s="40" t="inlineStr">
        <is>
          <t>CHOOSE RATING</t>
        </is>
      </c>
      <c r="DZ322" s="53" t="inlineStr">
        <is>
          <t>CHOOSE RATING</t>
        </is>
      </c>
      <c r="EA322" s="54" t="inlineStr">
        <is>
          <t>Add the Tutor's Comment . . .</t>
        </is>
      </c>
      <c r="EB322" s="55" t="inlineStr">
        <is>
          <t>Choose Principals comment</t>
        </is>
      </c>
      <c r="EC322" s="56" t="n"/>
      <c r="ED322" s="57" t="inlineStr">
        <is>
          <t>Next Term Begins on Monday, 22nd September, 2025</t>
        </is>
      </c>
    </row>
    <row r="323" ht="30.6" customHeight="1" s="6">
      <c r="A323" s="18" t="n">
        <v>320</v>
      </c>
      <c r="B323" s="19" t="n"/>
      <c r="C323" s="20" t="n"/>
      <c r="D323" s="128" t="n"/>
      <c r="E323" s="21" t="n"/>
      <c r="F323" s="22" t="n"/>
      <c r="G323" s="22" t="n"/>
      <c r="H323" s="22" t="n"/>
      <c r="I323" s="26">
        <f>G323-H323</f>
        <v/>
      </c>
      <c r="J323" s="21" t="n"/>
      <c r="K323" s="21" t="n"/>
      <c r="L323" s="27">
        <f>SUM(J323:K323)</f>
        <v/>
      </c>
      <c r="M323" s="28" t="n"/>
      <c r="N323" s="28" t="n"/>
      <c r="O323" s="29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1" t="n"/>
      <c r="Q323" s="21" t="n"/>
      <c r="R323" s="27">
        <f>SUM(P323:Q323)</f>
        <v/>
      </c>
      <c r="S323" s="28" t="n"/>
      <c r="T323" s="28" t="n"/>
      <c r="U323" s="29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1" t="n"/>
      <c r="W323" s="21" t="n"/>
      <c r="X323" s="27">
        <f>SUM(V323:W323)</f>
        <v/>
      </c>
      <c r="Y323" s="28" t="n"/>
      <c r="Z323" s="28" t="n"/>
      <c r="AA323" s="29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1" t="n"/>
      <c r="AC323" s="21" t="n"/>
      <c r="AD323" s="27">
        <f>SUM(AB323:AC323)</f>
        <v/>
      </c>
      <c r="AE323" s="28" t="n"/>
      <c r="AF323" s="28" t="n"/>
      <c r="AG323" s="29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1" t="n"/>
      <c r="AI323" s="21" t="n"/>
      <c r="AJ323" s="27">
        <f>SUM(AH323:AI323)</f>
        <v/>
      </c>
      <c r="AK323" s="28" t="n"/>
      <c r="AL323" s="28" t="n"/>
      <c r="AM323" s="29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1" t="n"/>
      <c r="AO323" s="21" t="n"/>
      <c r="AP323" s="27">
        <f>SUM(AN323:AO323)</f>
        <v/>
      </c>
      <c r="AQ323" s="28" t="n"/>
      <c r="AR323" s="30" t="n"/>
      <c r="AS323" s="29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1" t="n"/>
      <c r="AU323" s="21" t="n"/>
      <c r="AV323" s="27">
        <f>SUM(AT323:AU323)</f>
        <v/>
      </c>
      <c r="AW323" s="28" t="n"/>
      <c r="AX323" s="30" t="n"/>
      <c r="AY323" s="29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1" t="n"/>
      <c r="BA323" s="21" t="n"/>
      <c r="BB323" s="27">
        <f>SUM(AZ323:BA323)</f>
        <v/>
      </c>
      <c r="BC323" s="28" t="n"/>
      <c r="BD323" s="28" t="n"/>
      <c r="BE323" s="29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1" t="n"/>
      <c r="BG323" s="21" t="n"/>
      <c r="BH323" s="27">
        <f>SUM(BF323:BG323)</f>
        <v/>
      </c>
      <c r="BI323" s="28" t="n"/>
      <c r="BJ323" s="28" t="n"/>
      <c r="BK323" s="29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1" t="n"/>
      <c r="BM323" s="21" t="n"/>
      <c r="BN323" s="27">
        <f>SUM(BL323:BM323)</f>
        <v/>
      </c>
      <c r="BO323" s="28" t="n"/>
      <c r="BP323" s="31" t="n"/>
      <c r="BQ323" s="29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1" t="n"/>
      <c r="BS323" s="21" t="n"/>
      <c r="BT323" s="27">
        <f>SUM(BR323:BS323)</f>
        <v/>
      </c>
      <c r="BU323" s="28" t="n"/>
      <c r="BV323" s="31" t="n"/>
      <c r="BW323" s="29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1" t="n"/>
      <c r="BY323" s="21" t="n"/>
      <c r="BZ323" s="27">
        <f>SUM(BX323:BY323)</f>
        <v/>
      </c>
      <c r="CA323" s="28" t="n"/>
      <c r="CB323" s="31" t="n"/>
      <c r="CC323" s="29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1" t="n"/>
      <c r="CE323" s="21" t="n"/>
      <c r="CF323" s="27">
        <f>SUM(CD323:CE323)</f>
        <v/>
      </c>
      <c r="CG323" s="28" t="n"/>
      <c r="CH323" s="31" t="n"/>
      <c r="CI323" s="29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1" t="n"/>
      <c r="CK323" s="21" t="n"/>
      <c r="CL323" s="27">
        <f>SUM(CJ323:CK323)</f>
        <v/>
      </c>
      <c r="CM323" s="28" t="n"/>
      <c r="CN323" s="31" t="n"/>
      <c r="CO323" s="29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1" t="n"/>
      <c r="CQ323" s="21" t="n"/>
      <c r="CR323" s="27">
        <f>SUM(CP323:CQ323)</f>
        <v/>
      </c>
      <c r="CS323" s="28" t="n"/>
      <c r="CT323" s="31" t="n"/>
      <c r="CU323" s="29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1" t="n"/>
      <c r="CW323" s="21" t="n"/>
      <c r="CX323" s="27">
        <f>SUM(CV323:CW323)</f>
        <v/>
      </c>
      <c r="CY323" s="28" t="n"/>
      <c r="CZ323" s="31" t="n"/>
      <c r="DA323" s="29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1" t="n"/>
      <c r="DC323" s="21" t="n"/>
      <c r="DD323" s="27">
        <f>SUM(DB323:DC323)</f>
        <v/>
      </c>
      <c r="DE323" s="28" t="n"/>
      <c r="DF323" s="31" t="n"/>
      <c r="DG323" s="29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34">
        <f>SUM(O323,U323,AA323,AG323,AM323,AS323,AY323,BE323,BK323,BQ323,BW323,CC323,CI323,CO323,CU323,DA323,DG323)</f>
        <v/>
      </c>
      <c r="DI323" s="39">
        <f>RANK(DH323,DH$4:DH$503)</f>
        <v/>
      </c>
      <c r="DJ323" s="40" t="inlineStr">
        <is>
          <t>CHOOSE RATING</t>
        </is>
      </c>
      <c r="DK323" s="40" t="inlineStr">
        <is>
          <t>CHOOSE RATING</t>
        </is>
      </c>
      <c r="DL323" s="40" t="inlineStr">
        <is>
          <t>CHOOSE RATING</t>
        </is>
      </c>
      <c r="DM323" s="40" t="inlineStr">
        <is>
          <t>CHOOSE RATING</t>
        </is>
      </c>
      <c r="DN323" s="40" t="inlineStr">
        <is>
          <t>CHOOSE RATING</t>
        </is>
      </c>
      <c r="DO323" s="40" t="inlineStr">
        <is>
          <t>CHOOSE RATING</t>
        </is>
      </c>
      <c r="DP323" s="40" t="inlineStr">
        <is>
          <t>CHOOSE RATING</t>
        </is>
      </c>
      <c r="DQ323" s="40" t="inlineStr">
        <is>
          <t>CHOOSE RATING</t>
        </is>
      </c>
      <c r="DR323" s="43" t="inlineStr">
        <is>
          <t>2024/2025</t>
        </is>
      </c>
      <c r="DS323" s="45" t="inlineStr">
        <is>
          <t>THIRD</t>
        </is>
      </c>
      <c r="DT323" s="40" t="inlineStr">
        <is>
          <t>CHOOSE RATING</t>
        </is>
      </c>
      <c r="DU323" s="40" t="inlineStr">
        <is>
          <t>CHOOSE RATING</t>
        </is>
      </c>
      <c r="DV323" s="40" t="inlineStr">
        <is>
          <t>CHOOSE RATING</t>
        </is>
      </c>
      <c r="DW323" s="40" t="inlineStr">
        <is>
          <t>CHOOSE RATING</t>
        </is>
      </c>
      <c r="DX323" s="40" t="inlineStr">
        <is>
          <t>CHOOSE RATING</t>
        </is>
      </c>
      <c r="DY323" s="40" t="inlineStr">
        <is>
          <t>CHOOSE RATING</t>
        </is>
      </c>
      <c r="DZ323" s="53" t="inlineStr">
        <is>
          <t>CHOOSE RATING</t>
        </is>
      </c>
      <c r="EA323" s="54" t="inlineStr">
        <is>
          <t>Add the Tutor's Comment . . .</t>
        </is>
      </c>
      <c r="EB323" s="55" t="inlineStr">
        <is>
          <t>Choose Principals comment</t>
        </is>
      </c>
      <c r="EC323" s="56" t="n"/>
      <c r="ED323" s="57" t="inlineStr">
        <is>
          <t>Next Term Begins on Monday, 22nd September, 2025</t>
        </is>
      </c>
    </row>
    <row r="324" ht="30.6" customHeight="1" s="6">
      <c r="A324" s="18" t="n">
        <v>321</v>
      </c>
      <c r="B324" s="19" t="n"/>
      <c r="C324" s="20" t="n"/>
      <c r="D324" s="128" t="n"/>
      <c r="E324" s="21" t="n"/>
      <c r="F324" s="22" t="n"/>
      <c r="G324" s="22" t="n"/>
      <c r="H324" s="22" t="n"/>
      <c r="I324" s="26">
        <f>G324-H324</f>
        <v/>
      </c>
      <c r="J324" s="21" t="n"/>
      <c r="K324" s="21" t="n"/>
      <c r="L324" s="27">
        <f>SUM(J324:K324)</f>
        <v/>
      </c>
      <c r="M324" s="28" t="n"/>
      <c r="N324" s="28" t="n"/>
      <c r="O324" s="29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1" t="n"/>
      <c r="Q324" s="21" t="n"/>
      <c r="R324" s="27">
        <f>SUM(P324:Q324)</f>
        <v/>
      </c>
      <c r="S324" s="28" t="n"/>
      <c r="T324" s="28" t="n"/>
      <c r="U324" s="29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1" t="n"/>
      <c r="W324" s="21" t="n"/>
      <c r="X324" s="27">
        <f>SUM(V324:W324)</f>
        <v/>
      </c>
      <c r="Y324" s="28" t="n"/>
      <c r="Z324" s="28" t="n"/>
      <c r="AA324" s="29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1" t="n"/>
      <c r="AC324" s="21" t="n"/>
      <c r="AD324" s="27">
        <f>SUM(AB324:AC324)</f>
        <v/>
      </c>
      <c r="AE324" s="28" t="n"/>
      <c r="AF324" s="28" t="n"/>
      <c r="AG324" s="29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1" t="n"/>
      <c r="AI324" s="21" t="n"/>
      <c r="AJ324" s="27">
        <f>SUM(AH324:AI324)</f>
        <v/>
      </c>
      <c r="AK324" s="28" t="n"/>
      <c r="AL324" s="28" t="n"/>
      <c r="AM324" s="29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1" t="n"/>
      <c r="AO324" s="21" t="n"/>
      <c r="AP324" s="27">
        <f>SUM(AN324:AO324)</f>
        <v/>
      </c>
      <c r="AQ324" s="28" t="n"/>
      <c r="AR324" s="30" t="n"/>
      <c r="AS324" s="29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1" t="n"/>
      <c r="AU324" s="21" t="n"/>
      <c r="AV324" s="27">
        <f>SUM(AT324:AU324)</f>
        <v/>
      </c>
      <c r="AW324" s="28" t="n"/>
      <c r="AX324" s="30" t="n"/>
      <c r="AY324" s="29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1" t="n"/>
      <c r="BA324" s="21" t="n"/>
      <c r="BB324" s="27">
        <f>SUM(AZ324:BA324)</f>
        <v/>
      </c>
      <c r="BC324" s="28" t="n"/>
      <c r="BD324" s="28" t="n"/>
      <c r="BE324" s="29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1" t="n"/>
      <c r="BG324" s="21" t="n"/>
      <c r="BH324" s="27">
        <f>SUM(BF324:BG324)</f>
        <v/>
      </c>
      <c r="BI324" s="28" t="n"/>
      <c r="BJ324" s="28" t="n"/>
      <c r="BK324" s="29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1" t="n"/>
      <c r="BM324" s="21" t="n"/>
      <c r="BN324" s="27">
        <f>SUM(BL324:BM324)</f>
        <v/>
      </c>
      <c r="BO324" s="28" t="n"/>
      <c r="BP324" s="31" t="n"/>
      <c r="BQ324" s="29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1" t="n"/>
      <c r="BS324" s="21" t="n"/>
      <c r="BT324" s="27">
        <f>SUM(BR324:BS324)</f>
        <v/>
      </c>
      <c r="BU324" s="28" t="n"/>
      <c r="BV324" s="31" t="n"/>
      <c r="BW324" s="29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1" t="n"/>
      <c r="BY324" s="21" t="n"/>
      <c r="BZ324" s="27">
        <f>SUM(BX324:BY324)</f>
        <v/>
      </c>
      <c r="CA324" s="28" t="n"/>
      <c r="CB324" s="31" t="n"/>
      <c r="CC324" s="29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1" t="n"/>
      <c r="CE324" s="21" t="n"/>
      <c r="CF324" s="27">
        <f>SUM(CD324:CE324)</f>
        <v/>
      </c>
      <c r="CG324" s="28" t="n"/>
      <c r="CH324" s="31" t="n"/>
      <c r="CI324" s="29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1" t="n"/>
      <c r="CK324" s="21" t="n"/>
      <c r="CL324" s="27">
        <f>SUM(CJ324:CK324)</f>
        <v/>
      </c>
      <c r="CM324" s="28" t="n"/>
      <c r="CN324" s="31" t="n"/>
      <c r="CO324" s="29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1" t="n"/>
      <c r="CQ324" s="21" t="n"/>
      <c r="CR324" s="27">
        <f>SUM(CP324:CQ324)</f>
        <v/>
      </c>
      <c r="CS324" s="28" t="n"/>
      <c r="CT324" s="31" t="n"/>
      <c r="CU324" s="29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1" t="n"/>
      <c r="CW324" s="21" t="n"/>
      <c r="CX324" s="27">
        <f>SUM(CV324:CW324)</f>
        <v/>
      </c>
      <c r="CY324" s="28" t="n"/>
      <c r="CZ324" s="31" t="n"/>
      <c r="DA324" s="29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1" t="n"/>
      <c r="DC324" s="21" t="n"/>
      <c r="DD324" s="27">
        <f>SUM(DB324:DC324)</f>
        <v/>
      </c>
      <c r="DE324" s="28" t="n"/>
      <c r="DF324" s="31" t="n"/>
      <c r="DG324" s="29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34">
        <f>SUM(O324,U324,AA324,AG324,AM324,AS324,AY324,BE324,BK324,BQ324,BW324,CC324,CI324,CO324,CU324,DA324,DG324)</f>
        <v/>
      </c>
      <c r="DI324" s="39">
        <f>RANK(DH324,DH$4:DH$503)</f>
        <v/>
      </c>
      <c r="DJ324" s="40" t="inlineStr">
        <is>
          <t>CHOOSE RATING</t>
        </is>
      </c>
      <c r="DK324" s="40" t="inlineStr">
        <is>
          <t>CHOOSE RATING</t>
        </is>
      </c>
      <c r="DL324" s="40" t="inlineStr">
        <is>
          <t>CHOOSE RATING</t>
        </is>
      </c>
      <c r="DM324" s="40" t="inlineStr">
        <is>
          <t>CHOOSE RATING</t>
        </is>
      </c>
      <c r="DN324" s="40" t="inlineStr">
        <is>
          <t>CHOOSE RATING</t>
        </is>
      </c>
      <c r="DO324" s="40" t="inlineStr">
        <is>
          <t>CHOOSE RATING</t>
        </is>
      </c>
      <c r="DP324" s="40" t="inlineStr">
        <is>
          <t>CHOOSE RATING</t>
        </is>
      </c>
      <c r="DQ324" s="40" t="inlineStr">
        <is>
          <t>CHOOSE RATING</t>
        </is>
      </c>
      <c r="DR324" s="43" t="inlineStr">
        <is>
          <t>2024/2025</t>
        </is>
      </c>
      <c r="DS324" s="45" t="inlineStr">
        <is>
          <t>THIRD</t>
        </is>
      </c>
      <c r="DT324" s="40" t="inlineStr">
        <is>
          <t>CHOOSE RATING</t>
        </is>
      </c>
      <c r="DU324" s="40" t="inlineStr">
        <is>
          <t>CHOOSE RATING</t>
        </is>
      </c>
      <c r="DV324" s="40" t="inlineStr">
        <is>
          <t>CHOOSE RATING</t>
        </is>
      </c>
      <c r="DW324" s="40" t="inlineStr">
        <is>
          <t>CHOOSE RATING</t>
        </is>
      </c>
      <c r="DX324" s="40" t="inlineStr">
        <is>
          <t>CHOOSE RATING</t>
        </is>
      </c>
      <c r="DY324" s="40" t="inlineStr">
        <is>
          <t>CHOOSE RATING</t>
        </is>
      </c>
      <c r="DZ324" s="53" t="inlineStr">
        <is>
          <t>CHOOSE RATING</t>
        </is>
      </c>
      <c r="EA324" s="54" t="inlineStr">
        <is>
          <t>Add the Tutor's Comment . . .</t>
        </is>
      </c>
      <c r="EB324" s="55" t="inlineStr">
        <is>
          <t>Choose Principals comment</t>
        </is>
      </c>
      <c r="EC324" s="56" t="n"/>
      <c r="ED324" s="57" t="inlineStr">
        <is>
          <t>Next Term Begins on Monday, 22nd September, 2025</t>
        </is>
      </c>
    </row>
    <row r="325" ht="30.6" customHeight="1" s="6">
      <c r="A325" s="18" t="n">
        <v>322</v>
      </c>
      <c r="B325" s="19" t="n"/>
      <c r="C325" s="20" t="n"/>
      <c r="D325" s="128" t="n"/>
      <c r="E325" s="21" t="n"/>
      <c r="F325" s="22" t="n"/>
      <c r="G325" s="22" t="n"/>
      <c r="H325" s="22" t="n"/>
      <c r="I325" s="26">
        <f>G325-H325</f>
        <v/>
      </c>
      <c r="J325" s="21" t="n"/>
      <c r="K325" s="21" t="n"/>
      <c r="L325" s="27">
        <f>SUM(J325:K325)</f>
        <v/>
      </c>
      <c r="M325" s="28" t="n"/>
      <c r="N325" s="28" t="n"/>
      <c r="O325" s="29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1" t="n"/>
      <c r="Q325" s="21" t="n"/>
      <c r="R325" s="27">
        <f>SUM(P325:Q325)</f>
        <v/>
      </c>
      <c r="S325" s="28" t="n"/>
      <c r="T325" s="28" t="n"/>
      <c r="U325" s="29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1" t="n"/>
      <c r="W325" s="21" t="n"/>
      <c r="X325" s="27">
        <f>SUM(V325:W325)</f>
        <v/>
      </c>
      <c r="Y325" s="28" t="n"/>
      <c r="Z325" s="28" t="n"/>
      <c r="AA325" s="29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1" t="n"/>
      <c r="AC325" s="21" t="n"/>
      <c r="AD325" s="27">
        <f>SUM(AB325:AC325)</f>
        <v/>
      </c>
      <c r="AE325" s="28" t="n"/>
      <c r="AF325" s="28" t="n"/>
      <c r="AG325" s="29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1" t="n"/>
      <c r="AI325" s="21" t="n"/>
      <c r="AJ325" s="27">
        <f>SUM(AH325:AI325)</f>
        <v/>
      </c>
      <c r="AK325" s="28" t="n"/>
      <c r="AL325" s="28" t="n"/>
      <c r="AM325" s="29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1" t="n"/>
      <c r="AO325" s="21" t="n"/>
      <c r="AP325" s="27">
        <f>SUM(AN325:AO325)</f>
        <v/>
      </c>
      <c r="AQ325" s="28" t="n"/>
      <c r="AR325" s="30" t="n"/>
      <c r="AS325" s="29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1" t="n"/>
      <c r="AU325" s="21" t="n"/>
      <c r="AV325" s="27">
        <f>SUM(AT325:AU325)</f>
        <v/>
      </c>
      <c r="AW325" s="28" t="n"/>
      <c r="AX325" s="30" t="n"/>
      <c r="AY325" s="29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1" t="n"/>
      <c r="BA325" s="21" t="n"/>
      <c r="BB325" s="27">
        <f>SUM(AZ325:BA325)</f>
        <v/>
      </c>
      <c r="BC325" s="28" t="n"/>
      <c r="BD325" s="28" t="n"/>
      <c r="BE325" s="29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1" t="n"/>
      <c r="BG325" s="21" t="n"/>
      <c r="BH325" s="27">
        <f>SUM(BF325:BG325)</f>
        <v/>
      </c>
      <c r="BI325" s="28" t="n"/>
      <c r="BJ325" s="28" t="n"/>
      <c r="BK325" s="29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1" t="n"/>
      <c r="BM325" s="21" t="n"/>
      <c r="BN325" s="27">
        <f>SUM(BL325:BM325)</f>
        <v/>
      </c>
      <c r="BO325" s="28" t="n"/>
      <c r="BP325" s="31" t="n"/>
      <c r="BQ325" s="29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1" t="n"/>
      <c r="BS325" s="21" t="n"/>
      <c r="BT325" s="27">
        <f>SUM(BR325:BS325)</f>
        <v/>
      </c>
      <c r="BU325" s="28" t="n"/>
      <c r="BV325" s="31" t="n"/>
      <c r="BW325" s="29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1" t="n"/>
      <c r="BY325" s="21" t="n"/>
      <c r="BZ325" s="27">
        <f>SUM(BX325:BY325)</f>
        <v/>
      </c>
      <c r="CA325" s="28" t="n"/>
      <c r="CB325" s="31" t="n"/>
      <c r="CC325" s="29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1" t="n"/>
      <c r="CE325" s="21" t="n"/>
      <c r="CF325" s="27">
        <f>SUM(CD325:CE325)</f>
        <v/>
      </c>
      <c r="CG325" s="28" t="n"/>
      <c r="CH325" s="31" t="n"/>
      <c r="CI325" s="29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1" t="n"/>
      <c r="CK325" s="21" t="n"/>
      <c r="CL325" s="27">
        <f>SUM(CJ325:CK325)</f>
        <v/>
      </c>
      <c r="CM325" s="28" t="n"/>
      <c r="CN325" s="31" t="n"/>
      <c r="CO325" s="29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1" t="n"/>
      <c r="CQ325" s="21" t="n"/>
      <c r="CR325" s="27">
        <f>SUM(CP325:CQ325)</f>
        <v/>
      </c>
      <c r="CS325" s="28" t="n"/>
      <c r="CT325" s="31" t="n"/>
      <c r="CU325" s="29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1" t="n"/>
      <c r="CW325" s="21" t="n"/>
      <c r="CX325" s="27">
        <f>SUM(CV325:CW325)</f>
        <v/>
      </c>
      <c r="CY325" s="28" t="n"/>
      <c r="CZ325" s="31" t="n"/>
      <c r="DA325" s="29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1" t="n"/>
      <c r="DC325" s="21" t="n"/>
      <c r="DD325" s="27">
        <f>SUM(DB325:DC325)</f>
        <v/>
      </c>
      <c r="DE325" s="28" t="n"/>
      <c r="DF325" s="31" t="n"/>
      <c r="DG325" s="29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34">
        <f>SUM(O325,U325,AA325,AG325,AM325,AS325,AY325,BE325,BK325,BQ325,BW325,CC325,CI325,CO325,CU325,DA325,DG325)</f>
        <v/>
      </c>
      <c r="DI325" s="39">
        <f>RANK(DH325,DH$4:DH$503)</f>
        <v/>
      </c>
      <c r="DJ325" s="40" t="inlineStr">
        <is>
          <t>CHOOSE RATING</t>
        </is>
      </c>
      <c r="DK325" s="40" t="inlineStr">
        <is>
          <t>CHOOSE RATING</t>
        </is>
      </c>
      <c r="DL325" s="40" t="inlineStr">
        <is>
          <t>CHOOSE RATING</t>
        </is>
      </c>
      <c r="DM325" s="40" t="inlineStr">
        <is>
          <t>CHOOSE RATING</t>
        </is>
      </c>
      <c r="DN325" s="40" t="inlineStr">
        <is>
          <t>CHOOSE RATING</t>
        </is>
      </c>
      <c r="DO325" s="40" t="inlineStr">
        <is>
          <t>CHOOSE RATING</t>
        </is>
      </c>
      <c r="DP325" s="40" t="inlineStr">
        <is>
          <t>CHOOSE RATING</t>
        </is>
      </c>
      <c r="DQ325" s="40" t="inlineStr">
        <is>
          <t>CHOOSE RATING</t>
        </is>
      </c>
      <c r="DR325" s="43" t="inlineStr">
        <is>
          <t>2024/2025</t>
        </is>
      </c>
      <c r="DS325" s="45" t="inlineStr">
        <is>
          <t>THIRD</t>
        </is>
      </c>
      <c r="DT325" s="40" t="inlineStr">
        <is>
          <t>CHOOSE RATING</t>
        </is>
      </c>
      <c r="DU325" s="40" t="inlineStr">
        <is>
          <t>CHOOSE RATING</t>
        </is>
      </c>
      <c r="DV325" s="40" t="inlineStr">
        <is>
          <t>CHOOSE RATING</t>
        </is>
      </c>
      <c r="DW325" s="40" t="inlineStr">
        <is>
          <t>CHOOSE RATING</t>
        </is>
      </c>
      <c r="DX325" s="40" t="inlineStr">
        <is>
          <t>CHOOSE RATING</t>
        </is>
      </c>
      <c r="DY325" s="40" t="inlineStr">
        <is>
          <t>CHOOSE RATING</t>
        </is>
      </c>
      <c r="DZ325" s="53" t="inlineStr">
        <is>
          <t>CHOOSE RATING</t>
        </is>
      </c>
      <c r="EA325" s="54" t="inlineStr">
        <is>
          <t>Add the Tutor's Comment . . .</t>
        </is>
      </c>
      <c r="EB325" s="55" t="inlineStr">
        <is>
          <t>Choose Principals comment</t>
        </is>
      </c>
      <c r="EC325" s="56" t="n"/>
      <c r="ED325" s="57" t="inlineStr">
        <is>
          <t>Next Term Begins on Monday, 22nd September, 2025</t>
        </is>
      </c>
    </row>
    <row r="326" ht="30.6" customHeight="1" s="6">
      <c r="A326" s="18" t="n">
        <v>323</v>
      </c>
      <c r="B326" s="19" t="n"/>
      <c r="C326" s="20" t="n"/>
      <c r="D326" s="128" t="n"/>
      <c r="E326" s="21" t="n"/>
      <c r="F326" s="22" t="n"/>
      <c r="G326" s="22" t="n"/>
      <c r="H326" s="22" t="n"/>
      <c r="I326" s="26">
        <f>G326-H326</f>
        <v/>
      </c>
      <c r="J326" s="21" t="n"/>
      <c r="K326" s="21" t="n"/>
      <c r="L326" s="27">
        <f>SUM(J326:K326)</f>
        <v/>
      </c>
      <c r="M326" s="28" t="n"/>
      <c r="N326" s="28" t="n"/>
      <c r="O326" s="29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1" t="n"/>
      <c r="Q326" s="21" t="n"/>
      <c r="R326" s="27">
        <f>SUM(P326:Q326)</f>
        <v/>
      </c>
      <c r="S326" s="28" t="n"/>
      <c r="T326" s="28" t="n"/>
      <c r="U326" s="29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1" t="n"/>
      <c r="W326" s="21" t="n"/>
      <c r="X326" s="27">
        <f>SUM(V326:W326)</f>
        <v/>
      </c>
      <c r="Y326" s="28" t="n"/>
      <c r="Z326" s="28" t="n"/>
      <c r="AA326" s="29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1" t="n"/>
      <c r="AC326" s="21" t="n"/>
      <c r="AD326" s="27">
        <f>SUM(AB326:AC326)</f>
        <v/>
      </c>
      <c r="AE326" s="28" t="n"/>
      <c r="AF326" s="28" t="n"/>
      <c r="AG326" s="29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1" t="n"/>
      <c r="AI326" s="21" t="n"/>
      <c r="AJ326" s="27">
        <f>SUM(AH326:AI326)</f>
        <v/>
      </c>
      <c r="AK326" s="28" t="n"/>
      <c r="AL326" s="28" t="n"/>
      <c r="AM326" s="29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1" t="n"/>
      <c r="AO326" s="21" t="n"/>
      <c r="AP326" s="27">
        <f>SUM(AN326:AO326)</f>
        <v/>
      </c>
      <c r="AQ326" s="28" t="n"/>
      <c r="AR326" s="30" t="n"/>
      <c r="AS326" s="29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1" t="n"/>
      <c r="AU326" s="21" t="n"/>
      <c r="AV326" s="27">
        <f>SUM(AT326:AU326)</f>
        <v/>
      </c>
      <c r="AW326" s="28" t="n"/>
      <c r="AX326" s="30" t="n"/>
      <c r="AY326" s="29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1" t="n"/>
      <c r="BA326" s="21" t="n"/>
      <c r="BB326" s="27">
        <f>SUM(AZ326:BA326)</f>
        <v/>
      </c>
      <c r="BC326" s="28" t="n"/>
      <c r="BD326" s="28" t="n"/>
      <c r="BE326" s="29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1" t="n"/>
      <c r="BG326" s="21" t="n"/>
      <c r="BH326" s="27">
        <f>SUM(BF326:BG326)</f>
        <v/>
      </c>
      <c r="BI326" s="28" t="n"/>
      <c r="BJ326" s="28" t="n"/>
      <c r="BK326" s="29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1" t="n"/>
      <c r="BM326" s="21" t="n"/>
      <c r="BN326" s="27">
        <f>SUM(BL326:BM326)</f>
        <v/>
      </c>
      <c r="BO326" s="28" t="n"/>
      <c r="BP326" s="31" t="n"/>
      <c r="BQ326" s="29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1" t="n"/>
      <c r="BS326" s="21" t="n"/>
      <c r="BT326" s="27">
        <f>SUM(BR326:BS326)</f>
        <v/>
      </c>
      <c r="BU326" s="28" t="n"/>
      <c r="BV326" s="31" t="n"/>
      <c r="BW326" s="29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1" t="n"/>
      <c r="BY326" s="21" t="n"/>
      <c r="BZ326" s="27">
        <f>SUM(BX326:BY326)</f>
        <v/>
      </c>
      <c r="CA326" s="28" t="n"/>
      <c r="CB326" s="31" t="n"/>
      <c r="CC326" s="29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1" t="n"/>
      <c r="CE326" s="21" t="n"/>
      <c r="CF326" s="27">
        <f>SUM(CD326:CE326)</f>
        <v/>
      </c>
      <c r="CG326" s="28" t="n"/>
      <c r="CH326" s="31" t="n"/>
      <c r="CI326" s="29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1" t="n"/>
      <c r="CK326" s="21" t="n"/>
      <c r="CL326" s="27">
        <f>SUM(CJ326:CK326)</f>
        <v/>
      </c>
      <c r="CM326" s="28" t="n"/>
      <c r="CN326" s="31" t="n"/>
      <c r="CO326" s="29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1" t="n"/>
      <c r="CQ326" s="21" t="n"/>
      <c r="CR326" s="27">
        <f>SUM(CP326:CQ326)</f>
        <v/>
      </c>
      <c r="CS326" s="28" t="n"/>
      <c r="CT326" s="31" t="n"/>
      <c r="CU326" s="29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1" t="n"/>
      <c r="CW326" s="21" t="n"/>
      <c r="CX326" s="27">
        <f>SUM(CV326:CW326)</f>
        <v/>
      </c>
      <c r="CY326" s="28" t="n"/>
      <c r="CZ326" s="31" t="n"/>
      <c r="DA326" s="29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1" t="n"/>
      <c r="DC326" s="21" t="n"/>
      <c r="DD326" s="27">
        <f>SUM(DB326:DC326)</f>
        <v/>
      </c>
      <c r="DE326" s="28" t="n"/>
      <c r="DF326" s="31" t="n"/>
      <c r="DG326" s="29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34">
        <f>SUM(O326,U326,AA326,AG326,AM326,AS326,AY326,BE326,BK326,BQ326,BW326,CC326,CI326,CO326,CU326,DA326,DG326)</f>
        <v/>
      </c>
      <c r="DI326" s="39">
        <f>RANK(DH326,DH$4:DH$503)</f>
        <v/>
      </c>
      <c r="DJ326" s="40" t="inlineStr">
        <is>
          <t>CHOOSE RATING</t>
        </is>
      </c>
      <c r="DK326" s="40" t="inlineStr">
        <is>
          <t>CHOOSE RATING</t>
        </is>
      </c>
      <c r="DL326" s="40" t="inlineStr">
        <is>
          <t>CHOOSE RATING</t>
        </is>
      </c>
      <c r="DM326" s="40" t="inlineStr">
        <is>
          <t>CHOOSE RATING</t>
        </is>
      </c>
      <c r="DN326" s="40" t="inlineStr">
        <is>
          <t>CHOOSE RATING</t>
        </is>
      </c>
      <c r="DO326" s="40" t="inlineStr">
        <is>
          <t>CHOOSE RATING</t>
        </is>
      </c>
      <c r="DP326" s="40" t="inlineStr">
        <is>
          <t>CHOOSE RATING</t>
        </is>
      </c>
      <c r="DQ326" s="40" t="inlineStr">
        <is>
          <t>CHOOSE RATING</t>
        </is>
      </c>
      <c r="DR326" s="43" t="inlineStr">
        <is>
          <t>2024/2025</t>
        </is>
      </c>
      <c r="DS326" s="45" t="inlineStr">
        <is>
          <t>THIRD</t>
        </is>
      </c>
      <c r="DT326" s="40" t="inlineStr">
        <is>
          <t>CHOOSE RATING</t>
        </is>
      </c>
      <c r="DU326" s="40" t="inlineStr">
        <is>
          <t>CHOOSE RATING</t>
        </is>
      </c>
      <c r="DV326" s="40" t="inlineStr">
        <is>
          <t>CHOOSE RATING</t>
        </is>
      </c>
      <c r="DW326" s="40" t="inlineStr">
        <is>
          <t>CHOOSE RATING</t>
        </is>
      </c>
      <c r="DX326" s="40" t="inlineStr">
        <is>
          <t>CHOOSE RATING</t>
        </is>
      </c>
      <c r="DY326" s="40" t="inlineStr">
        <is>
          <t>CHOOSE RATING</t>
        </is>
      </c>
      <c r="DZ326" s="53" t="inlineStr">
        <is>
          <t>CHOOSE RATING</t>
        </is>
      </c>
      <c r="EA326" s="54" t="inlineStr">
        <is>
          <t>Add the Tutor's Comment . . .</t>
        </is>
      </c>
      <c r="EB326" s="55" t="inlineStr">
        <is>
          <t>Choose Principals comment</t>
        </is>
      </c>
      <c r="EC326" s="56" t="n"/>
      <c r="ED326" s="57" t="inlineStr">
        <is>
          <t>Next Term Begins on Monday, 22nd September, 2025</t>
        </is>
      </c>
    </row>
    <row r="327" ht="30.6" customHeight="1" s="6">
      <c r="A327" s="18" t="n">
        <v>324</v>
      </c>
      <c r="B327" s="19" t="n"/>
      <c r="C327" s="20" t="n"/>
      <c r="D327" s="128" t="n"/>
      <c r="E327" s="21" t="n"/>
      <c r="F327" s="22" t="n"/>
      <c r="G327" s="22" t="n"/>
      <c r="H327" s="22" t="n"/>
      <c r="I327" s="26">
        <f>G327-H327</f>
        <v/>
      </c>
      <c r="J327" s="21" t="n"/>
      <c r="K327" s="21" t="n"/>
      <c r="L327" s="27">
        <f>SUM(J327:K327)</f>
        <v/>
      </c>
      <c r="M327" s="28" t="n"/>
      <c r="N327" s="28" t="n"/>
      <c r="O327" s="29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1" t="n"/>
      <c r="Q327" s="21" t="n"/>
      <c r="R327" s="27">
        <f>SUM(P327:Q327)</f>
        <v/>
      </c>
      <c r="S327" s="28" t="n"/>
      <c r="T327" s="28" t="n"/>
      <c r="U327" s="29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1" t="n"/>
      <c r="W327" s="21" t="n"/>
      <c r="X327" s="27">
        <f>SUM(V327:W327)</f>
        <v/>
      </c>
      <c r="Y327" s="28" t="n"/>
      <c r="Z327" s="28" t="n"/>
      <c r="AA327" s="29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1" t="n"/>
      <c r="AC327" s="21" t="n"/>
      <c r="AD327" s="27">
        <f>SUM(AB327:AC327)</f>
        <v/>
      </c>
      <c r="AE327" s="28" t="n"/>
      <c r="AF327" s="28" t="n"/>
      <c r="AG327" s="29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1" t="n"/>
      <c r="AI327" s="21" t="n"/>
      <c r="AJ327" s="27">
        <f>SUM(AH327:AI327)</f>
        <v/>
      </c>
      <c r="AK327" s="28" t="n"/>
      <c r="AL327" s="28" t="n"/>
      <c r="AM327" s="29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1" t="n"/>
      <c r="AO327" s="21" t="n"/>
      <c r="AP327" s="27">
        <f>SUM(AN327:AO327)</f>
        <v/>
      </c>
      <c r="AQ327" s="28" t="n"/>
      <c r="AR327" s="30" t="n"/>
      <c r="AS327" s="29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1" t="n"/>
      <c r="AU327" s="21" t="n"/>
      <c r="AV327" s="27">
        <f>SUM(AT327:AU327)</f>
        <v/>
      </c>
      <c r="AW327" s="28" t="n"/>
      <c r="AX327" s="30" t="n"/>
      <c r="AY327" s="29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1" t="n"/>
      <c r="BA327" s="21" t="n"/>
      <c r="BB327" s="27">
        <f>SUM(AZ327:BA327)</f>
        <v/>
      </c>
      <c r="BC327" s="28" t="n"/>
      <c r="BD327" s="28" t="n"/>
      <c r="BE327" s="29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1" t="n"/>
      <c r="BG327" s="21" t="n"/>
      <c r="BH327" s="27">
        <f>SUM(BF327:BG327)</f>
        <v/>
      </c>
      <c r="BI327" s="28" t="n"/>
      <c r="BJ327" s="28" t="n"/>
      <c r="BK327" s="29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1" t="n"/>
      <c r="BM327" s="21" t="n"/>
      <c r="BN327" s="27">
        <f>SUM(BL327:BM327)</f>
        <v/>
      </c>
      <c r="BO327" s="28" t="n"/>
      <c r="BP327" s="31" t="n"/>
      <c r="BQ327" s="29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1" t="n"/>
      <c r="BS327" s="21" t="n"/>
      <c r="BT327" s="27">
        <f>SUM(BR327:BS327)</f>
        <v/>
      </c>
      <c r="BU327" s="28" t="n"/>
      <c r="BV327" s="31" t="n"/>
      <c r="BW327" s="29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1" t="n"/>
      <c r="BY327" s="21" t="n"/>
      <c r="BZ327" s="27">
        <f>SUM(BX327:BY327)</f>
        <v/>
      </c>
      <c r="CA327" s="28" t="n"/>
      <c r="CB327" s="31" t="n"/>
      <c r="CC327" s="29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1" t="n"/>
      <c r="CE327" s="21" t="n"/>
      <c r="CF327" s="27">
        <f>SUM(CD327:CE327)</f>
        <v/>
      </c>
      <c r="CG327" s="28" t="n"/>
      <c r="CH327" s="31" t="n"/>
      <c r="CI327" s="29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1" t="n"/>
      <c r="CK327" s="21" t="n"/>
      <c r="CL327" s="27">
        <f>SUM(CJ327:CK327)</f>
        <v/>
      </c>
      <c r="CM327" s="28" t="n"/>
      <c r="CN327" s="31" t="n"/>
      <c r="CO327" s="29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1" t="n"/>
      <c r="CQ327" s="21" t="n"/>
      <c r="CR327" s="27">
        <f>SUM(CP327:CQ327)</f>
        <v/>
      </c>
      <c r="CS327" s="28" t="n"/>
      <c r="CT327" s="31" t="n"/>
      <c r="CU327" s="29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1" t="n"/>
      <c r="CW327" s="21" t="n"/>
      <c r="CX327" s="27">
        <f>SUM(CV327:CW327)</f>
        <v/>
      </c>
      <c r="CY327" s="28" t="n"/>
      <c r="CZ327" s="31" t="n"/>
      <c r="DA327" s="29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1" t="n"/>
      <c r="DC327" s="21" t="n"/>
      <c r="DD327" s="27">
        <f>SUM(DB327:DC327)</f>
        <v/>
      </c>
      <c r="DE327" s="28" t="n"/>
      <c r="DF327" s="31" t="n"/>
      <c r="DG327" s="29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34">
        <f>SUM(O327,U327,AA327,AG327,AM327,AS327,AY327,BE327,BK327,BQ327,BW327,CC327,CI327,CO327,CU327,DA327,DG327)</f>
        <v/>
      </c>
      <c r="DI327" s="39">
        <f>RANK(DH327,DH$4:DH$503)</f>
        <v/>
      </c>
      <c r="DJ327" s="40" t="inlineStr">
        <is>
          <t>CHOOSE RATING</t>
        </is>
      </c>
      <c r="DK327" s="40" t="inlineStr">
        <is>
          <t>CHOOSE RATING</t>
        </is>
      </c>
      <c r="DL327" s="40" t="inlineStr">
        <is>
          <t>CHOOSE RATING</t>
        </is>
      </c>
      <c r="DM327" s="40" t="inlineStr">
        <is>
          <t>CHOOSE RATING</t>
        </is>
      </c>
      <c r="DN327" s="40" t="inlineStr">
        <is>
          <t>CHOOSE RATING</t>
        </is>
      </c>
      <c r="DO327" s="40" t="inlineStr">
        <is>
          <t>CHOOSE RATING</t>
        </is>
      </c>
      <c r="DP327" s="40" t="inlineStr">
        <is>
          <t>CHOOSE RATING</t>
        </is>
      </c>
      <c r="DQ327" s="40" t="inlineStr">
        <is>
          <t>CHOOSE RATING</t>
        </is>
      </c>
      <c r="DR327" s="43" t="inlineStr">
        <is>
          <t>2024/2025</t>
        </is>
      </c>
      <c r="DS327" s="45" t="inlineStr">
        <is>
          <t>THIRD</t>
        </is>
      </c>
      <c r="DT327" s="40" t="inlineStr">
        <is>
          <t>CHOOSE RATING</t>
        </is>
      </c>
      <c r="DU327" s="40" t="inlineStr">
        <is>
          <t>CHOOSE RATING</t>
        </is>
      </c>
      <c r="DV327" s="40" t="inlineStr">
        <is>
          <t>CHOOSE RATING</t>
        </is>
      </c>
      <c r="DW327" s="40" t="inlineStr">
        <is>
          <t>CHOOSE RATING</t>
        </is>
      </c>
      <c r="DX327" s="40" t="inlineStr">
        <is>
          <t>CHOOSE RATING</t>
        </is>
      </c>
      <c r="DY327" s="40" t="inlineStr">
        <is>
          <t>CHOOSE RATING</t>
        </is>
      </c>
      <c r="DZ327" s="53" t="inlineStr">
        <is>
          <t>CHOOSE RATING</t>
        </is>
      </c>
      <c r="EA327" s="54" t="inlineStr">
        <is>
          <t>Add the Tutor's Comment . . .</t>
        </is>
      </c>
      <c r="EB327" s="55" t="inlineStr">
        <is>
          <t>Choose Principals comment</t>
        </is>
      </c>
      <c r="EC327" s="56" t="n"/>
      <c r="ED327" s="57" t="inlineStr">
        <is>
          <t>Next Term Begins on Monday, 22nd September, 2025</t>
        </is>
      </c>
    </row>
    <row r="328" ht="30.6" customHeight="1" s="6">
      <c r="A328" s="18" t="n">
        <v>325</v>
      </c>
      <c r="B328" s="19" t="n"/>
      <c r="C328" s="20" t="n"/>
      <c r="D328" s="128" t="n"/>
      <c r="E328" s="21" t="n"/>
      <c r="F328" s="22" t="n"/>
      <c r="G328" s="22" t="n"/>
      <c r="H328" s="22" t="n"/>
      <c r="I328" s="26">
        <f>G328-H328</f>
        <v/>
      </c>
      <c r="J328" s="21" t="n"/>
      <c r="K328" s="21" t="n"/>
      <c r="L328" s="27">
        <f>SUM(J328:K328)</f>
        <v/>
      </c>
      <c r="M328" s="28" t="n"/>
      <c r="N328" s="28" t="n"/>
      <c r="O328" s="29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1" t="n"/>
      <c r="Q328" s="21" t="n"/>
      <c r="R328" s="27">
        <f>SUM(P328:Q328)</f>
        <v/>
      </c>
      <c r="S328" s="28" t="n"/>
      <c r="T328" s="28" t="n"/>
      <c r="U328" s="29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1" t="n"/>
      <c r="W328" s="21" t="n"/>
      <c r="X328" s="27">
        <f>SUM(V328:W328)</f>
        <v/>
      </c>
      <c r="Y328" s="28" t="n"/>
      <c r="Z328" s="28" t="n"/>
      <c r="AA328" s="29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1" t="n"/>
      <c r="AC328" s="21" t="n"/>
      <c r="AD328" s="27">
        <f>SUM(AB328:AC328)</f>
        <v/>
      </c>
      <c r="AE328" s="28" t="n"/>
      <c r="AF328" s="28" t="n"/>
      <c r="AG328" s="29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1" t="n"/>
      <c r="AI328" s="21" t="n"/>
      <c r="AJ328" s="27">
        <f>SUM(AH328:AI328)</f>
        <v/>
      </c>
      <c r="AK328" s="28" t="n"/>
      <c r="AL328" s="28" t="n"/>
      <c r="AM328" s="29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1" t="n"/>
      <c r="AO328" s="21" t="n"/>
      <c r="AP328" s="27">
        <f>SUM(AN328:AO328)</f>
        <v/>
      </c>
      <c r="AQ328" s="28" t="n"/>
      <c r="AR328" s="30" t="n"/>
      <c r="AS328" s="29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1" t="n"/>
      <c r="AU328" s="21" t="n"/>
      <c r="AV328" s="27">
        <f>SUM(AT328:AU328)</f>
        <v/>
      </c>
      <c r="AW328" s="28" t="n"/>
      <c r="AX328" s="30" t="n"/>
      <c r="AY328" s="29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1" t="n"/>
      <c r="BA328" s="21" t="n"/>
      <c r="BB328" s="27">
        <f>SUM(AZ328:BA328)</f>
        <v/>
      </c>
      <c r="BC328" s="28" t="n"/>
      <c r="BD328" s="28" t="n"/>
      <c r="BE328" s="29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1" t="n"/>
      <c r="BG328" s="21" t="n"/>
      <c r="BH328" s="27">
        <f>SUM(BF328:BG328)</f>
        <v/>
      </c>
      <c r="BI328" s="28" t="n"/>
      <c r="BJ328" s="28" t="n"/>
      <c r="BK328" s="29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1" t="n"/>
      <c r="BM328" s="21" t="n"/>
      <c r="BN328" s="27">
        <f>SUM(BL328:BM328)</f>
        <v/>
      </c>
      <c r="BO328" s="28" t="n"/>
      <c r="BP328" s="31" t="n"/>
      <c r="BQ328" s="29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1" t="n"/>
      <c r="BS328" s="21" t="n"/>
      <c r="BT328" s="27">
        <f>SUM(BR328:BS328)</f>
        <v/>
      </c>
      <c r="BU328" s="28" t="n"/>
      <c r="BV328" s="31" t="n"/>
      <c r="BW328" s="29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1" t="n"/>
      <c r="BY328" s="21" t="n"/>
      <c r="BZ328" s="27">
        <f>SUM(BX328:BY328)</f>
        <v/>
      </c>
      <c r="CA328" s="28" t="n"/>
      <c r="CB328" s="31" t="n"/>
      <c r="CC328" s="29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1" t="n"/>
      <c r="CE328" s="21" t="n"/>
      <c r="CF328" s="27">
        <f>SUM(CD328:CE328)</f>
        <v/>
      </c>
      <c r="CG328" s="28" t="n"/>
      <c r="CH328" s="31" t="n"/>
      <c r="CI328" s="29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1" t="n"/>
      <c r="CK328" s="21" t="n"/>
      <c r="CL328" s="27">
        <f>SUM(CJ328:CK328)</f>
        <v/>
      </c>
      <c r="CM328" s="28" t="n"/>
      <c r="CN328" s="31" t="n"/>
      <c r="CO328" s="29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1" t="n"/>
      <c r="CQ328" s="21" t="n"/>
      <c r="CR328" s="27">
        <f>SUM(CP328:CQ328)</f>
        <v/>
      </c>
      <c r="CS328" s="28" t="n"/>
      <c r="CT328" s="31" t="n"/>
      <c r="CU328" s="29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1" t="n"/>
      <c r="CW328" s="21" t="n"/>
      <c r="CX328" s="27">
        <f>SUM(CV328:CW328)</f>
        <v/>
      </c>
      <c r="CY328" s="28" t="n"/>
      <c r="CZ328" s="31" t="n"/>
      <c r="DA328" s="29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1" t="n"/>
      <c r="DC328" s="21" t="n"/>
      <c r="DD328" s="27">
        <f>SUM(DB328:DC328)</f>
        <v/>
      </c>
      <c r="DE328" s="28" t="n"/>
      <c r="DF328" s="31" t="n"/>
      <c r="DG328" s="29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34">
        <f>SUM(O328,U328,AA328,AG328,AM328,AS328,AY328,BE328,BK328,BQ328,BW328,CC328,CI328,CO328,CU328,DA328,DG328)</f>
        <v/>
      </c>
      <c r="DI328" s="39">
        <f>RANK(DH328,DH$4:DH$503)</f>
        <v/>
      </c>
      <c r="DJ328" s="40" t="inlineStr">
        <is>
          <t>CHOOSE RATING</t>
        </is>
      </c>
      <c r="DK328" s="40" t="inlineStr">
        <is>
          <t>CHOOSE RATING</t>
        </is>
      </c>
      <c r="DL328" s="40" t="inlineStr">
        <is>
          <t>CHOOSE RATING</t>
        </is>
      </c>
      <c r="DM328" s="40" t="inlineStr">
        <is>
          <t>CHOOSE RATING</t>
        </is>
      </c>
      <c r="DN328" s="40" t="inlineStr">
        <is>
          <t>CHOOSE RATING</t>
        </is>
      </c>
      <c r="DO328" s="40" t="inlineStr">
        <is>
          <t>CHOOSE RATING</t>
        </is>
      </c>
      <c r="DP328" s="40" t="inlineStr">
        <is>
          <t>CHOOSE RATING</t>
        </is>
      </c>
      <c r="DQ328" s="40" t="inlineStr">
        <is>
          <t>CHOOSE RATING</t>
        </is>
      </c>
      <c r="DR328" s="43" t="inlineStr">
        <is>
          <t>2024/2025</t>
        </is>
      </c>
      <c r="DS328" s="45" t="inlineStr">
        <is>
          <t>THIRD</t>
        </is>
      </c>
      <c r="DT328" s="40" t="inlineStr">
        <is>
          <t>CHOOSE RATING</t>
        </is>
      </c>
      <c r="DU328" s="40" t="inlineStr">
        <is>
          <t>CHOOSE RATING</t>
        </is>
      </c>
      <c r="DV328" s="40" t="inlineStr">
        <is>
          <t>CHOOSE RATING</t>
        </is>
      </c>
      <c r="DW328" s="40" t="inlineStr">
        <is>
          <t>CHOOSE RATING</t>
        </is>
      </c>
      <c r="DX328" s="40" t="inlineStr">
        <is>
          <t>CHOOSE RATING</t>
        </is>
      </c>
      <c r="DY328" s="40" t="inlineStr">
        <is>
          <t>CHOOSE RATING</t>
        </is>
      </c>
      <c r="DZ328" s="53" t="inlineStr">
        <is>
          <t>CHOOSE RATING</t>
        </is>
      </c>
      <c r="EA328" s="54" t="inlineStr">
        <is>
          <t>Add the Tutor's Comment . . .</t>
        </is>
      </c>
      <c r="EB328" s="55" t="inlineStr">
        <is>
          <t>Choose Principals comment</t>
        </is>
      </c>
      <c r="EC328" s="56" t="n"/>
      <c r="ED328" s="57" t="inlineStr">
        <is>
          <t>Next Term Begins on Monday, 22nd September, 2025</t>
        </is>
      </c>
    </row>
    <row r="329" ht="30.6" customHeight="1" s="6">
      <c r="A329" s="18" t="n">
        <v>326</v>
      </c>
      <c r="B329" s="19" t="n"/>
      <c r="C329" s="20" t="n"/>
      <c r="D329" s="128" t="n"/>
      <c r="E329" s="21" t="n"/>
      <c r="F329" s="22" t="n"/>
      <c r="G329" s="22" t="n"/>
      <c r="H329" s="22" t="n"/>
      <c r="I329" s="26">
        <f>G329-H329</f>
        <v/>
      </c>
      <c r="J329" s="21" t="n"/>
      <c r="K329" s="21" t="n"/>
      <c r="L329" s="27">
        <f>SUM(J329:K329)</f>
        <v/>
      </c>
      <c r="M329" s="28" t="n"/>
      <c r="N329" s="28" t="n"/>
      <c r="O329" s="29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1" t="n"/>
      <c r="Q329" s="21" t="n"/>
      <c r="R329" s="27">
        <f>SUM(P329:Q329)</f>
        <v/>
      </c>
      <c r="S329" s="28" t="n"/>
      <c r="T329" s="28" t="n"/>
      <c r="U329" s="29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1" t="n"/>
      <c r="W329" s="21" t="n"/>
      <c r="X329" s="27">
        <f>SUM(V329:W329)</f>
        <v/>
      </c>
      <c r="Y329" s="28" t="n"/>
      <c r="Z329" s="28" t="n"/>
      <c r="AA329" s="29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1" t="n"/>
      <c r="AC329" s="21" t="n"/>
      <c r="AD329" s="27">
        <f>SUM(AB329:AC329)</f>
        <v/>
      </c>
      <c r="AE329" s="28" t="n"/>
      <c r="AF329" s="28" t="n"/>
      <c r="AG329" s="29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1" t="n"/>
      <c r="AI329" s="21" t="n"/>
      <c r="AJ329" s="27">
        <f>SUM(AH329:AI329)</f>
        <v/>
      </c>
      <c r="AK329" s="28" t="n"/>
      <c r="AL329" s="28" t="n"/>
      <c r="AM329" s="29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1" t="n"/>
      <c r="AO329" s="21" t="n"/>
      <c r="AP329" s="27">
        <f>SUM(AN329:AO329)</f>
        <v/>
      </c>
      <c r="AQ329" s="28" t="n"/>
      <c r="AR329" s="30" t="n"/>
      <c r="AS329" s="29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1" t="n"/>
      <c r="AU329" s="21" t="n"/>
      <c r="AV329" s="27">
        <f>SUM(AT329:AU329)</f>
        <v/>
      </c>
      <c r="AW329" s="28" t="n"/>
      <c r="AX329" s="30" t="n"/>
      <c r="AY329" s="29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1" t="n"/>
      <c r="BA329" s="21" t="n"/>
      <c r="BB329" s="27">
        <f>SUM(AZ329:BA329)</f>
        <v/>
      </c>
      <c r="BC329" s="28" t="n"/>
      <c r="BD329" s="28" t="n"/>
      <c r="BE329" s="29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1" t="n"/>
      <c r="BG329" s="21" t="n"/>
      <c r="BH329" s="27">
        <f>SUM(BF329:BG329)</f>
        <v/>
      </c>
      <c r="BI329" s="28" t="n"/>
      <c r="BJ329" s="28" t="n"/>
      <c r="BK329" s="29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1" t="n"/>
      <c r="BM329" s="21" t="n"/>
      <c r="BN329" s="27">
        <f>SUM(BL329:BM329)</f>
        <v/>
      </c>
      <c r="BO329" s="28" t="n"/>
      <c r="BP329" s="31" t="n"/>
      <c r="BQ329" s="29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1" t="n"/>
      <c r="BS329" s="21" t="n"/>
      <c r="BT329" s="27">
        <f>SUM(BR329:BS329)</f>
        <v/>
      </c>
      <c r="BU329" s="28" t="n"/>
      <c r="BV329" s="31" t="n"/>
      <c r="BW329" s="29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1" t="n"/>
      <c r="BY329" s="21" t="n"/>
      <c r="BZ329" s="27">
        <f>SUM(BX329:BY329)</f>
        <v/>
      </c>
      <c r="CA329" s="28" t="n"/>
      <c r="CB329" s="31" t="n"/>
      <c r="CC329" s="29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1" t="n"/>
      <c r="CE329" s="21" t="n"/>
      <c r="CF329" s="27">
        <f>SUM(CD329:CE329)</f>
        <v/>
      </c>
      <c r="CG329" s="28" t="n"/>
      <c r="CH329" s="31" t="n"/>
      <c r="CI329" s="29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1" t="n"/>
      <c r="CK329" s="21" t="n"/>
      <c r="CL329" s="27">
        <f>SUM(CJ329:CK329)</f>
        <v/>
      </c>
      <c r="CM329" s="28" t="n"/>
      <c r="CN329" s="31" t="n"/>
      <c r="CO329" s="29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1" t="n"/>
      <c r="CQ329" s="21" t="n"/>
      <c r="CR329" s="27">
        <f>SUM(CP329:CQ329)</f>
        <v/>
      </c>
      <c r="CS329" s="28" t="n"/>
      <c r="CT329" s="31" t="n"/>
      <c r="CU329" s="29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1" t="n"/>
      <c r="CW329" s="21" t="n"/>
      <c r="CX329" s="27">
        <f>SUM(CV329:CW329)</f>
        <v/>
      </c>
      <c r="CY329" s="28" t="n"/>
      <c r="CZ329" s="31" t="n"/>
      <c r="DA329" s="29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1" t="n"/>
      <c r="DC329" s="21" t="n"/>
      <c r="DD329" s="27">
        <f>SUM(DB329:DC329)</f>
        <v/>
      </c>
      <c r="DE329" s="28" t="n"/>
      <c r="DF329" s="31" t="n"/>
      <c r="DG329" s="29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34">
        <f>SUM(O329,U329,AA329,AG329,AM329,AS329,AY329,BE329,BK329,BQ329,BW329,CC329,CI329,CO329,CU329,DA329,DG329)</f>
        <v/>
      </c>
      <c r="DI329" s="39">
        <f>RANK(DH329,DH$4:DH$503)</f>
        <v/>
      </c>
      <c r="DJ329" s="40" t="inlineStr">
        <is>
          <t>CHOOSE RATING</t>
        </is>
      </c>
      <c r="DK329" s="40" t="inlineStr">
        <is>
          <t>CHOOSE RATING</t>
        </is>
      </c>
      <c r="DL329" s="40" t="inlineStr">
        <is>
          <t>CHOOSE RATING</t>
        </is>
      </c>
      <c r="DM329" s="40" t="inlineStr">
        <is>
          <t>CHOOSE RATING</t>
        </is>
      </c>
      <c r="DN329" s="40" t="inlineStr">
        <is>
          <t>CHOOSE RATING</t>
        </is>
      </c>
      <c r="DO329" s="40" t="inlineStr">
        <is>
          <t>CHOOSE RATING</t>
        </is>
      </c>
      <c r="DP329" s="40" t="inlineStr">
        <is>
          <t>CHOOSE RATING</t>
        </is>
      </c>
      <c r="DQ329" s="40" t="inlineStr">
        <is>
          <t>CHOOSE RATING</t>
        </is>
      </c>
      <c r="DR329" s="43" t="inlineStr">
        <is>
          <t>2024/2025</t>
        </is>
      </c>
      <c r="DS329" s="45" t="inlineStr">
        <is>
          <t>THIRD</t>
        </is>
      </c>
      <c r="DT329" s="40" t="inlineStr">
        <is>
          <t>CHOOSE RATING</t>
        </is>
      </c>
      <c r="DU329" s="40" t="inlineStr">
        <is>
          <t>CHOOSE RATING</t>
        </is>
      </c>
      <c r="DV329" s="40" t="inlineStr">
        <is>
          <t>CHOOSE RATING</t>
        </is>
      </c>
      <c r="DW329" s="40" t="inlineStr">
        <is>
          <t>CHOOSE RATING</t>
        </is>
      </c>
      <c r="DX329" s="40" t="inlineStr">
        <is>
          <t>CHOOSE RATING</t>
        </is>
      </c>
      <c r="DY329" s="40" t="inlineStr">
        <is>
          <t>CHOOSE RATING</t>
        </is>
      </c>
      <c r="DZ329" s="53" t="inlineStr">
        <is>
          <t>CHOOSE RATING</t>
        </is>
      </c>
      <c r="EA329" s="54" t="inlineStr">
        <is>
          <t>Add the Tutor's Comment . . .</t>
        </is>
      </c>
      <c r="EB329" s="55" t="inlineStr">
        <is>
          <t>Choose Principals comment</t>
        </is>
      </c>
      <c r="EC329" s="56" t="n"/>
      <c r="ED329" s="57" t="inlineStr">
        <is>
          <t>Next Term Begins on Monday, 22nd September, 2025</t>
        </is>
      </c>
    </row>
    <row r="330" ht="30.6" customHeight="1" s="6">
      <c r="A330" s="18" t="n">
        <v>327</v>
      </c>
      <c r="B330" s="19" t="n"/>
      <c r="C330" s="20" t="n"/>
      <c r="D330" s="128" t="n"/>
      <c r="E330" s="21" t="n"/>
      <c r="F330" s="22" t="n"/>
      <c r="G330" s="22" t="n"/>
      <c r="H330" s="22" t="n"/>
      <c r="I330" s="26">
        <f>G330-H330</f>
        <v/>
      </c>
      <c r="J330" s="21" t="n"/>
      <c r="K330" s="21" t="n"/>
      <c r="L330" s="27">
        <f>SUM(J330:K330)</f>
        <v/>
      </c>
      <c r="M330" s="28" t="n"/>
      <c r="N330" s="28" t="n"/>
      <c r="O330" s="29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1" t="n"/>
      <c r="Q330" s="21" t="n"/>
      <c r="R330" s="27">
        <f>SUM(P330:Q330)</f>
        <v/>
      </c>
      <c r="S330" s="28" t="n"/>
      <c r="T330" s="28" t="n"/>
      <c r="U330" s="29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1" t="n"/>
      <c r="W330" s="21" t="n"/>
      <c r="X330" s="27">
        <f>SUM(V330:W330)</f>
        <v/>
      </c>
      <c r="Y330" s="28" t="n"/>
      <c r="Z330" s="28" t="n"/>
      <c r="AA330" s="29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1" t="n"/>
      <c r="AC330" s="21" t="n"/>
      <c r="AD330" s="27">
        <f>SUM(AB330:AC330)</f>
        <v/>
      </c>
      <c r="AE330" s="28" t="n"/>
      <c r="AF330" s="28" t="n"/>
      <c r="AG330" s="29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1" t="n"/>
      <c r="AI330" s="21" t="n"/>
      <c r="AJ330" s="27">
        <f>SUM(AH330:AI330)</f>
        <v/>
      </c>
      <c r="AK330" s="28" t="n"/>
      <c r="AL330" s="28" t="n"/>
      <c r="AM330" s="29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1" t="n"/>
      <c r="AO330" s="21" t="n"/>
      <c r="AP330" s="27">
        <f>SUM(AN330:AO330)</f>
        <v/>
      </c>
      <c r="AQ330" s="28" t="n"/>
      <c r="AR330" s="30" t="n"/>
      <c r="AS330" s="29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1" t="n"/>
      <c r="AU330" s="21" t="n"/>
      <c r="AV330" s="27">
        <f>SUM(AT330:AU330)</f>
        <v/>
      </c>
      <c r="AW330" s="28" t="n"/>
      <c r="AX330" s="30" t="n"/>
      <c r="AY330" s="29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1" t="n"/>
      <c r="BA330" s="21" t="n"/>
      <c r="BB330" s="27">
        <f>SUM(AZ330:BA330)</f>
        <v/>
      </c>
      <c r="BC330" s="28" t="n"/>
      <c r="BD330" s="28" t="n"/>
      <c r="BE330" s="29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1" t="n"/>
      <c r="BG330" s="21" t="n"/>
      <c r="BH330" s="27">
        <f>SUM(BF330:BG330)</f>
        <v/>
      </c>
      <c r="BI330" s="28" t="n"/>
      <c r="BJ330" s="28" t="n"/>
      <c r="BK330" s="29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1" t="n"/>
      <c r="BM330" s="21" t="n"/>
      <c r="BN330" s="27">
        <f>SUM(BL330:BM330)</f>
        <v/>
      </c>
      <c r="BO330" s="28" t="n"/>
      <c r="BP330" s="31" t="n"/>
      <c r="BQ330" s="29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1" t="n"/>
      <c r="BS330" s="21" t="n"/>
      <c r="BT330" s="27">
        <f>SUM(BR330:BS330)</f>
        <v/>
      </c>
      <c r="BU330" s="28" t="n"/>
      <c r="BV330" s="31" t="n"/>
      <c r="BW330" s="29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1" t="n"/>
      <c r="BY330" s="21" t="n"/>
      <c r="BZ330" s="27">
        <f>SUM(BX330:BY330)</f>
        <v/>
      </c>
      <c r="CA330" s="28" t="n"/>
      <c r="CB330" s="31" t="n"/>
      <c r="CC330" s="29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1" t="n"/>
      <c r="CE330" s="21" t="n"/>
      <c r="CF330" s="27">
        <f>SUM(CD330:CE330)</f>
        <v/>
      </c>
      <c r="CG330" s="28" t="n"/>
      <c r="CH330" s="31" t="n"/>
      <c r="CI330" s="29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1" t="n"/>
      <c r="CK330" s="21" t="n"/>
      <c r="CL330" s="27">
        <f>SUM(CJ330:CK330)</f>
        <v/>
      </c>
      <c r="CM330" s="28" t="n"/>
      <c r="CN330" s="31" t="n"/>
      <c r="CO330" s="29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1" t="n"/>
      <c r="CQ330" s="21" t="n"/>
      <c r="CR330" s="27">
        <f>SUM(CP330:CQ330)</f>
        <v/>
      </c>
      <c r="CS330" s="28" t="n"/>
      <c r="CT330" s="31" t="n"/>
      <c r="CU330" s="29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1" t="n"/>
      <c r="CW330" s="21" t="n"/>
      <c r="CX330" s="27">
        <f>SUM(CV330:CW330)</f>
        <v/>
      </c>
      <c r="CY330" s="28" t="n"/>
      <c r="CZ330" s="31" t="n"/>
      <c r="DA330" s="29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1" t="n"/>
      <c r="DC330" s="21" t="n"/>
      <c r="DD330" s="27">
        <f>SUM(DB330:DC330)</f>
        <v/>
      </c>
      <c r="DE330" s="28" t="n"/>
      <c r="DF330" s="31" t="n"/>
      <c r="DG330" s="29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34">
        <f>SUM(O330,U330,AA330,AG330,AM330,AS330,AY330,BE330,BK330,BQ330,BW330,CC330,CI330,CO330,CU330,DA330,DG330)</f>
        <v/>
      </c>
      <c r="DI330" s="39">
        <f>RANK(DH330,DH$4:DH$503)</f>
        <v/>
      </c>
      <c r="DJ330" s="40" t="inlineStr">
        <is>
          <t>CHOOSE RATING</t>
        </is>
      </c>
      <c r="DK330" s="40" t="inlineStr">
        <is>
          <t>CHOOSE RATING</t>
        </is>
      </c>
      <c r="DL330" s="40" t="inlineStr">
        <is>
          <t>CHOOSE RATING</t>
        </is>
      </c>
      <c r="DM330" s="40" t="inlineStr">
        <is>
          <t>CHOOSE RATING</t>
        </is>
      </c>
      <c r="DN330" s="40" t="inlineStr">
        <is>
          <t>CHOOSE RATING</t>
        </is>
      </c>
      <c r="DO330" s="40" t="inlineStr">
        <is>
          <t>CHOOSE RATING</t>
        </is>
      </c>
      <c r="DP330" s="40" t="inlineStr">
        <is>
          <t>CHOOSE RATING</t>
        </is>
      </c>
      <c r="DQ330" s="40" t="inlineStr">
        <is>
          <t>CHOOSE RATING</t>
        </is>
      </c>
      <c r="DR330" s="43" t="inlineStr">
        <is>
          <t>2024/2025</t>
        </is>
      </c>
      <c r="DS330" s="45" t="inlineStr">
        <is>
          <t>THIRD</t>
        </is>
      </c>
      <c r="DT330" s="40" t="inlineStr">
        <is>
          <t>CHOOSE RATING</t>
        </is>
      </c>
      <c r="DU330" s="40" t="inlineStr">
        <is>
          <t>CHOOSE RATING</t>
        </is>
      </c>
      <c r="DV330" s="40" t="inlineStr">
        <is>
          <t>CHOOSE RATING</t>
        </is>
      </c>
      <c r="DW330" s="40" t="inlineStr">
        <is>
          <t>CHOOSE RATING</t>
        </is>
      </c>
      <c r="DX330" s="40" t="inlineStr">
        <is>
          <t>CHOOSE RATING</t>
        </is>
      </c>
      <c r="DY330" s="40" t="inlineStr">
        <is>
          <t>CHOOSE RATING</t>
        </is>
      </c>
      <c r="DZ330" s="53" t="inlineStr">
        <is>
          <t>CHOOSE RATING</t>
        </is>
      </c>
      <c r="EA330" s="54" t="inlineStr">
        <is>
          <t>Add the Tutor's Comment . . .</t>
        </is>
      </c>
      <c r="EB330" s="55" t="inlineStr">
        <is>
          <t>Choose Principals comment</t>
        </is>
      </c>
      <c r="EC330" s="56" t="n"/>
      <c r="ED330" s="57" t="inlineStr">
        <is>
          <t>Next Term Begins on Monday, 22nd September, 2025</t>
        </is>
      </c>
    </row>
    <row r="331" ht="30.6" customHeight="1" s="6">
      <c r="A331" s="18" t="n">
        <v>328</v>
      </c>
      <c r="B331" s="19" t="n"/>
      <c r="C331" s="20" t="n"/>
      <c r="D331" s="128" t="n"/>
      <c r="E331" s="21" t="n"/>
      <c r="F331" s="22" t="n"/>
      <c r="G331" s="22" t="n"/>
      <c r="H331" s="22" t="n"/>
      <c r="I331" s="26">
        <f>G331-H331</f>
        <v/>
      </c>
      <c r="J331" s="21" t="n"/>
      <c r="K331" s="21" t="n"/>
      <c r="L331" s="27">
        <f>SUM(J331:K331)</f>
        <v/>
      </c>
      <c r="M331" s="28" t="n"/>
      <c r="N331" s="28" t="n"/>
      <c r="O331" s="29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1" t="n"/>
      <c r="Q331" s="21" t="n"/>
      <c r="R331" s="27">
        <f>SUM(P331:Q331)</f>
        <v/>
      </c>
      <c r="S331" s="28" t="n"/>
      <c r="T331" s="28" t="n"/>
      <c r="U331" s="29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1" t="n"/>
      <c r="W331" s="21" t="n"/>
      <c r="X331" s="27">
        <f>SUM(V331:W331)</f>
        <v/>
      </c>
      <c r="Y331" s="28" t="n"/>
      <c r="Z331" s="28" t="n"/>
      <c r="AA331" s="29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1" t="n"/>
      <c r="AC331" s="21" t="n"/>
      <c r="AD331" s="27">
        <f>SUM(AB331:AC331)</f>
        <v/>
      </c>
      <c r="AE331" s="28" t="n"/>
      <c r="AF331" s="28" t="n"/>
      <c r="AG331" s="29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1" t="n"/>
      <c r="AI331" s="21" t="n"/>
      <c r="AJ331" s="27">
        <f>SUM(AH331:AI331)</f>
        <v/>
      </c>
      <c r="AK331" s="28" t="n"/>
      <c r="AL331" s="28" t="n"/>
      <c r="AM331" s="29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1" t="n"/>
      <c r="AO331" s="21" t="n"/>
      <c r="AP331" s="27">
        <f>SUM(AN331:AO331)</f>
        <v/>
      </c>
      <c r="AQ331" s="28" t="n"/>
      <c r="AR331" s="30" t="n"/>
      <c r="AS331" s="29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1" t="n"/>
      <c r="AU331" s="21" t="n"/>
      <c r="AV331" s="27">
        <f>SUM(AT331:AU331)</f>
        <v/>
      </c>
      <c r="AW331" s="28" t="n"/>
      <c r="AX331" s="30" t="n"/>
      <c r="AY331" s="29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1" t="n"/>
      <c r="BA331" s="21" t="n"/>
      <c r="BB331" s="27">
        <f>SUM(AZ331:BA331)</f>
        <v/>
      </c>
      <c r="BC331" s="28" t="n"/>
      <c r="BD331" s="28" t="n"/>
      <c r="BE331" s="29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1" t="n"/>
      <c r="BG331" s="21" t="n"/>
      <c r="BH331" s="27">
        <f>SUM(BF331:BG331)</f>
        <v/>
      </c>
      <c r="BI331" s="28" t="n"/>
      <c r="BJ331" s="28" t="n"/>
      <c r="BK331" s="29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1" t="n"/>
      <c r="BM331" s="21" t="n"/>
      <c r="BN331" s="27">
        <f>SUM(BL331:BM331)</f>
        <v/>
      </c>
      <c r="BO331" s="28" t="n"/>
      <c r="BP331" s="31" t="n"/>
      <c r="BQ331" s="29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1" t="n"/>
      <c r="BS331" s="21" t="n"/>
      <c r="BT331" s="27">
        <f>SUM(BR331:BS331)</f>
        <v/>
      </c>
      <c r="BU331" s="28" t="n"/>
      <c r="BV331" s="31" t="n"/>
      <c r="BW331" s="29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1" t="n"/>
      <c r="BY331" s="21" t="n"/>
      <c r="BZ331" s="27">
        <f>SUM(BX331:BY331)</f>
        <v/>
      </c>
      <c r="CA331" s="28" t="n"/>
      <c r="CB331" s="31" t="n"/>
      <c r="CC331" s="29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1" t="n"/>
      <c r="CE331" s="21" t="n"/>
      <c r="CF331" s="27">
        <f>SUM(CD331:CE331)</f>
        <v/>
      </c>
      <c r="CG331" s="28" t="n"/>
      <c r="CH331" s="31" t="n"/>
      <c r="CI331" s="29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1" t="n"/>
      <c r="CK331" s="21" t="n"/>
      <c r="CL331" s="27">
        <f>SUM(CJ331:CK331)</f>
        <v/>
      </c>
      <c r="CM331" s="28" t="n"/>
      <c r="CN331" s="31" t="n"/>
      <c r="CO331" s="29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1" t="n"/>
      <c r="CQ331" s="21" t="n"/>
      <c r="CR331" s="27">
        <f>SUM(CP331:CQ331)</f>
        <v/>
      </c>
      <c r="CS331" s="28" t="n"/>
      <c r="CT331" s="31" t="n"/>
      <c r="CU331" s="29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1" t="n"/>
      <c r="CW331" s="21" t="n"/>
      <c r="CX331" s="27">
        <f>SUM(CV331:CW331)</f>
        <v/>
      </c>
      <c r="CY331" s="28" t="n"/>
      <c r="CZ331" s="31" t="n"/>
      <c r="DA331" s="29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1" t="n"/>
      <c r="DC331" s="21" t="n"/>
      <c r="DD331" s="27">
        <f>SUM(DB331:DC331)</f>
        <v/>
      </c>
      <c r="DE331" s="28" t="n"/>
      <c r="DF331" s="31" t="n"/>
      <c r="DG331" s="29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34">
        <f>SUM(O331,U331,AA331,AG331,AM331,AS331,AY331,BE331,BK331,BQ331,BW331,CC331,CI331,CO331,CU331,DA331,DG331)</f>
        <v/>
      </c>
      <c r="DI331" s="39">
        <f>RANK(DH331,DH$4:DH$503)</f>
        <v/>
      </c>
      <c r="DJ331" s="40" t="inlineStr">
        <is>
          <t>CHOOSE RATING</t>
        </is>
      </c>
      <c r="DK331" s="40" t="inlineStr">
        <is>
          <t>CHOOSE RATING</t>
        </is>
      </c>
      <c r="DL331" s="40" t="inlineStr">
        <is>
          <t>CHOOSE RATING</t>
        </is>
      </c>
      <c r="DM331" s="40" t="inlineStr">
        <is>
          <t>CHOOSE RATING</t>
        </is>
      </c>
      <c r="DN331" s="40" t="inlineStr">
        <is>
          <t>CHOOSE RATING</t>
        </is>
      </c>
      <c r="DO331" s="40" t="inlineStr">
        <is>
          <t>CHOOSE RATING</t>
        </is>
      </c>
      <c r="DP331" s="40" t="inlineStr">
        <is>
          <t>CHOOSE RATING</t>
        </is>
      </c>
      <c r="DQ331" s="40" t="inlineStr">
        <is>
          <t>CHOOSE RATING</t>
        </is>
      </c>
      <c r="DR331" s="43" t="inlineStr">
        <is>
          <t>2024/2025</t>
        </is>
      </c>
      <c r="DS331" s="45" t="inlineStr">
        <is>
          <t>THIRD</t>
        </is>
      </c>
      <c r="DT331" s="40" t="inlineStr">
        <is>
          <t>CHOOSE RATING</t>
        </is>
      </c>
      <c r="DU331" s="40" t="inlineStr">
        <is>
          <t>CHOOSE RATING</t>
        </is>
      </c>
      <c r="DV331" s="40" t="inlineStr">
        <is>
          <t>CHOOSE RATING</t>
        </is>
      </c>
      <c r="DW331" s="40" t="inlineStr">
        <is>
          <t>CHOOSE RATING</t>
        </is>
      </c>
      <c r="DX331" s="40" t="inlineStr">
        <is>
          <t>CHOOSE RATING</t>
        </is>
      </c>
      <c r="DY331" s="40" t="inlineStr">
        <is>
          <t>CHOOSE RATING</t>
        </is>
      </c>
      <c r="DZ331" s="53" t="inlineStr">
        <is>
          <t>CHOOSE RATING</t>
        </is>
      </c>
      <c r="EA331" s="54" t="inlineStr">
        <is>
          <t>Add the Tutor's Comment . . .</t>
        </is>
      </c>
      <c r="EB331" s="55" t="inlineStr">
        <is>
          <t>Choose Principals comment</t>
        </is>
      </c>
      <c r="EC331" s="56" t="n"/>
      <c r="ED331" s="57" t="inlineStr">
        <is>
          <t>Next Term Begins on Monday, 22nd September, 2025</t>
        </is>
      </c>
    </row>
    <row r="332" ht="30.6" customHeight="1" s="6">
      <c r="A332" s="18" t="n">
        <v>329</v>
      </c>
      <c r="B332" s="19" t="n"/>
      <c r="C332" s="20" t="n"/>
      <c r="D332" s="128" t="n"/>
      <c r="E332" s="21" t="n"/>
      <c r="F332" s="22" t="n"/>
      <c r="G332" s="22" t="n"/>
      <c r="H332" s="22" t="n"/>
      <c r="I332" s="26">
        <f>G332-H332</f>
        <v/>
      </c>
      <c r="J332" s="21" t="n"/>
      <c r="K332" s="21" t="n"/>
      <c r="L332" s="27">
        <f>SUM(J332:K332)</f>
        <v/>
      </c>
      <c r="M332" s="28" t="n"/>
      <c r="N332" s="28" t="n"/>
      <c r="O332" s="29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1" t="n"/>
      <c r="Q332" s="21" t="n"/>
      <c r="R332" s="27">
        <f>SUM(P332:Q332)</f>
        <v/>
      </c>
      <c r="S332" s="28" t="n"/>
      <c r="T332" s="28" t="n"/>
      <c r="U332" s="29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1" t="n"/>
      <c r="W332" s="21" t="n"/>
      <c r="X332" s="27">
        <f>SUM(V332:W332)</f>
        <v/>
      </c>
      <c r="Y332" s="28" t="n"/>
      <c r="Z332" s="28" t="n"/>
      <c r="AA332" s="29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1" t="n"/>
      <c r="AC332" s="21" t="n"/>
      <c r="AD332" s="27">
        <f>SUM(AB332:AC332)</f>
        <v/>
      </c>
      <c r="AE332" s="28" t="n"/>
      <c r="AF332" s="28" t="n"/>
      <c r="AG332" s="29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1" t="n"/>
      <c r="AI332" s="21" t="n"/>
      <c r="AJ332" s="27">
        <f>SUM(AH332:AI332)</f>
        <v/>
      </c>
      <c r="AK332" s="28" t="n"/>
      <c r="AL332" s="28" t="n"/>
      <c r="AM332" s="29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1" t="n"/>
      <c r="AO332" s="21" t="n"/>
      <c r="AP332" s="27">
        <f>SUM(AN332:AO332)</f>
        <v/>
      </c>
      <c r="AQ332" s="28" t="n"/>
      <c r="AR332" s="30" t="n"/>
      <c r="AS332" s="29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1" t="n"/>
      <c r="AU332" s="21" t="n"/>
      <c r="AV332" s="27">
        <f>SUM(AT332:AU332)</f>
        <v/>
      </c>
      <c r="AW332" s="28" t="n"/>
      <c r="AX332" s="30" t="n"/>
      <c r="AY332" s="29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1" t="n"/>
      <c r="BA332" s="21" t="n"/>
      <c r="BB332" s="27">
        <f>SUM(AZ332:BA332)</f>
        <v/>
      </c>
      <c r="BC332" s="28" t="n"/>
      <c r="BD332" s="28" t="n"/>
      <c r="BE332" s="29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1" t="n"/>
      <c r="BG332" s="21" t="n"/>
      <c r="BH332" s="27">
        <f>SUM(BF332:BG332)</f>
        <v/>
      </c>
      <c r="BI332" s="28" t="n"/>
      <c r="BJ332" s="28" t="n"/>
      <c r="BK332" s="29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1" t="n"/>
      <c r="BM332" s="21" t="n"/>
      <c r="BN332" s="27">
        <f>SUM(BL332:BM332)</f>
        <v/>
      </c>
      <c r="BO332" s="28" t="n"/>
      <c r="BP332" s="31" t="n"/>
      <c r="BQ332" s="29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1" t="n"/>
      <c r="BS332" s="21" t="n"/>
      <c r="BT332" s="27">
        <f>SUM(BR332:BS332)</f>
        <v/>
      </c>
      <c r="BU332" s="28" t="n"/>
      <c r="BV332" s="31" t="n"/>
      <c r="BW332" s="29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1" t="n"/>
      <c r="BY332" s="21" t="n"/>
      <c r="BZ332" s="27">
        <f>SUM(BX332:BY332)</f>
        <v/>
      </c>
      <c r="CA332" s="28" t="n"/>
      <c r="CB332" s="31" t="n"/>
      <c r="CC332" s="29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1" t="n"/>
      <c r="CE332" s="21" t="n"/>
      <c r="CF332" s="27">
        <f>SUM(CD332:CE332)</f>
        <v/>
      </c>
      <c r="CG332" s="28" t="n"/>
      <c r="CH332" s="31" t="n"/>
      <c r="CI332" s="29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1" t="n"/>
      <c r="CK332" s="21" t="n"/>
      <c r="CL332" s="27">
        <f>SUM(CJ332:CK332)</f>
        <v/>
      </c>
      <c r="CM332" s="28" t="n"/>
      <c r="CN332" s="31" t="n"/>
      <c r="CO332" s="29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1" t="n"/>
      <c r="CQ332" s="21" t="n"/>
      <c r="CR332" s="27">
        <f>SUM(CP332:CQ332)</f>
        <v/>
      </c>
      <c r="CS332" s="28" t="n"/>
      <c r="CT332" s="31" t="n"/>
      <c r="CU332" s="29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1" t="n"/>
      <c r="CW332" s="21" t="n"/>
      <c r="CX332" s="27">
        <f>SUM(CV332:CW332)</f>
        <v/>
      </c>
      <c r="CY332" s="28" t="n"/>
      <c r="CZ332" s="31" t="n"/>
      <c r="DA332" s="29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1" t="n"/>
      <c r="DC332" s="21" t="n"/>
      <c r="DD332" s="27">
        <f>SUM(DB332:DC332)</f>
        <v/>
      </c>
      <c r="DE332" s="28" t="n"/>
      <c r="DF332" s="31" t="n"/>
      <c r="DG332" s="29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34">
        <f>SUM(O332,U332,AA332,AG332,AM332,AS332,AY332,BE332,BK332,BQ332,BW332,CC332,CI332,CO332,CU332,DA332,DG332)</f>
        <v/>
      </c>
      <c r="DI332" s="39">
        <f>RANK(DH332,DH$4:DH$503)</f>
        <v/>
      </c>
      <c r="DJ332" s="40" t="inlineStr">
        <is>
          <t>CHOOSE RATING</t>
        </is>
      </c>
      <c r="DK332" s="40" t="inlineStr">
        <is>
          <t>CHOOSE RATING</t>
        </is>
      </c>
      <c r="DL332" s="40" t="inlineStr">
        <is>
          <t>CHOOSE RATING</t>
        </is>
      </c>
      <c r="DM332" s="40" t="inlineStr">
        <is>
          <t>CHOOSE RATING</t>
        </is>
      </c>
      <c r="DN332" s="40" t="inlineStr">
        <is>
          <t>CHOOSE RATING</t>
        </is>
      </c>
      <c r="DO332" s="40" t="inlineStr">
        <is>
          <t>CHOOSE RATING</t>
        </is>
      </c>
      <c r="DP332" s="40" t="inlineStr">
        <is>
          <t>CHOOSE RATING</t>
        </is>
      </c>
      <c r="DQ332" s="40" t="inlineStr">
        <is>
          <t>CHOOSE RATING</t>
        </is>
      </c>
      <c r="DR332" s="43" t="inlineStr">
        <is>
          <t>2024/2025</t>
        </is>
      </c>
      <c r="DS332" s="45" t="inlineStr">
        <is>
          <t>THIRD</t>
        </is>
      </c>
      <c r="DT332" s="40" t="inlineStr">
        <is>
          <t>CHOOSE RATING</t>
        </is>
      </c>
      <c r="DU332" s="40" t="inlineStr">
        <is>
          <t>CHOOSE RATING</t>
        </is>
      </c>
      <c r="DV332" s="40" t="inlineStr">
        <is>
          <t>CHOOSE RATING</t>
        </is>
      </c>
      <c r="DW332" s="40" t="inlineStr">
        <is>
          <t>CHOOSE RATING</t>
        </is>
      </c>
      <c r="DX332" s="40" t="inlineStr">
        <is>
          <t>CHOOSE RATING</t>
        </is>
      </c>
      <c r="DY332" s="40" t="inlineStr">
        <is>
          <t>CHOOSE RATING</t>
        </is>
      </c>
      <c r="DZ332" s="53" t="inlineStr">
        <is>
          <t>CHOOSE RATING</t>
        </is>
      </c>
      <c r="EA332" s="54" t="inlineStr">
        <is>
          <t>Add the Tutor's Comment . . .</t>
        </is>
      </c>
      <c r="EB332" s="55" t="inlineStr">
        <is>
          <t>Choose Principals comment</t>
        </is>
      </c>
      <c r="EC332" s="56" t="n"/>
      <c r="ED332" s="57" t="inlineStr">
        <is>
          <t>Next Term Begins on Monday, 22nd September, 2025</t>
        </is>
      </c>
    </row>
    <row r="333" ht="30.6" customHeight="1" s="6">
      <c r="A333" s="18" t="n">
        <v>330</v>
      </c>
      <c r="B333" s="19" t="n"/>
      <c r="C333" s="20" t="n"/>
      <c r="D333" s="128" t="n"/>
      <c r="E333" s="21" t="n"/>
      <c r="F333" s="22" t="n"/>
      <c r="G333" s="22" t="n"/>
      <c r="H333" s="22" t="n"/>
      <c r="I333" s="26">
        <f>G333-H333</f>
        <v/>
      </c>
      <c r="J333" s="21" t="n"/>
      <c r="K333" s="21" t="n"/>
      <c r="L333" s="27">
        <f>SUM(J333:K333)</f>
        <v/>
      </c>
      <c r="M333" s="28" t="n"/>
      <c r="N333" s="28" t="n"/>
      <c r="O333" s="29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1" t="n"/>
      <c r="Q333" s="21" t="n"/>
      <c r="R333" s="27">
        <f>SUM(P333:Q333)</f>
        <v/>
      </c>
      <c r="S333" s="28" t="n"/>
      <c r="T333" s="28" t="n"/>
      <c r="U333" s="29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1" t="n"/>
      <c r="W333" s="21" t="n"/>
      <c r="X333" s="27">
        <f>SUM(V333:W333)</f>
        <v/>
      </c>
      <c r="Y333" s="28" t="n"/>
      <c r="Z333" s="28" t="n"/>
      <c r="AA333" s="29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1" t="n"/>
      <c r="AC333" s="21" t="n"/>
      <c r="AD333" s="27">
        <f>SUM(AB333:AC333)</f>
        <v/>
      </c>
      <c r="AE333" s="28" t="n"/>
      <c r="AF333" s="28" t="n"/>
      <c r="AG333" s="29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1" t="n"/>
      <c r="AI333" s="21" t="n"/>
      <c r="AJ333" s="27">
        <f>SUM(AH333:AI333)</f>
        <v/>
      </c>
      <c r="AK333" s="28" t="n"/>
      <c r="AL333" s="28" t="n"/>
      <c r="AM333" s="29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1" t="n"/>
      <c r="AO333" s="21" t="n"/>
      <c r="AP333" s="27">
        <f>SUM(AN333:AO333)</f>
        <v/>
      </c>
      <c r="AQ333" s="28" t="n"/>
      <c r="AR333" s="30" t="n"/>
      <c r="AS333" s="29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1" t="n"/>
      <c r="AU333" s="21" t="n"/>
      <c r="AV333" s="27">
        <f>SUM(AT333:AU333)</f>
        <v/>
      </c>
      <c r="AW333" s="28" t="n"/>
      <c r="AX333" s="30" t="n"/>
      <c r="AY333" s="29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1" t="n"/>
      <c r="BA333" s="21" t="n"/>
      <c r="BB333" s="27">
        <f>SUM(AZ333:BA333)</f>
        <v/>
      </c>
      <c r="BC333" s="28" t="n"/>
      <c r="BD333" s="28" t="n"/>
      <c r="BE333" s="29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1" t="n"/>
      <c r="BG333" s="21" t="n"/>
      <c r="BH333" s="27">
        <f>SUM(BF333:BG333)</f>
        <v/>
      </c>
      <c r="BI333" s="28" t="n"/>
      <c r="BJ333" s="28" t="n"/>
      <c r="BK333" s="29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1" t="n"/>
      <c r="BM333" s="21" t="n"/>
      <c r="BN333" s="27">
        <f>SUM(BL333:BM333)</f>
        <v/>
      </c>
      <c r="BO333" s="28" t="n"/>
      <c r="BP333" s="31" t="n"/>
      <c r="BQ333" s="29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1" t="n"/>
      <c r="BS333" s="21" t="n"/>
      <c r="BT333" s="27">
        <f>SUM(BR333:BS333)</f>
        <v/>
      </c>
      <c r="BU333" s="28" t="n"/>
      <c r="BV333" s="31" t="n"/>
      <c r="BW333" s="29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1" t="n"/>
      <c r="BY333" s="21" t="n"/>
      <c r="BZ333" s="27">
        <f>SUM(BX333:BY333)</f>
        <v/>
      </c>
      <c r="CA333" s="28" t="n"/>
      <c r="CB333" s="31" t="n"/>
      <c r="CC333" s="29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1" t="n"/>
      <c r="CE333" s="21" t="n"/>
      <c r="CF333" s="27">
        <f>SUM(CD333:CE333)</f>
        <v/>
      </c>
      <c r="CG333" s="28" t="n"/>
      <c r="CH333" s="31" t="n"/>
      <c r="CI333" s="29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1" t="n"/>
      <c r="CK333" s="21" t="n"/>
      <c r="CL333" s="27">
        <f>SUM(CJ333:CK333)</f>
        <v/>
      </c>
      <c r="CM333" s="28" t="n"/>
      <c r="CN333" s="31" t="n"/>
      <c r="CO333" s="29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1" t="n"/>
      <c r="CQ333" s="21" t="n"/>
      <c r="CR333" s="27">
        <f>SUM(CP333:CQ333)</f>
        <v/>
      </c>
      <c r="CS333" s="28" t="n"/>
      <c r="CT333" s="31" t="n"/>
      <c r="CU333" s="29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1" t="n"/>
      <c r="CW333" s="21" t="n"/>
      <c r="CX333" s="27">
        <f>SUM(CV333:CW333)</f>
        <v/>
      </c>
      <c r="CY333" s="28" t="n"/>
      <c r="CZ333" s="31" t="n"/>
      <c r="DA333" s="29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1" t="n"/>
      <c r="DC333" s="21" t="n"/>
      <c r="DD333" s="27">
        <f>SUM(DB333:DC333)</f>
        <v/>
      </c>
      <c r="DE333" s="28" t="n"/>
      <c r="DF333" s="31" t="n"/>
      <c r="DG333" s="29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34">
        <f>SUM(O333,U333,AA333,AG333,AM333,AS333,AY333,BE333,BK333,BQ333,BW333,CC333,CI333,CO333,CU333,DA333,DG333)</f>
        <v/>
      </c>
      <c r="DI333" s="39">
        <f>RANK(DH333,DH$4:DH$503)</f>
        <v/>
      </c>
      <c r="DJ333" s="40" t="inlineStr">
        <is>
          <t>CHOOSE RATING</t>
        </is>
      </c>
      <c r="DK333" s="40" t="inlineStr">
        <is>
          <t>CHOOSE RATING</t>
        </is>
      </c>
      <c r="DL333" s="40" t="inlineStr">
        <is>
          <t>CHOOSE RATING</t>
        </is>
      </c>
      <c r="DM333" s="40" t="inlineStr">
        <is>
          <t>CHOOSE RATING</t>
        </is>
      </c>
      <c r="DN333" s="40" t="inlineStr">
        <is>
          <t>CHOOSE RATING</t>
        </is>
      </c>
      <c r="DO333" s="40" t="inlineStr">
        <is>
          <t>CHOOSE RATING</t>
        </is>
      </c>
      <c r="DP333" s="40" t="inlineStr">
        <is>
          <t>CHOOSE RATING</t>
        </is>
      </c>
      <c r="DQ333" s="40" t="inlineStr">
        <is>
          <t>CHOOSE RATING</t>
        </is>
      </c>
      <c r="DR333" s="43" t="inlineStr">
        <is>
          <t>2024/2025</t>
        </is>
      </c>
      <c r="DS333" s="45" t="inlineStr">
        <is>
          <t>THIRD</t>
        </is>
      </c>
      <c r="DT333" s="40" t="inlineStr">
        <is>
          <t>CHOOSE RATING</t>
        </is>
      </c>
      <c r="DU333" s="40" t="inlineStr">
        <is>
          <t>CHOOSE RATING</t>
        </is>
      </c>
      <c r="DV333" s="40" t="inlineStr">
        <is>
          <t>CHOOSE RATING</t>
        </is>
      </c>
      <c r="DW333" s="40" t="inlineStr">
        <is>
          <t>CHOOSE RATING</t>
        </is>
      </c>
      <c r="DX333" s="40" t="inlineStr">
        <is>
          <t>CHOOSE RATING</t>
        </is>
      </c>
      <c r="DY333" s="40" t="inlineStr">
        <is>
          <t>CHOOSE RATING</t>
        </is>
      </c>
      <c r="DZ333" s="53" t="inlineStr">
        <is>
          <t>CHOOSE RATING</t>
        </is>
      </c>
      <c r="EA333" s="54" t="inlineStr">
        <is>
          <t>Add the Tutor's Comment . . .</t>
        </is>
      </c>
      <c r="EB333" s="55" t="inlineStr">
        <is>
          <t>Choose Principals comment</t>
        </is>
      </c>
      <c r="EC333" s="56" t="n"/>
      <c r="ED333" s="57" t="inlineStr">
        <is>
          <t>Next Term Begins on Monday, 22nd September, 2025</t>
        </is>
      </c>
    </row>
    <row r="334" ht="30.6" customHeight="1" s="6">
      <c r="A334" s="18" t="n">
        <v>331</v>
      </c>
      <c r="B334" s="19" t="n"/>
      <c r="C334" s="20" t="n"/>
      <c r="D334" s="128" t="n"/>
      <c r="E334" s="21" t="n"/>
      <c r="F334" s="22" t="n"/>
      <c r="G334" s="22" t="n"/>
      <c r="H334" s="22" t="n"/>
      <c r="I334" s="26">
        <f>G334-H334</f>
        <v/>
      </c>
      <c r="J334" s="21" t="n"/>
      <c r="K334" s="21" t="n"/>
      <c r="L334" s="27">
        <f>SUM(J334:K334)</f>
        <v/>
      </c>
      <c r="M334" s="28" t="n"/>
      <c r="N334" s="28" t="n"/>
      <c r="O334" s="29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1" t="n"/>
      <c r="Q334" s="21" t="n"/>
      <c r="R334" s="27">
        <f>SUM(P334:Q334)</f>
        <v/>
      </c>
      <c r="S334" s="28" t="n"/>
      <c r="T334" s="28" t="n"/>
      <c r="U334" s="29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1" t="n"/>
      <c r="W334" s="21" t="n"/>
      <c r="X334" s="27">
        <f>SUM(V334:W334)</f>
        <v/>
      </c>
      <c r="Y334" s="28" t="n"/>
      <c r="Z334" s="28" t="n"/>
      <c r="AA334" s="29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1" t="n"/>
      <c r="AC334" s="21" t="n"/>
      <c r="AD334" s="27">
        <f>SUM(AB334:AC334)</f>
        <v/>
      </c>
      <c r="AE334" s="28" t="n"/>
      <c r="AF334" s="28" t="n"/>
      <c r="AG334" s="29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1" t="n"/>
      <c r="AI334" s="21" t="n"/>
      <c r="AJ334" s="27">
        <f>SUM(AH334:AI334)</f>
        <v/>
      </c>
      <c r="AK334" s="28" t="n"/>
      <c r="AL334" s="28" t="n"/>
      <c r="AM334" s="29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1" t="n"/>
      <c r="AO334" s="21" t="n"/>
      <c r="AP334" s="27">
        <f>SUM(AN334:AO334)</f>
        <v/>
      </c>
      <c r="AQ334" s="28" t="n"/>
      <c r="AR334" s="30" t="n"/>
      <c r="AS334" s="29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1" t="n"/>
      <c r="AU334" s="21" t="n"/>
      <c r="AV334" s="27">
        <f>SUM(AT334:AU334)</f>
        <v/>
      </c>
      <c r="AW334" s="28" t="n"/>
      <c r="AX334" s="30" t="n"/>
      <c r="AY334" s="29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1" t="n"/>
      <c r="BA334" s="21" t="n"/>
      <c r="BB334" s="27">
        <f>SUM(AZ334:BA334)</f>
        <v/>
      </c>
      <c r="BC334" s="28" t="n"/>
      <c r="BD334" s="28" t="n"/>
      <c r="BE334" s="29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1" t="n"/>
      <c r="BG334" s="21" t="n"/>
      <c r="BH334" s="27">
        <f>SUM(BF334:BG334)</f>
        <v/>
      </c>
      <c r="BI334" s="28" t="n"/>
      <c r="BJ334" s="28" t="n"/>
      <c r="BK334" s="29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1" t="n"/>
      <c r="BM334" s="21" t="n"/>
      <c r="BN334" s="27">
        <f>SUM(BL334:BM334)</f>
        <v/>
      </c>
      <c r="BO334" s="28" t="n"/>
      <c r="BP334" s="31" t="n"/>
      <c r="BQ334" s="29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1" t="n"/>
      <c r="BS334" s="21" t="n"/>
      <c r="BT334" s="27">
        <f>SUM(BR334:BS334)</f>
        <v/>
      </c>
      <c r="BU334" s="28" t="n"/>
      <c r="BV334" s="31" t="n"/>
      <c r="BW334" s="29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1" t="n"/>
      <c r="BY334" s="21" t="n"/>
      <c r="BZ334" s="27">
        <f>SUM(BX334:BY334)</f>
        <v/>
      </c>
      <c r="CA334" s="28" t="n"/>
      <c r="CB334" s="31" t="n"/>
      <c r="CC334" s="29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1" t="n"/>
      <c r="CE334" s="21" t="n"/>
      <c r="CF334" s="27">
        <f>SUM(CD334:CE334)</f>
        <v/>
      </c>
      <c r="CG334" s="28" t="n"/>
      <c r="CH334" s="31" t="n"/>
      <c r="CI334" s="29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1" t="n"/>
      <c r="CK334" s="21" t="n"/>
      <c r="CL334" s="27">
        <f>SUM(CJ334:CK334)</f>
        <v/>
      </c>
      <c r="CM334" s="28" t="n"/>
      <c r="CN334" s="31" t="n"/>
      <c r="CO334" s="29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1" t="n"/>
      <c r="CQ334" s="21" t="n"/>
      <c r="CR334" s="27">
        <f>SUM(CP334:CQ334)</f>
        <v/>
      </c>
      <c r="CS334" s="28" t="n"/>
      <c r="CT334" s="31" t="n"/>
      <c r="CU334" s="29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1" t="n"/>
      <c r="CW334" s="21" t="n"/>
      <c r="CX334" s="27">
        <f>SUM(CV334:CW334)</f>
        <v/>
      </c>
      <c r="CY334" s="28" t="n"/>
      <c r="CZ334" s="31" t="n"/>
      <c r="DA334" s="29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1" t="n"/>
      <c r="DC334" s="21" t="n"/>
      <c r="DD334" s="27">
        <f>SUM(DB334:DC334)</f>
        <v/>
      </c>
      <c r="DE334" s="28" t="n"/>
      <c r="DF334" s="31" t="n"/>
      <c r="DG334" s="29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34">
        <f>SUM(O334,U334,AA334,AG334,AM334,AS334,AY334,BE334,BK334,BQ334,BW334,CC334,CI334,CO334,CU334,DA334,DG334)</f>
        <v/>
      </c>
      <c r="DI334" s="39">
        <f>RANK(DH334,DH$4:DH$503)</f>
        <v/>
      </c>
      <c r="DJ334" s="40" t="inlineStr">
        <is>
          <t>CHOOSE RATING</t>
        </is>
      </c>
      <c r="DK334" s="40" t="inlineStr">
        <is>
          <t>CHOOSE RATING</t>
        </is>
      </c>
      <c r="DL334" s="40" t="inlineStr">
        <is>
          <t>CHOOSE RATING</t>
        </is>
      </c>
      <c r="DM334" s="40" t="inlineStr">
        <is>
          <t>CHOOSE RATING</t>
        </is>
      </c>
      <c r="DN334" s="40" t="inlineStr">
        <is>
          <t>CHOOSE RATING</t>
        </is>
      </c>
      <c r="DO334" s="40" t="inlineStr">
        <is>
          <t>CHOOSE RATING</t>
        </is>
      </c>
      <c r="DP334" s="40" t="inlineStr">
        <is>
          <t>CHOOSE RATING</t>
        </is>
      </c>
      <c r="DQ334" s="40" t="inlineStr">
        <is>
          <t>CHOOSE RATING</t>
        </is>
      </c>
      <c r="DR334" s="43" t="inlineStr">
        <is>
          <t>2024/2025</t>
        </is>
      </c>
      <c r="DS334" s="45" t="inlineStr">
        <is>
          <t>THIRD</t>
        </is>
      </c>
      <c r="DT334" s="40" t="inlineStr">
        <is>
          <t>CHOOSE RATING</t>
        </is>
      </c>
      <c r="DU334" s="40" t="inlineStr">
        <is>
          <t>CHOOSE RATING</t>
        </is>
      </c>
      <c r="DV334" s="40" t="inlineStr">
        <is>
          <t>CHOOSE RATING</t>
        </is>
      </c>
      <c r="DW334" s="40" t="inlineStr">
        <is>
          <t>CHOOSE RATING</t>
        </is>
      </c>
      <c r="DX334" s="40" t="inlineStr">
        <is>
          <t>CHOOSE RATING</t>
        </is>
      </c>
      <c r="DY334" s="40" t="inlineStr">
        <is>
          <t>CHOOSE RATING</t>
        </is>
      </c>
      <c r="DZ334" s="53" t="inlineStr">
        <is>
          <t>CHOOSE RATING</t>
        </is>
      </c>
      <c r="EA334" s="54" t="inlineStr">
        <is>
          <t>Add the Tutor's Comment . . .</t>
        </is>
      </c>
      <c r="EB334" s="55" t="inlineStr">
        <is>
          <t>Choose Principals comment</t>
        </is>
      </c>
      <c r="EC334" s="56" t="n"/>
      <c r="ED334" s="57" t="inlineStr">
        <is>
          <t>Next Term Begins on Monday, 22nd September, 2025</t>
        </is>
      </c>
    </row>
    <row r="335" ht="30.6" customHeight="1" s="6">
      <c r="A335" s="18" t="n">
        <v>332</v>
      </c>
      <c r="B335" s="19" t="n"/>
      <c r="C335" s="20" t="n"/>
      <c r="D335" s="128" t="n"/>
      <c r="E335" s="21" t="n"/>
      <c r="F335" s="22" t="n"/>
      <c r="G335" s="22" t="n"/>
      <c r="H335" s="22" t="n"/>
      <c r="I335" s="26">
        <f>G335-H335</f>
        <v/>
      </c>
      <c r="J335" s="21" t="n"/>
      <c r="K335" s="21" t="n"/>
      <c r="L335" s="27">
        <f>SUM(J335:K335)</f>
        <v/>
      </c>
      <c r="M335" s="28" t="n"/>
      <c r="N335" s="28" t="n"/>
      <c r="O335" s="29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1" t="n"/>
      <c r="Q335" s="21" t="n"/>
      <c r="R335" s="27">
        <f>SUM(P335:Q335)</f>
        <v/>
      </c>
      <c r="S335" s="28" t="n"/>
      <c r="T335" s="28" t="n"/>
      <c r="U335" s="29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1" t="n"/>
      <c r="W335" s="21" t="n"/>
      <c r="X335" s="27">
        <f>SUM(V335:W335)</f>
        <v/>
      </c>
      <c r="Y335" s="28" t="n"/>
      <c r="Z335" s="28" t="n"/>
      <c r="AA335" s="29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1" t="n"/>
      <c r="AC335" s="21" t="n"/>
      <c r="AD335" s="27">
        <f>SUM(AB335:AC335)</f>
        <v/>
      </c>
      <c r="AE335" s="28" t="n"/>
      <c r="AF335" s="28" t="n"/>
      <c r="AG335" s="29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1" t="n"/>
      <c r="AI335" s="21" t="n"/>
      <c r="AJ335" s="27">
        <f>SUM(AH335:AI335)</f>
        <v/>
      </c>
      <c r="AK335" s="28" t="n"/>
      <c r="AL335" s="28" t="n"/>
      <c r="AM335" s="29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1" t="n"/>
      <c r="AO335" s="21" t="n"/>
      <c r="AP335" s="27">
        <f>SUM(AN335:AO335)</f>
        <v/>
      </c>
      <c r="AQ335" s="28" t="n"/>
      <c r="AR335" s="30" t="n"/>
      <c r="AS335" s="29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1" t="n"/>
      <c r="AU335" s="21" t="n"/>
      <c r="AV335" s="27">
        <f>SUM(AT335:AU335)</f>
        <v/>
      </c>
      <c r="AW335" s="28" t="n"/>
      <c r="AX335" s="30" t="n"/>
      <c r="AY335" s="29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1" t="n"/>
      <c r="BA335" s="21" t="n"/>
      <c r="BB335" s="27">
        <f>SUM(AZ335:BA335)</f>
        <v/>
      </c>
      <c r="BC335" s="28" t="n"/>
      <c r="BD335" s="28" t="n"/>
      <c r="BE335" s="29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1" t="n"/>
      <c r="BG335" s="21" t="n"/>
      <c r="BH335" s="27">
        <f>SUM(BF335:BG335)</f>
        <v/>
      </c>
      <c r="BI335" s="28" t="n"/>
      <c r="BJ335" s="28" t="n"/>
      <c r="BK335" s="29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1" t="n"/>
      <c r="BM335" s="21" t="n"/>
      <c r="BN335" s="27">
        <f>SUM(BL335:BM335)</f>
        <v/>
      </c>
      <c r="BO335" s="28" t="n"/>
      <c r="BP335" s="31" t="n"/>
      <c r="BQ335" s="29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1" t="n"/>
      <c r="BS335" s="21" t="n"/>
      <c r="BT335" s="27">
        <f>SUM(BR335:BS335)</f>
        <v/>
      </c>
      <c r="BU335" s="28" t="n"/>
      <c r="BV335" s="31" t="n"/>
      <c r="BW335" s="29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1" t="n"/>
      <c r="BY335" s="21" t="n"/>
      <c r="BZ335" s="27">
        <f>SUM(BX335:BY335)</f>
        <v/>
      </c>
      <c r="CA335" s="28" t="n"/>
      <c r="CB335" s="31" t="n"/>
      <c r="CC335" s="29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1" t="n"/>
      <c r="CE335" s="21" t="n"/>
      <c r="CF335" s="27">
        <f>SUM(CD335:CE335)</f>
        <v/>
      </c>
      <c r="CG335" s="28" t="n"/>
      <c r="CH335" s="31" t="n"/>
      <c r="CI335" s="29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1" t="n"/>
      <c r="CK335" s="21" t="n"/>
      <c r="CL335" s="27">
        <f>SUM(CJ335:CK335)</f>
        <v/>
      </c>
      <c r="CM335" s="28" t="n"/>
      <c r="CN335" s="31" t="n"/>
      <c r="CO335" s="29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1" t="n"/>
      <c r="CQ335" s="21" t="n"/>
      <c r="CR335" s="27">
        <f>SUM(CP335:CQ335)</f>
        <v/>
      </c>
      <c r="CS335" s="28" t="n"/>
      <c r="CT335" s="31" t="n"/>
      <c r="CU335" s="29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1" t="n"/>
      <c r="CW335" s="21" t="n"/>
      <c r="CX335" s="27">
        <f>SUM(CV335:CW335)</f>
        <v/>
      </c>
      <c r="CY335" s="28" t="n"/>
      <c r="CZ335" s="31" t="n"/>
      <c r="DA335" s="29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1" t="n"/>
      <c r="DC335" s="21" t="n"/>
      <c r="DD335" s="27">
        <f>SUM(DB335:DC335)</f>
        <v/>
      </c>
      <c r="DE335" s="28" t="n"/>
      <c r="DF335" s="31" t="n"/>
      <c r="DG335" s="29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34">
        <f>SUM(O335,U335,AA335,AG335,AM335,AS335,AY335,BE335,BK335,BQ335,BW335,CC335,CI335,CO335,CU335,DA335,DG335)</f>
        <v/>
      </c>
      <c r="DI335" s="39">
        <f>RANK(DH335,DH$4:DH$503)</f>
        <v/>
      </c>
      <c r="DJ335" s="40" t="inlineStr">
        <is>
          <t>CHOOSE RATING</t>
        </is>
      </c>
      <c r="DK335" s="40" t="inlineStr">
        <is>
          <t>CHOOSE RATING</t>
        </is>
      </c>
      <c r="DL335" s="40" t="inlineStr">
        <is>
          <t>CHOOSE RATING</t>
        </is>
      </c>
      <c r="DM335" s="40" t="inlineStr">
        <is>
          <t>CHOOSE RATING</t>
        </is>
      </c>
      <c r="DN335" s="40" t="inlineStr">
        <is>
          <t>CHOOSE RATING</t>
        </is>
      </c>
      <c r="DO335" s="40" t="inlineStr">
        <is>
          <t>CHOOSE RATING</t>
        </is>
      </c>
      <c r="DP335" s="40" t="inlineStr">
        <is>
          <t>CHOOSE RATING</t>
        </is>
      </c>
      <c r="DQ335" s="40" t="inlineStr">
        <is>
          <t>CHOOSE RATING</t>
        </is>
      </c>
      <c r="DR335" s="43" t="inlineStr">
        <is>
          <t>2024/2025</t>
        </is>
      </c>
      <c r="DS335" s="45" t="inlineStr">
        <is>
          <t>THIRD</t>
        </is>
      </c>
      <c r="DT335" s="40" t="inlineStr">
        <is>
          <t>CHOOSE RATING</t>
        </is>
      </c>
      <c r="DU335" s="40" t="inlineStr">
        <is>
          <t>CHOOSE RATING</t>
        </is>
      </c>
      <c r="DV335" s="40" t="inlineStr">
        <is>
          <t>CHOOSE RATING</t>
        </is>
      </c>
      <c r="DW335" s="40" t="inlineStr">
        <is>
          <t>CHOOSE RATING</t>
        </is>
      </c>
      <c r="DX335" s="40" t="inlineStr">
        <is>
          <t>CHOOSE RATING</t>
        </is>
      </c>
      <c r="DY335" s="40" t="inlineStr">
        <is>
          <t>CHOOSE RATING</t>
        </is>
      </c>
      <c r="DZ335" s="53" t="inlineStr">
        <is>
          <t>CHOOSE RATING</t>
        </is>
      </c>
      <c r="EA335" s="54" t="inlineStr">
        <is>
          <t>Add the Tutor's Comment . . .</t>
        </is>
      </c>
      <c r="EB335" s="55" t="inlineStr">
        <is>
          <t>Choose Principals comment</t>
        </is>
      </c>
      <c r="EC335" s="56" t="n"/>
      <c r="ED335" s="57" t="inlineStr">
        <is>
          <t>Next Term Begins on Monday, 22nd September, 2025</t>
        </is>
      </c>
    </row>
    <row r="336" ht="30.6" customHeight="1" s="6">
      <c r="A336" s="18" t="n">
        <v>333</v>
      </c>
      <c r="B336" s="19" t="n"/>
      <c r="C336" s="20" t="n"/>
      <c r="D336" s="128" t="n"/>
      <c r="E336" s="21" t="n"/>
      <c r="F336" s="22" t="n"/>
      <c r="G336" s="22" t="n"/>
      <c r="H336" s="22" t="n"/>
      <c r="I336" s="26">
        <f>G336-H336</f>
        <v/>
      </c>
      <c r="J336" s="21" t="n"/>
      <c r="K336" s="21" t="n"/>
      <c r="L336" s="27">
        <f>SUM(J336:K336)</f>
        <v/>
      </c>
      <c r="M336" s="28" t="n"/>
      <c r="N336" s="28" t="n"/>
      <c r="O336" s="29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1" t="n"/>
      <c r="Q336" s="21" t="n"/>
      <c r="R336" s="27">
        <f>SUM(P336:Q336)</f>
        <v/>
      </c>
      <c r="S336" s="28" t="n"/>
      <c r="T336" s="28" t="n"/>
      <c r="U336" s="29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1" t="n"/>
      <c r="W336" s="21" t="n"/>
      <c r="X336" s="27">
        <f>SUM(V336:W336)</f>
        <v/>
      </c>
      <c r="Y336" s="28" t="n"/>
      <c r="Z336" s="28" t="n"/>
      <c r="AA336" s="29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1" t="n"/>
      <c r="AC336" s="21" t="n"/>
      <c r="AD336" s="27">
        <f>SUM(AB336:AC336)</f>
        <v/>
      </c>
      <c r="AE336" s="28" t="n"/>
      <c r="AF336" s="28" t="n"/>
      <c r="AG336" s="29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1" t="n"/>
      <c r="AI336" s="21" t="n"/>
      <c r="AJ336" s="27">
        <f>SUM(AH336:AI336)</f>
        <v/>
      </c>
      <c r="AK336" s="28" t="n"/>
      <c r="AL336" s="28" t="n"/>
      <c r="AM336" s="29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1" t="n"/>
      <c r="AO336" s="21" t="n"/>
      <c r="AP336" s="27">
        <f>SUM(AN336:AO336)</f>
        <v/>
      </c>
      <c r="AQ336" s="28" t="n"/>
      <c r="AR336" s="30" t="n"/>
      <c r="AS336" s="29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1" t="n"/>
      <c r="AU336" s="21" t="n"/>
      <c r="AV336" s="27">
        <f>SUM(AT336:AU336)</f>
        <v/>
      </c>
      <c r="AW336" s="28" t="n"/>
      <c r="AX336" s="30" t="n"/>
      <c r="AY336" s="29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1" t="n"/>
      <c r="BA336" s="21" t="n"/>
      <c r="BB336" s="27">
        <f>SUM(AZ336:BA336)</f>
        <v/>
      </c>
      <c r="BC336" s="28" t="n"/>
      <c r="BD336" s="28" t="n"/>
      <c r="BE336" s="29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1" t="n"/>
      <c r="BG336" s="21" t="n"/>
      <c r="BH336" s="27">
        <f>SUM(BF336:BG336)</f>
        <v/>
      </c>
      <c r="BI336" s="28" t="n"/>
      <c r="BJ336" s="28" t="n"/>
      <c r="BK336" s="29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1" t="n"/>
      <c r="BM336" s="21" t="n"/>
      <c r="BN336" s="27">
        <f>SUM(BL336:BM336)</f>
        <v/>
      </c>
      <c r="BO336" s="28" t="n"/>
      <c r="BP336" s="31" t="n"/>
      <c r="BQ336" s="29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1" t="n"/>
      <c r="BS336" s="21" t="n"/>
      <c r="BT336" s="27">
        <f>SUM(BR336:BS336)</f>
        <v/>
      </c>
      <c r="BU336" s="28" t="n"/>
      <c r="BV336" s="31" t="n"/>
      <c r="BW336" s="29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1" t="n"/>
      <c r="BY336" s="21" t="n"/>
      <c r="BZ336" s="27">
        <f>SUM(BX336:BY336)</f>
        <v/>
      </c>
      <c r="CA336" s="28" t="n"/>
      <c r="CB336" s="31" t="n"/>
      <c r="CC336" s="29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1" t="n"/>
      <c r="CE336" s="21" t="n"/>
      <c r="CF336" s="27">
        <f>SUM(CD336:CE336)</f>
        <v/>
      </c>
      <c r="CG336" s="28" t="n"/>
      <c r="CH336" s="31" t="n"/>
      <c r="CI336" s="29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1" t="n"/>
      <c r="CK336" s="21" t="n"/>
      <c r="CL336" s="27">
        <f>SUM(CJ336:CK336)</f>
        <v/>
      </c>
      <c r="CM336" s="28" t="n"/>
      <c r="CN336" s="31" t="n"/>
      <c r="CO336" s="29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1" t="n"/>
      <c r="CQ336" s="21" t="n"/>
      <c r="CR336" s="27">
        <f>SUM(CP336:CQ336)</f>
        <v/>
      </c>
      <c r="CS336" s="28" t="n"/>
      <c r="CT336" s="31" t="n"/>
      <c r="CU336" s="29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1" t="n"/>
      <c r="CW336" s="21" t="n"/>
      <c r="CX336" s="27">
        <f>SUM(CV336:CW336)</f>
        <v/>
      </c>
      <c r="CY336" s="28" t="n"/>
      <c r="CZ336" s="31" t="n"/>
      <c r="DA336" s="29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1" t="n"/>
      <c r="DC336" s="21" t="n"/>
      <c r="DD336" s="27">
        <f>SUM(DB336:DC336)</f>
        <v/>
      </c>
      <c r="DE336" s="28" t="n"/>
      <c r="DF336" s="31" t="n"/>
      <c r="DG336" s="29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34">
        <f>SUM(O336,U336,AA336,AG336,AM336,AS336,AY336,BE336,BK336,BQ336,BW336,CC336,CI336,CO336,CU336,DA336,DG336)</f>
        <v/>
      </c>
      <c r="DI336" s="39">
        <f>RANK(DH336,DH$4:DH$503)</f>
        <v/>
      </c>
      <c r="DJ336" s="40" t="inlineStr">
        <is>
          <t>CHOOSE RATING</t>
        </is>
      </c>
      <c r="DK336" s="40" t="inlineStr">
        <is>
          <t>CHOOSE RATING</t>
        </is>
      </c>
      <c r="DL336" s="40" t="inlineStr">
        <is>
          <t>CHOOSE RATING</t>
        </is>
      </c>
      <c r="DM336" s="40" t="inlineStr">
        <is>
          <t>CHOOSE RATING</t>
        </is>
      </c>
      <c r="DN336" s="40" t="inlineStr">
        <is>
          <t>CHOOSE RATING</t>
        </is>
      </c>
      <c r="DO336" s="40" t="inlineStr">
        <is>
          <t>CHOOSE RATING</t>
        </is>
      </c>
      <c r="DP336" s="40" t="inlineStr">
        <is>
          <t>CHOOSE RATING</t>
        </is>
      </c>
      <c r="DQ336" s="40" t="inlineStr">
        <is>
          <t>CHOOSE RATING</t>
        </is>
      </c>
      <c r="DR336" s="43" t="inlineStr">
        <is>
          <t>2024/2025</t>
        </is>
      </c>
      <c r="DS336" s="45" t="inlineStr">
        <is>
          <t>THIRD</t>
        </is>
      </c>
      <c r="DT336" s="40" t="inlineStr">
        <is>
          <t>CHOOSE RATING</t>
        </is>
      </c>
      <c r="DU336" s="40" t="inlineStr">
        <is>
          <t>CHOOSE RATING</t>
        </is>
      </c>
      <c r="DV336" s="40" t="inlineStr">
        <is>
          <t>CHOOSE RATING</t>
        </is>
      </c>
      <c r="DW336" s="40" t="inlineStr">
        <is>
          <t>CHOOSE RATING</t>
        </is>
      </c>
      <c r="DX336" s="40" t="inlineStr">
        <is>
          <t>CHOOSE RATING</t>
        </is>
      </c>
      <c r="DY336" s="40" t="inlineStr">
        <is>
          <t>CHOOSE RATING</t>
        </is>
      </c>
      <c r="DZ336" s="53" t="inlineStr">
        <is>
          <t>CHOOSE RATING</t>
        </is>
      </c>
      <c r="EA336" s="54" t="inlineStr">
        <is>
          <t>Add the Tutor's Comment . . .</t>
        </is>
      </c>
      <c r="EB336" s="55" t="inlineStr">
        <is>
          <t>Choose Principals comment</t>
        </is>
      </c>
      <c r="EC336" s="56" t="n"/>
      <c r="ED336" s="57" t="inlineStr">
        <is>
          <t>Next Term Begins on Monday, 22nd September, 2025</t>
        </is>
      </c>
    </row>
    <row r="337" ht="30.6" customHeight="1" s="6">
      <c r="A337" s="18" t="n">
        <v>334</v>
      </c>
      <c r="B337" s="19" t="n"/>
      <c r="C337" s="20" t="n"/>
      <c r="D337" s="128" t="n"/>
      <c r="E337" s="21" t="n"/>
      <c r="F337" s="22" t="n"/>
      <c r="G337" s="22" t="n"/>
      <c r="H337" s="22" t="n"/>
      <c r="I337" s="26">
        <f>G337-H337</f>
        <v/>
      </c>
      <c r="J337" s="21" t="n"/>
      <c r="K337" s="21" t="n"/>
      <c r="L337" s="27">
        <f>SUM(J337:K337)</f>
        <v/>
      </c>
      <c r="M337" s="28" t="n"/>
      <c r="N337" s="28" t="n"/>
      <c r="O337" s="29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1" t="n"/>
      <c r="Q337" s="21" t="n"/>
      <c r="R337" s="27">
        <f>SUM(P337:Q337)</f>
        <v/>
      </c>
      <c r="S337" s="28" t="n"/>
      <c r="T337" s="28" t="n"/>
      <c r="U337" s="29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1" t="n"/>
      <c r="W337" s="21" t="n"/>
      <c r="X337" s="27">
        <f>SUM(V337:W337)</f>
        <v/>
      </c>
      <c r="Y337" s="28" t="n"/>
      <c r="Z337" s="28" t="n"/>
      <c r="AA337" s="29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1" t="n"/>
      <c r="AC337" s="21" t="n"/>
      <c r="AD337" s="27">
        <f>SUM(AB337:AC337)</f>
        <v/>
      </c>
      <c r="AE337" s="28" t="n"/>
      <c r="AF337" s="28" t="n"/>
      <c r="AG337" s="29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1" t="n"/>
      <c r="AI337" s="21" t="n"/>
      <c r="AJ337" s="27">
        <f>SUM(AH337:AI337)</f>
        <v/>
      </c>
      <c r="AK337" s="28" t="n"/>
      <c r="AL337" s="28" t="n"/>
      <c r="AM337" s="29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1" t="n"/>
      <c r="AO337" s="21" t="n"/>
      <c r="AP337" s="27">
        <f>SUM(AN337:AO337)</f>
        <v/>
      </c>
      <c r="AQ337" s="28" t="n"/>
      <c r="AR337" s="30" t="n"/>
      <c r="AS337" s="29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1" t="n"/>
      <c r="AU337" s="21" t="n"/>
      <c r="AV337" s="27">
        <f>SUM(AT337:AU337)</f>
        <v/>
      </c>
      <c r="AW337" s="28" t="n"/>
      <c r="AX337" s="30" t="n"/>
      <c r="AY337" s="29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1" t="n"/>
      <c r="BA337" s="21" t="n"/>
      <c r="BB337" s="27">
        <f>SUM(AZ337:BA337)</f>
        <v/>
      </c>
      <c r="BC337" s="28" t="n"/>
      <c r="BD337" s="28" t="n"/>
      <c r="BE337" s="29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1" t="n"/>
      <c r="BG337" s="21" t="n"/>
      <c r="BH337" s="27">
        <f>SUM(BF337:BG337)</f>
        <v/>
      </c>
      <c r="BI337" s="28" t="n"/>
      <c r="BJ337" s="28" t="n"/>
      <c r="BK337" s="29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1" t="n"/>
      <c r="BM337" s="21" t="n"/>
      <c r="BN337" s="27">
        <f>SUM(BL337:BM337)</f>
        <v/>
      </c>
      <c r="BO337" s="28" t="n"/>
      <c r="BP337" s="31" t="n"/>
      <c r="BQ337" s="29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1" t="n"/>
      <c r="BS337" s="21" t="n"/>
      <c r="BT337" s="27">
        <f>SUM(BR337:BS337)</f>
        <v/>
      </c>
      <c r="BU337" s="28" t="n"/>
      <c r="BV337" s="31" t="n"/>
      <c r="BW337" s="29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1" t="n"/>
      <c r="BY337" s="21" t="n"/>
      <c r="BZ337" s="27">
        <f>SUM(BX337:BY337)</f>
        <v/>
      </c>
      <c r="CA337" s="28" t="n"/>
      <c r="CB337" s="31" t="n"/>
      <c r="CC337" s="29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1" t="n"/>
      <c r="CE337" s="21" t="n"/>
      <c r="CF337" s="27">
        <f>SUM(CD337:CE337)</f>
        <v/>
      </c>
      <c r="CG337" s="28" t="n"/>
      <c r="CH337" s="31" t="n"/>
      <c r="CI337" s="29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1" t="n"/>
      <c r="CK337" s="21" t="n"/>
      <c r="CL337" s="27">
        <f>SUM(CJ337:CK337)</f>
        <v/>
      </c>
      <c r="CM337" s="28" t="n"/>
      <c r="CN337" s="31" t="n"/>
      <c r="CO337" s="29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1" t="n"/>
      <c r="CQ337" s="21" t="n"/>
      <c r="CR337" s="27">
        <f>SUM(CP337:CQ337)</f>
        <v/>
      </c>
      <c r="CS337" s="28" t="n"/>
      <c r="CT337" s="31" t="n"/>
      <c r="CU337" s="29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1" t="n"/>
      <c r="CW337" s="21" t="n"/>
      <c r="CX337" s="27">
        <f>SUM(CV337:CW337)</f>
        <v/>
      </c>
      <c r="CY337" s="28" t="n"/>
      <c r="CZ337" s="31" t="n"/>
      <c r="DA337" s="29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1" t="n"/>
      <c r="DC337" s="21" t="n"/>
      <c r="DD337" s="27">
        <f>SUM(DB337:DC337)</f>
        <v/>
      </c>
      <c r="DE337" s="28" t="n"/>
      <c r="DF337" s="31" t="n"/>
      <c r="DG337" s="29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34">
        <f>SUM(O337,U337,AA337,AG337,AM337,AS337,AY337,BE337,BK337,BQ337,BW337,CC337,CI337,CO337,CU337,DA337,DG337)</f>
        <v/>
      </c>
      <c r="DI337" s="39">
        <f>RANK(DH337,DH$4:DH$503)</f>
        <v/>
      </c>
      <c r="DJ337" s="40" t="inlineStr">
        <is>
          <t>CHOOSE RATING</t>
        </is>
      </c>
      <c r="DK337" s="40" t="inlineStr">
        <is>
          <t>CHOOSE RATING</t>
        </is>
      </c>
      <c r="DL337" s="40" t="inlineStr">
        <is>
          <t>CHOOSE RATING</t>
        </is>
      </c>
      <c r="DM337" s="40" t="inlineStr">
        <is>
          <t>CHOOSE RATING</t>
        </is>
      </c>
      <c r="DN337" s="40" t="inlineStr">
        <is>
          <t>CHOOSE RATING</t>
        </is>
      </c>
      <c r="DO337" s="40" t="inlineStr">
        <is>
          <t>CHOOSE RATING</t>
        </is>
      </c>
      <c r="DP337" s="40" t="inlineStr">
        <is>
          <t>CHOOSE RATING</t>
        </is>
      </c>
      <c r="DQ337" s="40" t="inlineStr">
        <is>
          <t>CHOOSE RATING</t>
        </is>
      </c>
      <c r="DR337" s="43" t="inlineStr">
        <is>
          <t>2024/2025</t>
        </is>
      </c>
      <c r="DS337" s="45" t="inlineStr">
        <is>
          <t>THIRD</t>
        </is>
      </c>
      <c r="DT337" s="40" t="inlineStr">
        <is>
          <t>CHOOSE RATING</t>
        </is>
      </c>
      <c r="DU337" s="40" t="inlineStr">
        <is>
          <t>CHOOSE RATING</t>
        </is>
      </c>
      <c r="DV337" s="40" t="inlineStr">
        <is>
          <t>CHOOSE RATING</t>
        </is>
      </c>
      <c r="DW337" s="40" t="inlineStr">
        <is>
          <t>CHOOSE RATING</t>
        </is>
      </c>
      <c r="DX337" s="40" t="inlineStr">
        <is>
          <t>CHOOSE RATING</t>
        </is>
      </c>
      <c r="DY337" s="40" t="inlineStr">
        <is>
          <t>CHOOSE RATING</t>
        </is>
      </c>
      <c r="DZ337" s="53" t="inlineStr">
        <is>
          <t>CHOOSE RATING</t>
        </is>
      </c>
      <c r="EA337" s="54" t="inlineStr">
        <is>
          <t>Add the Tutor's Comment . . .</t>
        </is>
      </c>
      <c r="EB337" s="55" t="inlineStr">
        <is>
          <t>Choose Principals comment</t>
        </is>
      </c>
      <c r="EC337" s="56" t="n"/>
      <c r="ED337" s="57" t="inlineStr">
        <is>
          <t>Next Term Begins on Monday, 22nd September, 2025</t>
        </is>
      </c>
    </row>
    <row r="338" ht="30.6" customHeight="1" s="6">
      <c r="A338" s="18" t="n">
        <v>335</v>
      </c>
      <c r="B338" s="19" t="n"/>
      <c r="C338" s="20" t="n"/>
      <c r="D338" s="128" t="n"/>
      <c r="E338" s="21" t="n"/>
      <c r="F338" s="22" t="n"/>
      <c r="G338" s="22" t="n"/>
      <c r="H338" s="22" t="n"/>
      <c r="I338" s="26">
        <f>G338-H338</f>
        <v/>
      </c>
      <c r="J338" s="21" t="n"/>
      <c r="K338" s="21" t="n"/>
      <c r="L338" s="27">
        <f>SUM(J338:K338)</f>
        <v/>
      </c>
      <c r="M338" s="28" t="n"/>
      <c r="N338" s="28" t="n"/>
      <c r="O338" s="29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1" t="n"/>
      <c r="Q338" s="21" t="n"/>
      <c r="R338" s="27">
        <f>SUM(P338:Q338)</f>
        <v/>
      </c>
      <c r="S338" s="28" t="n"/>
      <c r="T338" s="28" t="n"/>
      <c r="U338" s="29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1" t="n"/>
      <c r="W338" s="21" t="n"/>
      <c r="X338" s="27">
        <f>SUM(V338:W338)</f>
        <v/>
      </c>
      <c r="Y338" s="28" t="n"/>
      <c r="Z338" s="28" t="n"/>
      <c r="AA338" s="29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1" t="n"/>
      <c r="AC338" s="21" t="n"/>
      <c r="AD338" s="27">
        <f>SUM(AB338:AC338)</f>
        <v/>
      </c>
      <c r="AE338" s="28" t="n"/>
      <c r="AF338" s="28" t="n"/>
      <c r="AG338" s="29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1" t="n"/>
      <c r="AI338" s="21" t="n"/>
      <c r="AJ338" s="27">
        <f>SUM(AH338:AI338)</f>
        <v/>
      </c>
      <c r="AK338" s="28" t="n"/>
      <c r="AL338" s="28" t="n"/>
      <c r="AM338" s="29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1" t="n"/>
      <c r="AO338" s="21" t="n"/>
      <c r="AP338" s="27">
        <f>SUM(AN338:AO338)</f>
        <v/>
      </c>
      <c r="AQ338" s="28" t="n"/>
      <c r="AR338" s="30" t="n"/>
      <c r="AS338" s="29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1" t="n"/>
      <c r="AU338" s="21" t="n"/>
      <c r="AV338" s="27">
        <f>SUM(AT338:AU338)</f>
        <v/>
      </c>
      <c r="AW338" s="28" t="n"/>
      <c r="AX338" s="30" t="n"/>
      <c r="AY338" s="29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1" t="n"/>
      <c r="BA338" s="21" t="n"/>
      <c r="BB338" s="27">
        <f>SUM(AZ338:BA338)</f>
        <v/>
      </c>
      <c r="BC338" s="28" t="n"/>
      <c r="BD338" s="28" t="n"/>
      <c r="BE338" s="29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1" t="n"/>
      <c r="BG338" s="21" t="n"/>
      <c r="BH338" s="27">
        <f>SUM(BF338:BG338)</f>
        <v/>
      </c>
      <c r="BI338" s="28" t="n"/>
      <c r="BJ338" s="28" t="n"/>
      <c r="BK338" s="29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1" t="n"/>
      <c r="BM338" s="21" t="n"/>
      <c r="BN338" s="27">
        <f>SUM(BL338:BM338)</f>
        <v/>
      </c>
      <c r="BO338" s="28" t="n"/>
      <c r="BP338" s="31" t="n"/>
      <c r="BQ338" s="29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1" t="n"/>
      <c r="BS338" s="21" t="n"/>
      <c r="BT338" s="27">
        <f>SUM(BR338:BS338)</f>
        <v/>
      </c>
      <c r="BU338" s="28" t="n"/>
      <c r="BV338" s="31" t="n"/>
      <c r="BW338" s="29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1" t="n"/>
      <c r="BY338" s="21" t="n"/>
      <c r="BZ338" s="27">
        <f>SUM(BX338:BY338)</f>
        <v/>
      </c>
      <c r="CA338" s="28" t="n"/>
      <c r="CB338" s="31" t="n"/>
      <c r="CC338" s="29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1" t="n"/>
      <c r="CE338" s="21" t="n"/>
      <c r="CF338" s="27">
        <f>SUM(CD338:CE338)</f>
        <v/>
      </c>
      <c r="CG338" s="28" t="n"/>
      <c r="CH338" s="31" t="n"/>
      <c r="CI338" s="29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1" t="n"/>
      <c r="CK338" s="21" t="n"/>
      <c r="CL338" s="27">
        <f>SUM(CJ338:CK338)</f>
        <v/>
      </c>
      <c r="CM338" s="28" t="n"/>
      <c r="CN338" s="31" t="n"/>
      <c r="CO338" s="29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1" t="n"/>
      <c r="CQ338" s="21" t="n"/>
      <c r="CR338" s="27">
        <f>SUM(CP338:CQ338)</f>
        <v/>
      </c>
      <c r="CS338" s="28" t="n"/>
      <c r="CT338" s="31" t="n"/>
      <c r="CU338" s="29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1" t="n"/>
      <c r="CW338" s="21" t="n"/>
      <c r="CX338" s="27">
        <f>SUM(CV338:CW338)</f>
        <v/>
      </c>
      <c r="CY338" s="28" t="n"/>
      <c r="CZ338" s="31" t="n"/>
      <c r="DA338" s="29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1" t="n"/>
      <c r="DC338" s="21" t="n"/>
      <c r="DD338" s="27">
        <f>SUM(DB338:DC338)</f>
        <v/>
      </c>
      <c r="DE338" s="28" t="n"/>
      <c r="DF338" s="31" t="n"/>
      <c r="DG338" s="29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34">
        <f>SUM(O338,U338,AA338,AG338,AM338,AS338,AY338,BE338,BK338,BQ338,BW338,CC338,CI338,CO338,CU338,DA338,DG338)</f>
        <v/>
      </c>
      <c r="DI338" s="39">
        <f>RANK(DH338,DH$4:DH$503)</f>
        <v/>
      </c>
      <c r="DJ338" s="40" t="inlineStr">
        <is>
          <t>CHOOSE RATING</t>
        </is>
      </c>
      <c r="DK338" s="40" t="inlineStr">
        <is>
          <t>CHOOSE RATING</t>
        </is>
      </c>
      <c r="DL338" s="40" t="inlineStr">
        <is>
          <t>CHOOSE RATING</t>
        </is>
      </c>
      <c r="DM338" s="40" t="inlineStr">
        <is>
          <t>CHOOSE RATING</t>
        </is>
      </c>
      <c r="DN338" s="40" t="inlineStr">
        <is>
          <t>CHOOSE RATING</t>
        </is>
      </c>
      <c r="DO338" s="40" t="inlineStr">
        <is>
          <t>CHOOSE RATING</t>
        </is>
      </c>
      <c r="DP338" s="40" t="inlineStr">
        <is>
          <t>CHOOSE RATING</t>
        </is>
      </c>
      <c r="DQ338" s="40" t="inlineStr">
        <is>
          <t>CHOOSE RATING</t>
        </is>
      </c>
      <c r="DR338" s="43" t="inlineStr">
        <is>
          <t>2024/2025</t>
        </is>
      </c>
      <c r="DS338" s="45" t="inlineStr">
        <is>
          <t>THIRD</t>
        </is>
      </c>
      <c r="DT338" s="40" t="inlineStr">
        <is>
          <t>CHOOSE RATING</t>
        </is>
      </c>
      <c r="DU338" s="40" t="inlineStr">
        <is>
          <t>CHOOSE RATING</t>
        </is>
      </c>
      <c r="DV338" s="40" t="inlineStr">
        <is>
          <t>CHOOSE RATING</t>
        </is>
      </c>
      <c r="DW338" s="40" t="inlineStr">
        <is>
          <t>CHOOSE RATING</t>
        </is>
      </c>
      <c r="DX338" s="40" t="inlineStr">
        <is>
          <t>CHOOSE RATING</t>
        </is>
      </c>
      <c r="DY338" s="40" t="inlineStr">
        <is>
          <t>CHOOSE RATING</t>
        </is>
      </c>
      <c r="DZ338" s="53" t="inlineStr">
        <is>
          <t>CHOOSE RATING</t>
        </is>
      </c>
      <c r="EA338" s="54" t="inlineStr">
        <is>
          <t>Add the Tutor's Comment . . .</t>
        </is>
      </c>
      <c r="EB338" s="55" t="inlineStr">
        <is>
          <t>Choose Principals comment</t>
        </is>
      </c>
      <c r="EC338" s="56" t="n"/>
      <c r="ED338" s="57" t="inlineStr">
        <is>
          <t>Next Term Begins on Monday, 22nd September, 2025</t>
        </is>
      </c>
    </row>
    <row r="339" ht="30.6" customHeight="1" s="6">
      <c r="A339" s="18" t="n">
        <v>336</v>
      </c>
      <c r="B339" s="19" t="n"/>
      <c r="C339" s="20" t="n"/>
      <c r="D339" s="128" t="n"/>
      <c r="E339" s="21" t="n"/>
      <c r="F339" s="22" t="n"/>
      <c r="G339" s="22" t="n"/>
      <c r="H339" s="22" t="n"/>
      <c r="I339" s="26">
        <f>G339-H339</f>
        <v/>
      </c>
      <c r="J339" s="21" t="n"/>
      <c r="K339" s="21" t="n"/>
      <c r="L339" s="27">
        <f>SUM(J339:K339)</f>
        <v/>
      </c>
      <c r="M339" s="28" t="n"/>
      <c r="N339" s="28" t="n"/>
      <c r="O339" s="29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1" t="n"/>
      <c r="Q339" s="21" t="n"/>
      <c r="R339" s="27">
        <f>SUM(P339:Q339)</f>
        <v/>
      </c>
      <c r="S339" s="28" t="n"/>
      <c r="T339" s="28" t="n"/>
      <c r="U339" s="29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1" t="n"/>
      <c r="W339" s="21" t="n"/>
      <c r="X339" s="27">
        <f>SUM(V339:W339)</f>
        <v/>
      </c>
      <c r="Y339" s="28" t="n"/>
      <c r="Z339" s="28" t="n"/>
      <c r="AA339" s="29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1" t="n"/>
      <c r="AC339" s="21" t="n"/>
      <c r="AD339" s="27">
        <f>SUM(AB339:AC339)</f>
        <v/>
      </c>
      <c r="AE339" s="28" t="n"/>
      <c r="AF339" s="28" t="n"/>
      <c r="AG339" s="29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1" t="n"/>
      <c r="AI339" s="21" t="n"/>
      <c r="AJ339" s="27">
        <f>SUM(AH339:AI339)</f>
        <v/>
      </c>
      <c r="AK339" s="28" t="n"/>
      <c r="AL339" s="28" t="n"/>
      <c r="AM339" s="29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1" t="n"/>
      <c r="AO339" s="21" t="n"/>
      <c r="AP339" s="27">
        <f>SUM(AN339:AO339)</f>
        <v/>
      </c>
      <c r="AQ339" s="28" t="n"/>
      <c r="AR339" s="30" t="n"/>
      <c r="AS339" s="29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1" t="n"/>
      <c r="AU339" s="21" t="n"/>
      <c r="AV339" s="27">
        <f>SUM(AT339:AU339)</f>
        <v/>
      </c>
      <c r="AW339" s="28" t="n"/>
      <c r="AX339" s="30" t="n"/>
      <c r="AY339" s="29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1" t="n"/>
      <c r="BA339" s="21" t="n"/>
      <c r="BB339" s="27">
        <f>SUM(AZ339:BA339)</f>
        <v/>
      </c>
      <c r="BC339" s="28" t="n"/>
      <c r="BD339" s="28" t="n"/>
      <c r="BE339" s="29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1" t="n"/>
      <c r="BG339" s="21" t="n"/>
      <c r="BH339" s="27">
        <f>SUM(BF339:BG339)</f>
        <v/>
      </c>
      <c r="BI339" s="28" t="n"/>
      <c r="BJ339" s="28" t="n"/>
      <c r="BK339" s="29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1" t="n"/>
      <c r="BM339" s="21" t="n"/>
      <c r="BN339" s="27">
        <f>SUM(BL339:BM339)</f>
        <v/>
      </c>
      <c r="BO339" s="28" t="n"/>
      <c r="BP339" s="31" t="n"/>
      <c r="BQ339" s="29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1" t="n"/>
      <c r="BS339" s="21" t="n"/>
      <c r="BT339" s="27">
        <f>SUM(BR339:BS339)</f>
        <v/>
      </c>
      <c r="BU339" s="28" t="n"/>
      <c r="BV339" s="31" t="n"/>
      <c r="BW339" s="29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1" t="n"/>
      <c r="BY339" s="21" t="n"/>
      <c r="BZ339" s="27">
        <f>SUM(BX339:BY339)</f>
        <v/>
      </c>
      <c r="CA339" s="28" t="n"/>
      <c r="CB339" s="31" t="n"/>
      <c r="CC339" s="29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1" t="n"/>
      <c r="CE339" s="21" t="n"/>
      <c r="CF339" s="27">
        <f>SUM(CD339:CE339)</f>
        <v/>
      </c>
      <c r="CG339" s="28" t="n"/>
      <c r="CH339" s="31" t="n"/>
      <c r="CI339" s="29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1" t="n"/>
      <c r="CK339" s="21" t="n"/>
      <c r="CL339" s="27">
        <f>SUM(CJ339:CK339)</f>
        <v/>
      </c>
      <c r="CM339" s="28" t="n"/>
      <c r="CN339" s="31" t="n"/>
      <c r="CO339" s="29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1" t="n"/>
      <c r="CQ339" s="21" t="n"/>
      <c r="CR339" s="27">
        <f>SUM(CP339:CQ339)</f>
        <v/>
      </c>
      <c r="CS339" s="28" t="n"/>
      <c r="CT339" s="31" t="n"/>
      <c r="CU339" s="29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1" t="n"/>
      <c r="CW339" s="21" t="n"/>
      <c r="CX339" s="27">
        <f>SUM(CV339:CW339)</f>
        <v/>
      </c>
      <c r="CY339" s="28" t="n"/>
      <c r="CZ339" s="31" t="n"/>
      <c r="DA339" s="29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1" t="n"/>
      <c r="DC339" s="21" t="n"/>
      <c r="DD339" s="27">
        <f>SUM(DB339:DC339)</f>
        <v/>
      </c>
      <c r="DE339" s="28" t="n"/>
      <c r="DF339" s="31" t="n"/>
      <c r="DG339" s="29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34">
        <f>SUM(O339,U339,AA339,AG339,AM339,AS339,AY339,BE339,BK339,BQ339,BW339,CC339,CI339,CO339,CU339,DA339,DG339)</f>
        <v/>
      </c>
      <c r="DI339" s="39">
        <f>RANK(DH339,DH$4:DH$503)</f>
        <v/>
      </c>
      <c r="DJ339" s="40" t="inlineStr">
        <is>
          <t>CHOOSE RATING</t>
        </is>
      </c>
      <c r="DK339" s="40" t="inlineStr">
        <is>
          <t>CHOOSE RATING</t>
        </is>
      </c>
      <c r="DL339" s="40" t="inlineStr">
        <is>
          <t>CHOOSE RATING</t>
        </is>
      </c>
      <c r="DM339" s="40" t="inlineStr">
        <is>
          <t>CHOOSE RATING</t>
        </is>
      </c>
      <c r="DN339" s="40" t="inlineStr">
        <is>
          <t>CHOOSE RATING</t>
        </is>
      </c>
      <c r="DO339" s="40" t="inlineStr">
        <is>
          <t>CHOOSE RATING</t>
        </is>
      </c>
      <c r="DP339" s="40" t="inlineStr">
        <is>
          <t>CHOOSE RATING</t>
        </is>
      </c>
      <c r="DQ339" s="40" t="inlineStr">
        <is>
          <t>CHOOSE RATING</t>
        </is>
      </c>
      <c r="DR339" s="43" t="inlineStr">
        <is>
          <t>2024/2025</t>
        </is>
      </c>
      <c r="DS339" s="45" t="inlineStr">
        <is>
          <t>THIRD</t>
        </is>
      </c>
      <c r="DT339" s="40" t="inlineStr">
        <is>
          <t>CHOOSE RATING</t>
        </is>
      </c>
      <c r="DU339" s="40" t="inlineStr">
        <is>
          <t>CHOOSE RATING</t>
        </is>
      </c>
      <c r="DV339" s="40" t="inlineStr">
        <is>
          <t>CHOOSE RATING</t>
        </is>
      </c>
      <c r="DW339" s="40" t="inlineStr">
        <is>
          <t>CHOOSE RATING</t>
        </is>
      </c>
      <c r="DX339" s="40" t="inlineStr">
        <is>
          <t>CHOOSE RATING</t>
        </is>
      </c>
      <c r="DY339" s="40" t="inlineStr">
        <is>
          <t>CHOOSE RATING</t>
        </is>
      </c>
      <c r="DZ339" s="53" t="inlineStr">
        <is>
          <t>CHOOSE RATING</t>
        </is>
      </c>
      <c r="EA339" s="54" t="inlineStr">
        <is>
          <t>Add the Tutor's Comment . . .</t>
        </is>
      </c>
      <c r="EB339" s="55" t="inlineStr">
        <is>
          <t>Choose Principals comment</t>
        </is>
      </c>
      <c r="EC339" s="56" t="n"/>
      <c r="ED339" s="57" t="inlineStr">
        <is>
          <t>Next Term Begins on Monday, 22nd September, 2025</t>
        </is>
      </c>
    </row>
    <row r="340" ht="30.6" customHeight="1" s="6">
      <c r="A340" s="18" t="n">
        <v>337</v>
      </c>
      <c r="B340" s="19" t="n"/>
      <c r="C340" s="20" t="n"/>
      <c r="D340" s="128" t="n"/>
      <c r="E340" s="21" t="n"/>
      <c r="F340" s="22" t="n"/>
      <c r="G340" s="22" t="n"/>
      <c r="H340" s="22" t="n"/>
      <c r="I340" s="26">
        <f>G340-H340</f>
        <v/>
      </c>
      <c r="J340" s="21" t="n"/>
      <c r="K340" s="21" t="n"/>
      <c r="L340" s="27">
        <f>SUM(J340:K340)</f>
        <v/>
      </c>
      <c r="M340" s="28" t="n"/>
      <c r="N340" s="28" t="n"/>
      <c r="O340" s="29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1" t="n"/>
      <c r="Q340" s="21" t="n"/>
      <c r="R340" s="27">
        <f>SUM(P340:Q340)</f>
        <v/>
      </c>
      <c r="S340" s="28" t="n"/>
      <c r="T340" s="28" t="n"/>
      <c r="U340" s="29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1" t="n"/>
      <c r="W340" s="21" t="n"/>
      <c r="X340" s="27">
        <f>SUM(V340:W340)</f>
        <v/>
      </c>
      <c r="Y340" s="28" t="n"/>
      <c r="Z340" s="28" t="n"/>
      <c r="AA340" s="29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1" t="n"/>
      <c r="AC340" s="21" t="n"/>
      <c r="AD340" s="27">
        <f>SUM(AB340:AC340)</f>
        <v/>
      </c>
      <c r="AE340" s="28" t="n"/>
      <c r="AF340" s="28" t="n"/>
      <c r="AG340" s="29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1" t="n"/>
      <c r="AI340" s="21" t="n"/>
      <c r="AJ340" s="27">
        <f>SUM(AH340:AI340)</f>
        <v/>
      </c>
      <c r="AK340" s="28" t="n"/>
      <c r="AL340" s="28" t="n"/>
      <c r="AM340" s="29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1" t="n"/>
      <c r="AO340" s="21" t="n"/>
      <c r="AP340" s="27">
        <f>SUM(AN340:AO340)</f>
        <v/>
      </c>
      <c r="AQ340" s="28" t="n"/>
      <c r="AR340" s="30" t="n"/>
      <c r="AS340" s="29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1" t="n"/>
      <c r="AU340" s="21" t="n"/>
      <c r="AV340" s="27">
        <f>SUM(AT340:AU340)</f>
        <v/>
      </c>
      <c r="AW340" s="28" t="n"/>
      <c r="AX340" s="30" t="n"/>
      <c r="AY340" s="29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1" t="n"/>
      <c r="BA340" s="21" t="n"/>
      <c r="BB340" s="27">
        <f>SUM(AZ340:BA340)</f>
        <v/>
      </c>
      <c r="BC340" s="28" t="n"/>
      <c r="BD340" s="28" t="n"/>
      <c r="BE340" s="29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1" t="n"/>
      <c r="BG340" s="21" t="n"/>
      <c r="BH340" s="27">
        <f>SUM(BF340:BG340)</f>
        <v/>
      </c>
      <c r="BI340" s="28" t="n"/>
      <c r="BJ340" s="28" t="n"/>
      <c r="BK340" s="29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1" t="n"/>
      <c r="BM340" s="21" t="n"/>
      <c r="BN340" s="27">
        <f>SUM(BL340:BM340)</f>
        <v/>
      </c>
      <c r="BO340" s="28" t="n"/>
      <c r="BP340" s="31" t="n"/>
      <c r="BQ340" s="29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1" t="n"/>
      <c r="BS340" s="21" t="n"/>
      <c r="BT340" s="27">
        <f>SUM(BR340:BS340)</f>
        <v/>
      </c>
      <c r="BU340" s="28" t="n"/>
      <c r="BV340" s="31" t="n"/>
      <c r="BW340" s="29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1" t="n"/>
      <c r="BY340" s="21" t="n"/>
      <c r="BZ340" s="27">
        <f>SUM(BX340:BY340)</f>
        <v/>
      </c>
      <c r="CA340" s="28" t="n"/>
      <c r="CB340" s="31" t="n"/>
      <c r="CC340" s="29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1" t="n"/>
      <c r="CE340" s="21" t="n"/>
      <c r="CF340" s="27">
        <f>SUM(CD340:CE340)</f>
        <v/>
      </c>
      <c r="CG340" s="28" t="n"/>
      <c r="CH340" s="31" t="n"/>
      <c r="CI340" s="29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1" t="n"/>
      <c r="CK340" s="21" t="n"/>
      <c r="CL340" s="27">
        <f>SUM(CJ340:CK340)</f>
        <v/>
      </c>
      <c r="CM340" s="28" t="n"/>
      <c r="CN340" s="31" t="n"/>
      <c r="CO340" s="29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1" t="n"/>
      <c r="CQ340" s="21" t="n"/>
      <c r="CR340" s="27">
        <f>SUM(CP340:CQ340)</f>
        <v/>
      </c>
      <c r="CS340" s="28" t="n"/>
      <c r="CT340" s="31" t="n"/>
      <c r="CU340" s="29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1" t="n"/>
      <c r="CW340" s="21" t="n"/>
      <c r="CX340" s="27">
        <f>SUM(CV340:CW340)</f>
        <v/>
      </c>
      <c r="CY340" s="28" t="n"/>
      <c r="CZ340" s="31" t="n"/>
      <c r="DA340" s="29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1" t="n"/>
      <c r="DC340" s="21" t="n"/>
      <c r="DD340" s="27">
        <f>SUM(DB340:DC340)</f>
        <v/>
      </c>
      <c r="DE340" s="28" t="n"/>
      <c r="DF340" s="31" t="n"/>
      <c r="DG340" s="29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34">
        <f>SUM(O340,U340,AA340,AG340,AM340,AS340,AY340,BE340,BK340,BQ340,BW340,CC340,CI340,CO340,CU340,DA340,DG340)</f>
        <v/>
      </c>
      <c r="DI340" s="39">
        <f>RANK(DH340,DH$4:DH$503)</f>
        <v/>
      </c>
      <c r="DJ340" s="40" t="inlineStr">
        <is>
          <t>CHOOSE RATING</t>
        </is>
      </c>
      <c r="DK340" s="40" t="inlineStr">
        <is>
          <t>CHOOSE RATING</t>
        </is>
      </c>
      <c r="DL340" s="40" t="inlineStr">
        <is>
          <t>CHOOSE RATING</t>
        </is>
      </c>
      <c r="DM340" s="40" t="inlineStr">
        <is>
          <t>CHOOSE RATING</t>
        </is>
      </c>
      <c r="DN340" s="40" t="inlineStr">
        <is>
          <t>CHOOSE RATING</t>
        </is>
      </c>
      <c r="DO340" s="40" t="inlineStr">
        <is>
          <t>CHOOSE RATING</t>
        </is>
      </c>
      <c r="DP340" s="40" t="inlineStr">
        <is>
          <t>CHOOSE RATING</t>
        </is>
      </c>
      <c r="DQ340" s="40" t="inlineStr">
        <is>
          <t>CHOOSE RATING</t>
        </is>
      </c>
      <c r="DR340" s="43" t="inlineStr">
        <is>
          <t>2024/2025</t>
        </is>
      </c>
      <c r="DS340" s="45" t="inlineStr">
        <is>
          <t>THIRD</t>
        </is>
      </c>
      <c r="DT340" s="40" t="inlineStr">
        <is>
          <t>CHOOSE RATING</t>
        </is>
      </c>
      <c r="DU340" s="40" t="inlineStr">
        <is>
          <t>CHOOSE RATING</t>
        </is>
      </c>
      <c r="DV340" s="40" t="inlineStr">
        <is>
          <t>CHOOSE RATING</t>
        </is>
      </c>
      <c r="DW340" s="40" t="inlineStr">
        <is>
          <t>CHOOSE RATING</t>
        </is>
      </c>
      <c r="DX340" s="40" t="inlineStr">
        <is>
          <t>CHOOSE RATING</t>
        </is>
      </c>
      <c r="DY340" s="40" t="inlineStr">
        <is>
          <t>CHOOSE RATING</t>
        </is>
      </c>
      <c r="DZ340" s="53" t="inlineStr">
        <is>
          <t>CHOOSE RATING</t>
        </is>
      </c>
      <c r="EA340" s="54" t="inlineStr">
        <is>
          <t>Add the Tutor's Comment . . .</t>
        </is>
      </c>
      <c r="EB340" s="55" t="inlineStr">
        <is>
          <t>Choose Principals comment</t>
        </is>
      </c>
      <c r="EC340" s="56" t="n"/>
      <c r="ED340" s="57" t="inlineStr">
        <is>
          <t>Next Term Begins on Monday, 22nd September, 2025</t>
        </is>
      </c>
    </row>
    <row r="341" ht="30.6" customHeight="1" s="6">
      <c r="A341" s="18" t="n">
        <v>338</v>
      </c>
      <c r="B341" s="19" t="n"/>
      <c r="C341" s="20" t="n"/>
      <c r="D341" s="128" t="n"/>
      <c r="E341" s="21" t="n"/>
      <c r="F341" s="22" t="n"/>
      <c r="G341" s="22" t="n"/>
      <c r="H341" s="22" t="n"/>
      <c r="I341" s="26">
        <f>G341-H341</f>
        <v/>
      </c>
      <c r="J341" s="21" t="n"/>
      <c r="K341" s="21" t="n"/>
      <c r="L341" s="27">
        <f>SUM(J341:K341)</f>
        <v/>
      </c>
      <c r="M341" s="28" t="n"/>
      <c r="N341" s="28" t="n"/>
      <c r="O341" s="29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1" t="n"/>
      <c r="Q341" s="21" t="n"/>
      <c r="R341" s="27">
        <f>SUM(P341:Q341)</f>
        <v/>
      </c>
      <c r="S341" s="28" t="n"/>
      <c r="T341" s="28" t="n"/>
      <c r="U341" s="29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1" t="n"/>
      <c r="W341" s="21" t="n"/>
      <c r="X341" s="27">
        <f>SUM(V341:W341)</f>
        <v/>
      </c>
      <c r="Y341" s="28" t="n"/>
      <c r="Z341" s="28" t="n"/>
      <c r="AA341" s="29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1" t="n"/>
      <c r="AC341" s="21" t="n"/>
      <c r="AD341" s="27">
        <f>SUM(AB341:AC341)</f>
        <v/>
      </c>
      <c r="AE341" s="28" t="n"/>
      <c r="AF341" s="28" t="n"/>
      <c r="AG341" s="29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1" t="n"/>
      <c r="AI341" s="21" t="n"/>
      <c r="AJ341" s="27">
        <f>SUM(AH341:AI341)</f>
        <v/>
      </c>
      <c r="AK341" s="28" t="n"/>
      <c r="AL341" s="28" t="n"/>
      <c r="AM341" s="29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1" t="n"/>
      <c r="AO341" s="21" t="n"/>
      <c r="AP341" s="27">
        <f>SUM(AN341:AO341)</f>
        <v/>
      </c>
      <c r="AQ341" s="28" t="n"/>
      <c r="AR341" s="30" t="n"/>
      <c r="AS341" s="29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1" t="n"/>
      <c r="AU341" s="21" t="n"/>
      <c r="AV341" s="27">
        <f>SUM(AT341:AU341)</f>
        <v/>
      </c>
      <c r="AW341" s="28" t="n"/>
      <c r="AX341" s="30" t="n"/>
      <c r="AY341" s="29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1" t="n"/>
      <c r="BA341" s="21" t="n"/>
      <c r="BB341" s="27">
        <f>SUM(AZ341:BA341)</f>
        <v/>
      </c>
      <c r="BC341" s="28" t="n"/>
      <c r="BD341" s="28" t="n"/>
      <c r="BE341" s="29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1" t="n"/>
      <c r="BG341" s="21" t="n"/>
      <c r="BH341" s="27">
        <f>SUM(BF341:BG341)</f>
        <v/>
      </c>
      <c r="BI341" s="28" t="n"/>
      <c r="BJ341" s="28" t="n"/>
      <c r="BK341" s="29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1" t="n"/>
      <c r="BM341" s="21" t="n"/>
      <c r="BN341" s="27">
        <f>SUM(BL341:BM341)</f>
        <v/>
      </c>
      <c r="BO341" s="28" t="n"/>
      <c r="BP341" s="31" t="n"/>
      <c r="BQ341" s="29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1" t="n"/>
      <c r="BS341" s="21" t="n"/>
      <c r="BT341" s="27">
        <f>SUM(BR341:BS341)</f>
        <v/>
      </c>
      <c r="BU341" s="28" t="n"/>
      <c r="BV341" s="31" t="n"/>
      <c r="BW341" s="29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1" t="n"/>
      <c r="BY341" s="21" t="n"/>
      <c r="BZ341" s="27">
        <f>SUM(BX341:BY341)</f>
        <v/>
      </c>
      <c r="CA341" s="28" t="n"/>
      <c r="CB341" s="31" t="n"/>
      <c r="CC341" s="29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1" t="n"/>
      <c r="CE341" s="21" t="n"/>
      <c r="CF341" s="27">
        <f>SUM(CD341:CE341)</f>
        <v/>
      </c>
      <c r="CG341" s="28" t="n"/>
      <c r="CH341" s="31" t="n"/>
      <c r="CI341" s="29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1" t="n"/>
      <c r="CK341" s="21" t="n"/>
      <c r="CL341" s="27">
        <f>SUM(CJ341:CK341)</f>
        <v/>
      </c>
      <c r="CM341" s="28" t="n"/>
      <c r="CN341" s="31" t="n"/>
      <c r="CO341" s="29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1" t="n"/>
      <c r="CQ341" s="21" t="n"/>
      <c r="CR341" s="27">
        <f>SUM(CP341:CQ341)</f>
        <v/>
      </c>
      <c r="CS341" s="28" t="n"/>
      <c r="CT341" s="31" t="n"/>
      <c r="CU341" s="29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1" t="n"/>
      <c r="CW341" s="21" t="n"/>
      <c r="CX341" s="27">
        <f>SUM(CV341:CW341)</f>
        <v/>
      </c>
      <c r="CY341" s="28" t="n"/>
      <c r="CZ341" s="31" t="n"/>
      <c r="DA341" s="29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1" t="n"/>
      <c r="DC341" s="21" t="n"/>
      <c r="DD341" s="27">
        <f>SUM(DB341:DC341)</f>
        <v/>
      </c>
      <c r="DE341" s="28" t="n"/>
      <c r="DF341" s="31" t="n"/>
      <c r="DG341" s="29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34">
        <f>SUM(O341,U341,AA341,AG341,AM341,AS341,AY341,BE341,BK341,BQ341,BW341,CC341,CI341,CO341,CU341,DA341,DG341)</f>
        <v/>
      </c>
      <c r="DI341" s="39">
        <f>RANK(DH341,DH$4:DH$503)</f>
        <v/>
      </c>
      <c r="DJ341" s="40" t="inlineStr">
        <is>
          <t>CHOOSE RATING</t>
        </is>
      </c>
      <c r="DK341" s="40" t="inlineStr">
        <is>
          <t>CHOOSE RATING</t>
        </is>
      </c>
      <c r="DL341" s="40" t="inlineStr">
        <is>
          <t>CHOOSE RATING</t>
        </is>
      </c>
      <c r="DM341" s="40" t="inlineStr">
        <is>
          <t>CHOOSE RATING</t>
        </is>
      </c>
      <c r="DN341" s="40" t="inlineStr">
        <is>
          <t>CHOOSE RATING</t>
        </is>
      </c>
      <c r="DO341" s="40" t="inlineStr">
        <is>
          <t>CHOOSE RATING</t>
        </is>
      </c>
      <c r="DP341" s="40" t="inlineStr">
        <is>
          <t>CHOOSE RATING</t>
        </is>
      </c>
      <c r="DQ341" s="40" t="inlineStr">
        <is>
          <t>CHOOSE RATING</t>
        </is>
      </c>
      <c r="DR341" s="43" t="inlineStr">
        <is>
          <t>2024/2025</t>
        </is>
      </c>
      <c r="DS341" s="45" t="inlineStr">
        <is>
          <t>THIRD</t>
        </is>
      </c>
      <c r="DT341" s="40" t="inlineStr">
        <is>
          <t>CHOOSE RATING</t>
        </is>
      </c>
      <c r="DU341" s="40" t="inlineStr">
        <is>
          <t>CHOOSE RATING</t>
        </is>
      </c>
      <c r="DV341" s="40" t="inlineStr">
        <is>
          <t>CHOOSE RATING</t>
        </is>
      </c>
      <c r="DW341" s="40" t="inlineStr">
        <is>
          <t>CHOOSE RATING</t>
        </is>
      </c>
      <c r="DX341" s="40" t="inlineStr">
        <is>
          <t>CHOOSE RATING</t>
        </is>
      </c>
      <c r="DY341" s="40" t="inlineStr">
        <is>
          <t>CHOOSE RATING</t>
        </is>
      </c>
      <c r="DZ341" s="53" t="inlineStr">
        <is>
          <t>CHOOSE RATING</t>
        </is>
      </c>
      <c r="EA341" s="54" t="inlineStr">
        <is>
          <t>Add the Tutor's Comment . . .</t>
        </is>
      </c>
      <c r="EB341" s="55" t="inlineStr">
        <is>
          <t>Choose Principals comment</t>
        </is>
      </c>
      <c r="EC341" s="56" t="n"/>
      <c r="ED341" s="57" t="inlineStr">
        <is>
          <t>Next Term Begins on Monday, 22nd September, 2025</t>
        </is>
      </c>
    </row>
    <row r="342" ht="30.6" customHeight="1" s="6">
      <c r="A342" s="18" t="n">
        <v>339</v>
      </c>
      <c r="B342" s="19" t="n"/>
      <c r="C342" s="20" t="n"/>
      <c r="D342" s="128" t="n"/>
      <c r="E342" s="21" t="n"/>
      <c r="F342" s="22" t="n"/>
      <c r="G342" s="22" t="n"/>
      <c r="H342" s="22" t="n"/>
      <c r="I342" s="26">
        <f>G342-H342</f>
        <v/>
      </c>
      <c r="J342" s="21" t="n"/>
      <c r="K342" s="21" t="n"/>
      <c r="L342" s="27">
        <f>SUM(J342:K342)</f>
        <v/>
      </c>
      <c r="M342" s="28" t="n"/>
      <c r="N342" s="28" t="n"/>
      <c r="O342" s="29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1" t="n"/>
      <c r="Q342" s="21" t="n"/>
      <c r="R342" s="27">
        <f>SUM(P342:Q342)</f>
        <v/>
      </c>
      <c r="S342" s="28" t="n"/>
      <c r="T342" s="28" t="n"/>
      <c r="U342" s="29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1" t="n"/>
      <c r="W342" s="21" t="n"/>
      <c r="X342" s="27">
        <f>SUM(V342:W342)</f>
        <v/>
      </c>
      <c r="Y342" s="28" t="n"/>
      <c r="Z342" s="28" t="n"/>
      <c r="AA342" s="29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1" t="n"/>
      <c r="AC342" s="21" t="n"/>
      <c r="AD342" s="27">
        <f>SUM(AB342:AC342)</f>
        <v/>
      </c>
      <c r="AE342" s="28" t="n"/>
      <c r="AF342" s="28" t="n"/>
      <c r="AG342" s="29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1" t="n"/>
      <c r="AI342" s="21" t="n"/>
      <c r="AJ342" s="27">
        <f>SUM(AH342:AI342)</f>
        <v/>
      </c>
      <c r="AK342" s="28" t="n"/>
      <c r="AL342" s="28" t="n"/>
      <c r="AM342" s="29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1" t="n"/>
      <c r="AO342" s="21" t="n"/>
      <c r="AP342" s="27">
        <f>SUM(AN342:AO342)</f>
        <v/>
      </c>
      <c r="AQ342" s="28" t="n"/>
      <c r="AR342" s="30" t="n"/>
      <c r="AS342" s="29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1" t="n"/>
      <c r="AU342" s="21" t="n"/>
      <c r="AV342" s="27">
        <f>SUM(AT342:AU342)</f>
        <v/>
      </c>
      <c r="AW342" s="28" t="n"/>
      <c r="AX342" s="30" t="n"/>
      <c r="AY342" s="29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1" t="n"/>
      <c r="BA342" s="21" t="n"/>
      <c r="BB342" s="27">
        <f>SUM(AZ342:BA342)</f>
        <v/>
      </c>
      <c r="BC342" s="28" t="n"/>
      <c r="BD342" s="28" t="n"/>
      <c r="BE342" s="29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1" t="n"/>
      <c r="BG342" s="21" t="n"/>
      <c r="BH342" s="27">
        <f>SUM(BF342:BG342)</f>
        <v/>
      </c>
      <c r="BI342" s="28" t="n"/>
      <c r="BJ342" s="28" t="n"/>
      <c r="BK342" s="29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1" t="n"/>
      <c r="BM342" s="21" t="n"/>
      <c r="BN342" s="27">
        <f>SUM(BL342:BM342)</f>
        <v/>
      </c>
      <c r="BO342" s="28" t="n"/>
      <c r="BP342" s="31" t="n"/>
      <c r="BQ342" s="29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1" t="n"/>
      <c r="BS342" s="21" t="n"/>
      <c r="BT342" s="27">
        <f>SUM(BR342:BS342)</f>
        <v/>
      </c>
      <c r="BU342" s="28" t="n"/>
      <c r="BV342" s="31" t="n"/>
      <c r="BW342" s="29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1" t="n"/>
      <c r="BY342" s="21" t="n"/>
      <c r="BZ342" s="27">
        <f>SUM(BX342:BY342)</f>
        <v/>
      </c>
      <c r="CA342" s="28" t="n"/>
      <c r="CB342" s="31" t="n"/>
      <c r="CC342" s="29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1" t="n"/>
      <c r="CE342" s="21" t="n"/>
      <c r="CF342" s="27">
        <f>SUM(CD342:CE342)</f>
        <v/>
      </c>
      <c r="CG342" s="28" t="n"/>
      <c r="CH342" s="31" t="n"/>
      <c r="CI342" s="29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1" t="n"/>
      <c r="CK342" s="21" t="n"/>
      <c r="CL342" s="27">
        <f>SUM(CJ342:CK342)</f>
        <v/>
      </c>
      <c r="CM342" s="28" t="n"/>
      <c r="CN342" s="31" t="n"/>
      <c r="CO342" s="29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1" t="n"/>
      <c r="CQ342" s="21" t="n"/>
      <c r="CR342" s="27">
        <f>SUM(CP342:CQ342)</f>
        <v/>
      </c>
      <c r="CS342" s="28" t="n"/>
      <c r="CT342" s="31" t="n"/>
      <c r="CU342" s="29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1" t="n"/>
      <c r="CW342" s="21" t="n"/>
      <c r="CX342" s="27">
        <f>SUM(CV342:CW342)</f>
        <v/>
      </c>
      <c r="CY342" s="28" t="n"/>
      <c r="CZ342" s="31" t="n"/>
      <c r="DA342" s="29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1" t="n"/>
      <c r="DC342" s="21" t="n"/>
      <c r="DD342" s="27">
        <f>SUM(DB342:DC342)</f>
        <v/>
      </c>
      <c r="DE342" s="28" t="n"/>
      <c r="DF342" s="31" t="n"/>
      <c r="DG342" s="29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34">
        <f>SUM(O342,U342,AA342,AG342,AM342,AS342,AY342,BE342,BK342,BQ342,BW342,CC342,CI342,CO342,CU342,DA342,DG342)</f>
        <v/>
      </c>
      <c r="DI342" s="39">
        <f>RANK(DH342,DH$4:DH$503)</f>
        <v/>
      </c>
      <c r="DJ342" s="40" t="inlineStr">
        <is>
          <t>CHOOSE RATING</t>
        </is>
      </c>
      <c r="DK342" s="40" t="inlineStr">
        <is>
          <t>CHOOSE RATING</t>
        </is>
      </c>
      <c r="DL342" s="40" t="inlineStr">
        <is>
          <t>CHOOSE RATING</t>
        </is>
      </c>
      <c r="DM342" s="40" t="inlineStr">
        <is>
          <t>CHOOSE RATING</t>
        </is>
      </c>
      <c r="DN342" s="40" t="inlineStr">
        <is>
          <t>CHOOSE RATING</t>
        </is>
      </c>
      <c r="DO342" s="40" t="inlineStr">
        <is>
          <t>CHOOSE RATING</t>
        </is>
      </c>
      <c r="DP342" s="40" t="inlineStr">
        <is>
          <t>CHOOSE RATING</t>
        </is>
      </c>
      <c r="DQ342" s="40" t="inlineStr">
        <is>
          <t>CHOOSE RATING</t>
        </is>
      </c>
      <c r="DR342" s="43" t="inlineStr">
        <is>
          <t>2024/2025</t>
        </is>
      </c>
      <c r="DS342" s="45" t="inlineStr">
        <is>
          <t>THIRD</t>
        </is>
      </c>
      <c r="DT342" s="40" t="inlineStr">
        <is>
          <t>CHOOSE RATING</t>
        </is>
      </c>
      <c r="DU342" s="40" t="inlineStr">
        <is>
          <t>CHOOSE RATING</t>
        </is>
      </c>
      <c r="DV342" s="40" t="inlineStr">
        <is>
          <t>CHOOSE RATING</t>
        </is>
      </c>
      <c r="DW342" s="40" t="inlineStr">
        <is>
          <t>CHOOSE RATING</t>
        </is>
      </c>
      <c r="DX342" s="40" t="inlineStr">
        <is>
          <t>CHOOSE RATING</t>
        </is>
      </c>
      <c r="DY342" s="40" t="inlineStr">
        <is>
          <t>CHOOSE RATING</t>
        </is>
      </c>
      <c r="DZ342" s="53" t="inlineStr">
        <is>
          <t>CHOOSE RATING</t>
        </is>
      </c>
      <c r="EA342" s="54" t="inlineStr">
        <is>
          <t>Add the Tutor's Comment . . .</t>
        </is>
      </c>
      <c r="EB342" s="55" t="inlineStr">
        <is>
          <t>Choose Principals comment</t>
        </is>
      </c>
      <c r="EC342" s="56" t="n"/>
      <c r="ED342" s="57" t="inlineStr">
        <is>
          <t>Next Term Begins on Monday, 22nd September, 2025</t>
        </is>
      </c>
    </row>
    <row r="343" ht="30.6" customHeight="1" s="6">
      <c r="A343" s="18" t="n">
        <v>340</v>
      </c>
      <c r="B343" s="19" t="n"/>
      <c r="C343" s="20" t="n"/>
      <c r="D343" s="128" t="n"/>
      <c r="E343" s="21" t="n"/>
      <c r="F343" s="22" t="n"/>
      <c r="G343" s="22" t="n"/>
      <c r="H343" s="22" t="n"/>
      <c r="I343" s="26">
        <f>G343-H343</f>
        <v/>
      </c>
      <c r="J343" s="21" t="n"/>
      <c r="K343" s="21" t="n"/>
      <c r="L343" s="27">
        <f>SUM(J343:K343)</f>
        <v/>
      </c>
      <c r="M343" s="28" t="n"/>
      <c r="N343" s="28" t="n"/>
      <c r="O343" s="29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1" t="n"/>
      <c r="Q343" s="21" t="n"/>
      <c r="R343" s="27">
        <f>SUM(P343:Q343)</f>
        <v/>
      </c>
      <c r="S343" s="28" t="n"/>
      <c r="T343" s="28" t="n"/>
      <c r="U343" s="29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1" t="n"/>
      <c r="W343" s="21" t="n"/>
      <c r="X343" s="27">
        <f>SUM(V343:W343)</f>
        <v/>
      </c>
      <c r="Y343" s="28" t="n"/>
      <c r="Z343" s="28" t="n"/>
      <c r="AA343" s="29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1" t="n"/>
      <c r="AC343" s="21" t="n"/>
      <c r="AD343" s="27">
        <f>SUM(AB343:AC343)</f>
        <v/>
      </c>
      <c r="AE343" s="28" t="n"/>
      <c r="AF343" s="28" t="n"/>
      <c r="AG343" s="29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1" t="n"/>
      <c r="AI343" s="21" t="n"/>
      <c r="AJ343" s="27">
        <f>SUM(AH343:AI343)</f>
        <v/>
      </c>
      <c r="AK343" s="28" t="n"/>
      <c r="AL343" s="28" t="n"/>
      <c r="AM343" s="29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1" t="n"/>
      <c r="AO343" s="21" t="n"/>
      <c r="AP343" s="27">
        <f>SUM(AN343:AO343)</f>
        <v/>
      </c>
      <c r="AQ343" s="28" t="n"/>
      <c r="AR343" s="30" t="n"/>
      <c r="AS343" s="29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1" t="n"/>
      <c r="AU343" s="21" t="n"/>
      <c r="AV343" s="27">
        <f>SUM(AT343:AU343)</f>
        <v/>
      </c>
      <c r="AW343" s="28" t="n"/>
      <c r="AX343" s="30" t="n"/>
      <c r="AY343" s="29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1" t="n"/>
      <c r="BA343" s="21" t="n"/>
      <c r="BB343" s="27">
        <f>SUM(AZ343:BA343)</f>
        <v/>
      </c>
      <c r="BC343" s="28" t="n"/>
      <c r="BD343" s="28" t="n"/>
      <c r="BE343" s="29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1" t="n"/>
      <c r="BG343" s="21" t="n"/>
      <c r="BH343" s="27">
        <f>SUM(BF343:BG343)</f>
        <v/>
      </c>
      <c r="BI343" s="28" t="n"/>
      <c r="BJ343" s="28" t="n"/>
      <c r="BK343" s="29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1" t="n"/>
      <c r="BM343" s="21" t="n"/>
      <c r="BN343" s="27">
        <f>SUM(BL343:BM343)</f>
        <v/>
      </c>
      <c r="BO343" s="28" t="n"/>
      <c r="BP343" s="31" t="n"/>
      <c r="BQ343" s="29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1" t="n"/>
      <c r="BS343" s="21" t="n"/>
      <c r="BT343" s="27">
        <f>SUM(BR343:BS343)</f>
        <v/>
      </c>
      <c r="BU343" s="28" t="n"/>
      <c r="BV343" s="31" t="n"/>
      <c r="BW343" s="29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1" t="n"/>
      <c r="BY343" s="21" t="n"/>
      <c r="BZ343" s="27">
        <f>SUM(BX343:BY343)</f>
        <v/>
      </c>
      <c r="CA343" s="28" t="n"/>
      <c r="CB343" s="31" t="n"/>
      <c r="CC343" s="29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1" t="n"/>
      <c r="CE343" s="21" t="n"/>
      <c r="CF343" s="27">
        <f>SUM(CD343:CE343)</f>
        <v/>
      </c>
      <c r="CG343" s="28" t="n"/>
      <c r="CH343" s="31" t="n"/>
      <c r="CI343" s="29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1" t="n"/>
      <c r="CK343" s="21" t="n"/>
      <c r="CL343" s="27">
        <f>SUM(CJ343:CK343)</f>
        <v/>
      </c>
      <c r="CM343" s="28" t="n"/>
      <c r="CN343" s="31" t="n"/>
      <c r="CO343" s="29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1" t="n"/>
      <c r="CQ343" s="21" t="n"/>
      <c r="CR343" s="27">
        <f>SUM(CP343:CQ343)</f>
        <v/>
      </c>
      <c r="CS343" s="28" t="n"/>
      <c r="CT343" s="31" t="n"/>
      <c r="CU343" s="29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1" t="n"/>
      <c r="CW343" s="21" t="n"/>
      <c r="CX343" s="27">
        <f>SUM(CV343:CW343)</f>
        <v/>
      </c>
      <c r="CY343" s="28" t="n"/>
      <c r="CZ343" s="31" t="n"/>
      <c r="DA343" s="29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1" t="n"/>
      <c r="DC343" s="21" t="n"/>
      <c r="DD343" s="27">
        <f>SUM(DB343:DC343)</f>
        <v/>
      </c>
      <c r="DE343" s="28" t="n"/>
      <c r="DF343" s="31" t="n"/>
      <c r="DG343" s="29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34">
        <f>SUM(O343,U343,AA343,AG343,AM343,AS343,AY343,BE343,BK343,BQ343,BW343,CC343,CI343,CO343,CU343,DA343,DG343)</f>
        <v/>
      </c>
      <c r="DI343" s="39">
        <f>RANK(DH343,DH$4:DH$503)</f>
        <v/>
      </c>
      <c r="DJ343" s="40" t="inlineStr">
        <is>
          <t>CHOOSE RATING</t>
        </is>
      </c>
      <c r="DK343" s="40" t="inlineStr">
        <is>
          <t>CHOOSE RATING</t>
        </is>
      </c>
      <c r="DL343" s="40" t="inlineStr">
        <is>
          <t>CHOOSE RATING</t>
        </is>
      </c>
      <c r="DM343" s="40" t="inlineStr">
        <is>
          <t>CHOOSE RATING</t>
        </is>
      </c>
      <c r="DN343" s="40" t="inlineStr">
        <is>
          <t>CHOOSE RATING</t>
        </is>
      </c>
      <c r="DO343" s="40" t="inlineStr">
        <is>
          <t>CHOOSE RATING</t>
        </is>
      </c>
      <c r="DP343" s="40" t="inlineStr">
        <is>
          <t>CHOOSE RATING</t>
        </is>
      </c>
      <c r="DQ343" s="40" t="inlineStr">
        <is>
          <t>CHOOSE RATING</t>
        </is>
      </c>
      <c r="DR343" s="43" t="inlineStr">
        <is>
          <t>2024/2025</t>
        </is>
      </c>
      <c r="DS343" s="45" t="inlineStr">
        <is>
          <t>THIRD</t>
        </is>
      </c>
      <c r="DT343" s="40" t="inlineStr">
        <is>
          <t>CHOOSE RATING</t>
        </is>
      </c>
      <c r="DU343" s="40" t="inlineStr">
        <is>
          <t>CHOOSE RATING</t>
        </is>
      </c>
      <c r="DV343" s="40" t="inlineStr">
        <is>
          <t>CHOOSE RATING</t>
        </is>
      </c>
      <c r="DW343" s="40" t="inlineStr">
        <is>
          <t>CHOOSE RATING</t>
        </is>
      </c>
      <c r="DX343" s="40" t="inlineStr">
        <is>
          <t>CHOOSE RATING</t>
        </is>
      </c>
      <c r="DY343" s="40" t="inlineStr">
        <is>
          <t>CHOOSE RATING</t>
        </is>
      </c>
      <c r="DZ343" s="53" t="inlineStr">
        <is>
          <t>CHOOSE RATING</t>
        </is>
      </c>
      <c r="EA343" s="54" t="inlineStr">
        <is>
          <t>Add the Tutor's Comment . . .</t>
        </is>
      </c>
      <c r="EB343" s="55" t="inlineStr">
        <is>
          <t>Choose Principals comment</t>
        </is>
      </c>
      <c r="EC343" s="56" t="n"/>
      <c r="ED343" s="57" t="inlineStr">
        <is>
          <t>Next Term Begins on Monday, 22nd September, 2025</t>
        </is>
      </c>
    </row>
    <row r="344" ht="30.6" customHeight="1" s="6">
      <c r="A344" s="18" t="n">
        <v>341</v>
      </c>
      <c r="B344" s="19" t="n"/>
      <c r="C344" s="20" t="n"/>
      <c r="D344" s="128" t="n"/>
      <c r="E344" s="21" t="n"/>
      <c r="F344" s="22" t="n"/>
      <c r="G344" s="22" t="n"/>
      <c r="H344" s="22" t="n"/>
      <c r="I344" s="26">
        <f>G344-H344</f>
        <v/>
      </c>
      <c r="J344" s="21" t="n"/>
      <c r="K344" s="21" t="n"/>
      <c r="L344" s="27">
        <f>SUM(J344:K344)</f>
        <v/>
      </c>
      <c r="M344" s="28" t="n"/>
      <c r="N344" s="28" t="n"/>
      <c r="O344" s="29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1" t="n"/>
      <c r="Q344" s="21" t="n"/>
      <c r="R344" s="27">
        <f>SUM(P344:Q344)</f>
        <v/>
      </c>
      <c r="S344" s="28" t="n"/>
      <c r="T344" s="28" t="n"/>
      <c r="U344" s="29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1" t="n"/>
      <c r="W344" s="21" t="n"/>
      <c r="X344" s="27">
        <f>SUM(V344:W344)</f>
        <v/>
      </c>
      <c r="Y344" s="28" t="n"/>
      <c r="Z344" s="28" t="n"/>
      <c r="AA344" s="29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1" t="n"/>
      <c r="AC344" s="21" t="n"/>
      <c r="AD344" s="27">
        <f>SUM(AB344:AC344)</f>
        <v/>
      </c>
      <c r="AE344" s="28" t="n"/>
      <c r="AF344" s="28" t="n"/>
      <c r="AG344" s="29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1" t="n"/>
      <c r="AI344" s="21" t="n"/>
      <c r="AJ344" s="27">
        <f>SUM(AH344:AI344)</f>
        <v/>
      </c>
      <c r="AK344" s="28" t="n"/>
      <c r="AL344" s="28" t="n"/>
      <c r="AM344" s="29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1" t="n"/>
      <c r="AO344" s="21" t="n"/>
      <c r="AP344" s="27">
        <f>SUM(AN344:AO344)</f>
        <v/>
      </c>
      <c r="AQ344" s="28" t="n"/>
      <c r="AR344" s="30" t="n"/>
      <c r="AS344" s="29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1" t="n"/>
      <c r="AU344" s="21" t="n"/>
      <c r="AV344" s="27">
        <f>SUM(AT344:AU344)</f>
        <v/>
      </c>
      <c r="AW344" s="28" t="n"/>
      <c r="AX344" s="30" t="n"/>
      <c r="AY344" s="29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1" t="n"/>
      <c r="BA344" s="21" t="n"/>
      <c r="BB344" s="27">
        <f>SUM(AZ344:BA344)</f>
        <v/>
      </c>
      <c r="BC344" s="28" t="n"/>
      <c r="BD344" s="28" t="n"/>
      <c r="BE344" s="29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1" t="n"/>
      <c r="BG344" s="21" t="n"/>
      <c r="BH344" s="27">
        <f>SUM(BF344:BG344)</f>
        <v/>
      </c>
      <c r="BI344" s="28" t="n"/>
      <c r="BJ344" s="28" t="n"/>
      <c r="BK344" s="29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1" t="n"/>
      <c r="BM344" s="21" t="n"/>
      <c r="BN344" s="27">
        <f>SUM(BL344:BM344)</f>
        <v/>
      </c>
      <c r="BO344" s="28" t="n"/>
      <c r="BP344" s="31" t="n"/>
      <c r="BQ344" s="29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1" t="n"/>
      <c r="BS344" s="21" t="n"/>
      <c r="BT344" s="27">
        <f>SUM(BR344:BS344)</f>
        <v/>
      </c>
      <c r="BU344" s="28" t="n"/>
      <c r="BV344" s="31" t="n"/>
      <c r="BW344" s="29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1" t="n"/>
      <c r="BY344" s="21" t="n"/>
      <c r="BZ344" s="27">
        <f>SUM(BX344:BY344)</f>
        <v/>
      </c>
      <c r="CA344" s="28" t="n"/>
      <c r="CB344" s="31" t="n"/>
      <c r="CC344" s="29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1" t="n"/>
      <c r="CE344" s="21" t="n"/>
      <c r="CF344" s="27">
        <f>SUM(CD344:CE344)</f>
        <v/>
      </c>
      <c r="CG344" s="28" t="n"/>
      <c r="CH344" s="31" t="n"/>
      <c r="CI344" s="29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1" t="n"/>
      <c r="CK344" s="21" t="n"/>
      <c r="CL344" s="27">
        <f>SUM(CJ344:CK344)</f>
        <v/>
      </c>
      <c r="CM344" s="28" t="n"/>
      <c r="CN344" s="31" t="n"/>
      <c r="CO344" s="29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1" t="n"/>
      <c r="CQ344" s="21" t="n"/>
      <c r="CR344" s="27">
        <f>SUM(CP344:CQ344)</f>
        <v/>
      </c>
      <c r="CS344" s="28" t="n"/>
      <c r="CT344" s="31" t="n"/>
      <c r="CU344" s="29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1" t="n"/>
      <c r="CW344" s="21" t="n"/>
      <c r="CX344" s="27">
        <f>SUM(CV344:CW344)</f>
        <v/>
      </c>
      <c r="CY344" s="28" t="n"/>
      <c r="CZ344" s="31" t="n"/>
      <c r="DA344" s="29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1" t="n"/>
      <c r="DC344" s="21" t="n"/>
      <c r="DD344" s="27">
        <f>SUM(DB344:DC344)</f>
        <v/>
      </c>
      <c r="DE344" s="28" t="n"/>
      <c r="DF344" s="31" t="n"/>
      <c r="DG344" s="29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34">
        <f>SUM(O344,U344,AA344,AG344,AM344,AS344,AY344,BE344,BK344,BQ344,BW344,CC344,CI344,CO344,CU344,DA344,DG344)</f>
        <v/>
      </c>
      <c r="DI344" s="39">
        <f>RANK(DH344,DH$4:DH$503)</f>
        <v/>
      </c>
      <c r="DJ344" s="40" t="inlineStr">
        <is>
          <t>CHOOSE RATING</t>
        </is>
      </c>
      <c r="DK344" s="40" t="inlineStr">
        <is>
          <t>CHOOSE RATING</t>
        </is>
      </c>
      <c r="DL344" s="40" t="inlineStr">
        <is>
          <t>CHOOSE RATING</t>
        </is>
      </c>
      <c r="DM344" s="40" t="inlineStr">
        <is>
          <t>CHOOSE RATING</t>
        </is>
      </c>
      <c r="DN344" s="40" t="inlineStr">
        <is>
          <t>CHOOSE RATING</t>
        </is>
      </c>
      <c r="DO344" s="40" t="inlineStr">
        <is>
          <t>CHOOSE RATING</t>
        </is>
      </c>
      <c r="DP344" s="40" t="inlineStr">
        <is>
          <t>CHOOSE RATING</t>
        </is>
      </c>
      <c r="DQ344" s="40" t="inlineStr">
        <is>
          <t>CHOOSE RATING</t>
        </is>
      </c>
      <c r="DR344" s="43" t="inlineStr">
        <is>
          <t>2024/2025</t>
        </is>
      </c>
      <c r="DS344" s="45" t="inlineStr">
        <is>
          <t>THIRD</t>
        </is>
      </c>
      <c r="DT344" s="40" t="inlineStr">
        <is>
          <t>CHOOSE RATING</t>
        </is>
      </c>
      <c r="DU344" s="40" t="inlineStr">
        <is>
          <t>CHOOSE RATING</t>
        </is>
      </c>
      <c r="DV344" s="40" t="inlineStr">
        <is>
          <t>CHOOSE RATING</t>
        </is>
      </c>
      <c r="DW344" s="40" t="inlineStr">
        <is>
          <t>CHOOSE RATING</t>
        </is>
      </c>
      <c r="DX344" s="40" t="inlineStr">
        <is>
          <t>CHOOSE RATING</t>
        </is>
      </c>
      <c r="DY344" s="40" t="inlineStr">
        <is>
          <t>CHOOSE RATING</t>
        </is>
      </c>
      <c r="DZ344" s="53" t="inlineStr">
        <is>
          <t>CHOOSE RATING</t>
        </is>
      </c>
      <c r="EA344" s="54" t="inlineStr">
        <is>
          <t>Add the Tutor's Comment . . .</t>
        </is>
      </c>
      <c r="EB344" s="55" t="inlineStr">
        <is>
          <t>Choose Principals comment</t>
        </is>
      </c>
      <c r="EC344" s="56" t="n"/>
      <c r="ED344" s="57" t="inlineStr">
        <is>
          <t>Next Term Begins on Monday, 22nd September, 2025</t>
        </is>
      </c>
    </row>
    <row r="345" ht="30.6" customHeight="1" s="6">
      <c r="A345" s="18" t="n">
        <v>342</v>
      </c>
      <c r="B345" s="19" t="n"/>
      <c r="C345" s="20" t="n"/>
      <c r="D345" s="128" t="n"/>
      <c r="E345" s="21" t="n"/>
      <c r="F345" s="22" t="n"/>
      <c r="G345" s="22" t="n"/>
      <c r="H345" s="22" t="n"/>
      <c r="I345" s="26">
        <f>G345-H345</f>
        <v/>
      </c>
      <c r="J345" s="21" t="n"/>
      <c r="K345" s="21" t="n"/>
      <c r="L345" s="27">
        <f>SUM(J345:K345)</f>
        <v/>
      </c>
      <c r="M345" s="28" t="n"/>
      <c r="N345" s="28" t="n"/>
      <c r="O345" s="29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1" t="n"/>
      <c r="Q345" s="21" t="n"/>
      <c r="R345" s="27">
        <f>SUM(P345:Q345)</f>
        <v/>
      </c>
      <c r="S345" s="28" t="n"/>
      <c r="T345" s="28" t="n"/>
      <c r="U345" s="29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1" t="n"/>
      <c r="W345" s="21" t="n"/>
      <c r="X345" s="27">
        <f>SUM(V345:W345)</f>
        <v/>
      </c>
      <c r="Y345" s="28" t="n"/>
      <c r="Z345" s="28" t="n"/>
      <c r="AA345" s="29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1" t="n"/>
      <c r="AC345" s="21" t="n"/>
      <c r="AD345" s="27">
        <f>SUM(AB345:AC345)</f>
        <v/>
      </c>
      <c r="AE345" s="28" t="n"/>
      <c r="AF345" s="28" t="n"/>
      <c r="AG345" s="29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1" t="n"/>
      <c r="AI345" s="21" t="n"/>
      <c r="AJ345" s="27">
        <f>SUM(AH345:AI345)</f>
        <v/>
      </c>
      <c r="AK345" s="28" t="n"/>
      <c r="AL345" s="28" t="n"/>
      <c r="AM345" s="29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1" t="n"/>
      <c r="AO345" s="21" t="n"/>
      <c r="AP345" s="27">
        <f>SUM(AN345:AO345)</f>
        <v/>
      </c>
      <c r="AQ345" s="28" t="n"/>
      <c r="AR345" s="30" t="n"/>
      <c r="AS345" s="29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1" t="n"/>
      <c r="AU345" s="21" t="n"/>
      <c r="AV345" s="27">
        <f>SUM(AT345:AU345)</f>
        <v/>
      </c>
      <c r="AW345" s="28" t="n"/>
      <c r="AX345" s="30" t="n"/>
      <c r="AY345" s="29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1" t="n"/>
      <c r="BA345" s="21" t="n"/>
      <c r="BB345" s="27">
        <f>SUM(AZ345:BA345)</f>
        <v/>
      </c>
      <c r="BC345" s="28" t="n"/>
      <c r="BD345" s="28" t="n"/>
      <c r="BE345" s="29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1" t="n"/>
      <c r="BG345" s="21" t="n"/>
      <c r="BH345" s="27">
        <f>SUM(BF345:BG345)</f>
        <v/>
      </c>
      <c r="BI345" s="28" t="n"/>
      <c r="BJ345" s="28" t="n"/>
      <c r="BK345" s="29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1" t="n"/>
      <c r="BM345" s="21" t="n"/>
      <c r="BN345" s="27">
        <f>SUM(BL345:BM345)</f>
        <v/>
      </c>
      <c r="BO345" s="28" t="n"/>
      <c r="BP345" s="31" t="n"/>
      <c r="BQ345" s="29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1" t="n"/>
      <c r="BS345" s="21" t="n"/>
      <c r="BT345" s="27">
        <f>SUM(BR345:BS345)</f>
        <v/>
      </c>
      <c r="BU345" s="28" t="n"/>
      <c r="BV345" s="31" t="n"/>
      <c r="BW345" s="29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1" t="n"/>
      <c r="BY345" s="21" t="n"/>
      <c r="BZ345" s="27">
        <f>SUM(BX345:BY345)</f>
        <v/>
      </c>
      <c r="CA345" s="28" t="n"/>
      <c r="CB345" s="31" t="n"/>
      <c r="CC345" s="29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1" t="n"/>
      <c r="CE345" s="21" t="n"/>
      <c r="CF345" s="27">
        <f>SUM(CD345:CE345)</f>
        <v/>
      </c>
      <c r="CG345" s="28" t="n"/>
      <c r="CH345" s="31" t="n"/>
      <c r="CI345" s="29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1" t="n"/>
      <c r="CK345" s="21" t="n"/>
      <c r="CL345" s="27">
        <f>SUM(CJ345:CK345)</f>
        <v/>
      </c>
      <c r="CM345" s="28" t="n"/>
      <c r="CN345" s="31" t="n"/>
      <c r="CO345" s="29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1" t="n"/>
      <c r="CQ345" s="21" t="n"/>
      <c r="CR345" s="27">
        <f>SUM(CP345:CQ345)</f>
        <v/>
      </c>
      <c r="CS345" s="28" t="n"/>
      <c r="CT345" s="31" t="n"/>
      <c r="CU345" s="29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1" t="n"/>
      <c r="CW345" s="21" t="n"/>
      <c r="CX345" s="27">
        <f>SUM(CV345:CW345)</f>
        <v/>
      </c>
      <c r="CY345" s="28" t="n"/>
      <c r="CZ345" s="31" t="n"/>
      <c r="DA345" s="29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1" t="n"/>
      <c r="DC345" s="21" t="n"/>
      <c r="DD345" s="27">
        <f>SUM(DB345:DC345)</f>
        <v/>
      </c>
      <c r="DE345" s="28" t="n"/>
      <c r="DF345" s="31" t="n"/>
      <c r="DG345" s="29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34">
        <f>SUM(O345,U345,AA345,AG345,AM345,AS345,AY345,BE345,BK345,BQ345,BW345,CC345,CI345,CO345,CU345,DA345,DG345)</f>
        <v/>
      </c>
      <c r="DI345" s="39">
        <f>RANK(DH345,DH$4:DH$503)</f>
        <v/>
      </c>
      <c r="DJ345" s="40" t="inlineStr">
        <is>
          <t>CHOOSE RATING</t>
        </is>
      </c>
      <c r="DK345" s="40" t="inlineStr">
        <is>
          <t>CHOOSE RATING</t>
        </is>
      </c>
      <c r="DL345" s="40" t="inlineStr">
        <is>
          <t>CHOOSE RATING</t>
        </is>
      </c>
      <c r="DM345" s="40" t="inlineStr">
        <is>
          <t>CHOOSE RATING</t>
        </is>
      </c>
      <c r="DN345" s="40" t="inlineStr">
        <is>
          <t>CHOOSE RATING</t>
        </is>
      </c>
      <c r="DO345" s="40" t="inlineStr">
        <is>
          <t>CHOOSE RATING</t>
        </is>
      </c>
      <c r="DP345" s="40" t="inlineStr">
        <is>
          <t>CHOOSE RATING</t>
        </is>
      </c>
      <c r="DQ345" s="40" t="inlineStr">
        <is>
          <t>CHOOSE RATING</t>
        </is>
      </c>
      <c r="DR345" s="43" t="inlineStr">
        <is>
          <t>2024/2025</t>
        </is>
      </c>
      <c r="DS345" s="45" t="inlineStr">
        <is>
          <t>THIRD</t>
        </is>
      </c>
      <c r="DT345" s="40" t="inlineStr">
        <is>
          <t>CHOOSE RATING</t>
        </is>
      </c>
      <c r="DU345" s="40" t="inlineStr">
        <is>
          <t>CHOOSE RATING</t>
        </is>
      </c>
      <c r="DV345" s="40" t="inlineStr">
        <is>
          <t>CHOOSE RATING</t>
        </is>
      </c>
      <c r="DW345" s="40" t="inlineStr">
        <is>
          <t>CHOOSE RATING</t>
        </is>
      </c>
      <c r="DX345" s="40" t="inlineStr">
        <is>
          <t>CHOOSE RATING</t>
        </is>
      </c>
      <c r="DY345" s="40" t="inlineStr">
        <is>
          <t>CHOOSE RATING</t>
        </is>
      </c>
      <c r="DZ345" s="53" t="inlineStr">
        <is>
          <t>CHOOSE RATING</t>
        </is>
      </c>
      <c r="EA345" s="54" t="inlineStr">
        <is>
          <t>Add the Tutor's Comment . . .</t>
        </is>
      </c>
      <c r="EB345" s="55" t="inlineStr">
        <is>
          <t>Choose Principals comment</t>
        </is>
      </c>
      <c r="EC345" s="56" t="n"/>
      <c r="ED345" s="57" t="inlineStr">
        <is>
          <t>Next Term Begins on Monday, 22nd September, 2025</t>
        </is>
      </c>
    </row>
    <row r="346" ht="30.6" customHeight="1" s="6">
      <c r="A346" s="18" t="n">
        <v>343</v>
      </c>
      <c r="B346" s="19" t="n"/>
      <c r="C346" s="20" t="n"/>
      <c r="D346" s="128" t="n"/>
      <c r="E346" s="21" t="n"/>
      <c r="F346" s="22" t="n"/>
      <c r="G346" s="22" t="n"/>
      <c r="H346" s="22" t="n"/>
      <c r="I346" s="26">
        <f>G346-H346</f>
        <v/>
      </c>
      <c r="J346" s="21" t="n"/>
      <c r="K346" s="21" t="n"/>
      <c r="L346" s="27">
        <f>SUM(J346:K346)</f>
        <v/>
      </c>
      <c r="M346" s="28" t="n"/>
      <c r="N346" s="28" t="n"/>
      <c r="O346" s="29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1" t="n"/>
      <c r="Q346" s="21" t="n"/>
      <c r="R346" s="27">
        <f>SUM(P346:Q346)</f>
        <v/>
      </c>
      <c r="S346" s="28" t="n"/>
      <c r="T346" s="28" t="n"/>
      <c r="U346" s="29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1" t="n"/>
      <c r="W346" s="21" t="n"/>
      <c r="X346" s="27">
        <f>SUM(V346:W346)</f>
        <v/>
      </c>
      <c r="Y346" s="28" t="n"/>
      <c r="Z346" s="28" t="n"/>
      <c r="AA346" s="29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1" t="n"/>
      <c r="AC346" s="21" t="n"/>
      <c r="AD346" s="27">
        <f>SUM(AB346:AC346)</f>
        <v/>
      </c>
      <c r="AE346" s="28" t="n"/>
      <c r="AF346" s="28" t="n"/>
      <c r="AG346" s="29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1" t="n"/>
      <c r="AI346" s="21" t="n"/>
      <c r="AJ346" s="27">
        <f>SUM(AH346:AI346)</f>
        <v/>
      </c>
      <c r="AK346" s="28" t="n"/>
      <c r="AL346" s="28" t="n"/>
      <c r="AM346" s="29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1" t="n"/>
      <c r="AO346" s="21" t="n"/>
      <c r="AP346" s="27">
        <f>SUM(AN346:AO346)</f>
        <v/>
      </c>
      <c r="AQ346" s="28" t="n"/>
      <c r="AR346" s="30" t="n"/>
      <c r="AS346" s="29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1" t="n"/>
      <c r="AU346" s="21" t="n"/>
      <c r="AV346" s="27">
        <f>SUM(AT346:AU346)</f>
        <v/>
      </c>
      <c r="AW346" s="28" t="n"/>
      <c r="AX346" s="30" t="n"/>
      <c r="AY346" s="29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1" t="n"/>
      <c r="BA346" s="21" t="n"/>
      <c r="BB346" s="27">
        <f>SUM(AZ346:BA346)</f>
        <v/>
      </c>
      <c r="BC346" s="28" t="n"/>
      <c r="BD346" s="28" t="n"/>
      <c r="BE346" s="29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1" t="n"/>
      <c r="BG346" s="21" t="n"/>
      <c r="BH346" s="27">
        <f>SUM(BF346:BG346)</f>
        <v/>
      </c>
      <c r="BI346" s="28" t="n"/>
      <c r="BJ346" s="28" t="n"/>
      <c r="BK346" s="29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1" t="n"/>
      <c r="BM346" s="21" t="n"/>
      <c r="BN346" s="27">
        <f>SUM(BL346:BM346)</f>
        <v/>
      </c>
      <c r="BO346" s="28" t="n"/>
      <c r="BP346" s="31" t="n"/>
      <c r="BQ346" s="29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1" t="n"/>
      <c r="BS346" s="21" t="n"/>
      <c r="BT346" s="27">
        <f>SUM(BR346:BS346)</f>
        <v/>
      </c>
      <c r="BU346" s="28" t="n"/>
      <c r="BV346" s="31" t="n"/>
      <c r="BW346" s="29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1" t="n"/>
      <c r="BY346" s="21" t="n"/>
      <c r="BZ346" s="27">
        <f>SUM(BX346:BY346)</f>
        <v/>
      </c>
      <c r="CA346" s="28" t="n"/>
      <c r="CB346" s="31" t="n"/>
      <c r="CC346" s="29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1" t="n"/>
      <c r="CE346" s="21" t="n"/>
      <c r="CF346" s="27">
        <f>SUM(CD346:CE346)</f>
        <v/>
      </c>
      <c r="CG346" s="28" t="n"/>
      <c r="CH346" s="31" t="n"/>
      <c r="CI346" s="29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1" t="n"/>
      <c r="CK346" s="21" t="n"/>
      <c r="CL346" s="27">
        <f>SUM(CJ346:CK346)</f>
        <v/>
      </c>
      <c r="CM346" s="28" t="n"/>
      <c r="CN346" s="31" t="n"/>
      <c r="CO346" s="29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1" t="n"/>
      <c r="CQ346" s="21" t="n"/>
      <c r="CR346" s="27">
        <f>SUM(CP346:CQ346)</f>
        <v/>
      </c>
      <c r="CS346" s="28" t="n"/>
      <c r="CT346" s="31" t="n"/>
      <c r="CU346" s="29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1" t="n"/>
      <c r="CW346" s="21" t="n"/>
      <c r="CX346" s="27">
        <f>SUM(CV346:CW346)</f>
        <v/>
      </c>
      <c r="CY346" s="28" t="n"/>
      <c r="CZ346" s="31" t="n"/>
      <c r="DA346" s="29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1" t="n"/>
      <c r="DC346" s="21" t="n"/>
      <c r="DD346" s="27">
        <f>SUM(DB346:DC346)</f>
        <v/>
      </c>
      <c r="DE346" s="28" t="n"/>
      <c r="DF346" s="31" t="n"/>
      <c r="DG346" s="29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34">
        <f>SUM(O346,U346,AA346,AG346,AM346,AS346,AY346,BE346,BK346,BQ346,BW346,CC346,CI346,CO346,CU346,DA346,DG346)</f>
        <v/>
      </c>
      <c r="DI346" s="39">
        <f>RANK(DH346,DH$4:DH$503)</f>
        <v/>
      </c>
      <c r="DJ346" s="40" t="inlineStr">
        <is>
          <t>CHOOSE RATING</t>
        </is>
      </c>
      <c r="DK346" s="40" t="inlineStr">
        <is>
          <t>CHOOSE RATING</t>
        </is>
      </c>
      <c r="DL346" s="40" t="inlineStr">
        <is>
          <t>CHOOSE RATING</t>
        </is>
      </c>
      <c r="DM346" s="40" t="inlineStr">
        <is>
          <t>CHOOSE RATING</t>
        </is>
      </c>
      <c r="DN346" s="40" t="inlineStr">
        <is>
          <t>CHOOSE RATING</t>
        </is>
      </c>
      <c r="DO346" s="40" t="inlineStr">
        <is>
          <t>CHOOSE RATING</t>
        </is>
      </c>
      <c r="DP346" s="40" t="inlineStr">
        <is>
          <t>CHOOSE RATING</t>
        </is>
      </c>
      <c r="DQ346" s="40" t="inlineStr">
        <is>
          <t>CHOOSE RATING</t>
        </is>
      </c>
      <c r="DR346" s="43" t="inlineStr">
        <is>
          <t>2024/2025</t>
        </is>
      </c>
      <c r="DS346" s="45" t="inlineStr">
        <is>
          <t>THIRD</t>
        </is>
      </c>
      <c r="DT346" s="40" t="inlineStr">
        <is>
          <t>CHOOSE RATING</t>
        </is>
      </c>
      <c r="DU346" s="40" t="inlineStr">
        <is>
          <t>CHOOSE RATING</t>
        </is>
      </c>
      <c r="DV346" s="40" t="inlineStr">
        <is>
          <t>CHOOSE RATING</t>
        </is>
      </c>
      <c r="DW346" s="40" t="inlineStr">
        <is>
          <t>CHOOSE RATING</t>
        </is>
      </c>
      <c r="DX346" s="40" t="inlineStr">
        <is>
          <t>CHOOSE RATING</t>
        </is>
      </c>
      <c r="DY346" s="40" t="inlineStr">
        <is>
          <t>CHOOSE RATING</t>
        </is>
      </c>
      <c r="DZ346" s="53" t="inlineStr">
        <is>
          <t>CHOOSE RATING</t>
        </is>
      </c>
      <c r="EA346" s="54" t="inlineStr">
        <is>
          <t>Add the Tutor's Comment . . .</t>
        </is>
      </c>
      <c r="EB346" s="55" t="inlineStr">
        <is>
          <t>Choose Principals comment</t>
        </is>
      </c>
      <c r="EC346" s="56" t="n"/>
      <c r="ED346" s="57" t="inlineStr">
        <is>
          <t>Next Term Begins on Monday, 22nd September, 2025</t>
        </is>
      </c>
    </row>
    <row r="347" ht="30.6" customHeight="1" s="6">
      <c r="A347" s="18" t="n">
        <v>344</v>
      </c>
      <c r="B347" s="19" t="n"/>
      <c r="C347" s="20" t="n"/>
      <c r="D347" s="128" t="n"/>
      <c r="E347" s="21" t="n"/>
      <c r="F347" s="22" t="n"/>
      <c r="G347" s="22" t="n"/>
      <c r="H347" s="22" t="n"/>
      <c r="I347" s="26">
        <f>G347-H347</f>
        <v/>
      </c>
      <c r="J347" s="21" t="n"/>
      <c r="K347" s="21" t="n"/>
      <c r="L347" s="27">
        <f>SUM(J347:K347)</f>
        <v/>
      </c>
      <c r="M347" s="28" t="n"/>
      <c r="N347" s="28" t="n"/>
      <c r="O347" s="29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1" t="n"/>
      <c r="Q347" s="21" t="n"/>
      <c r="R347" s="27">
        <f>SUM(P347:Q347)</f>
        <v/>
      </c>
      <c r="S347" s="28" t="n"/>
      <c r="T347" s="28" t="n"/>
      <c r="U347" s="29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1" t="n"/>
      <c r="W347" s="21" t="n"/>
      <c r="X347" s="27">
        <f>SUM(V347:W347)</f>
        <v/>
      </c>
      <c r="Y347" s="28" t="n"/>
      <c r="Z347" s="28" t="n"/>
      <c r="AA347" s="29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1" t="n"/>
      <c r="AC347" s="21" t="n"/>
      <c r="AD347" s="27">
        <f>SUM(AB347:AC347)</f>
        <v/>
      </c>
      <c r="AE347" s="28" t="n"/>
      <c r="AF347" s="28" t="n"/>
      <c r="AG347" s="29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1" t="n"/>
      <c r="AI347" s="21" t="n"/>
      <c r="AJ347" s="27">
        <f>SUM(AH347:AI347)</f>
        <v/>
      </c>
      <c r="AK347" s="28" t="n"/>
      <c r="AL347" s="28" t="n"/>
      <c r="AM347" s="29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1" t="n"/>
      <c r="AO347" s="21" t="n"/>
      <c r="AP347" s="27">
        <f>SUM(AN347:AO347)</f>
        <v/>
      </c>
      <c r="AQ347" s="28" t="n"/>
      <c r="AR347" s="30" t="n"/>
      <c r="AS347" s="29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1" t="n"/>
      <c r="AU347" s="21" t="n"/>
      <c r="AV347" s="27">
        <f>SUM(AT347:AU347)</f>
        <v/>
      </c>
      <c r="AW347" s="28" t="n"/>
      <c r="AX347" s="30" t="n"/>
      <c r="AY347" s="29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1" t="n"/>
      <c r="BA347" s="21" t="n"/>
      <c r="BB347" s="27">
        <f>SUM(AZ347:BA347)</f>
        <v/>
      </c>
      <c r="BC347" s="28" t="n"/>
      <c r="BD347" s="28" t="n"/>
      <c r="BE347" s="29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1" t="n"/>
      <c r="BG347" s="21" t="n"/>
      <c r="BH347" s="27">
        <f>SUM(BF347:BG347)</f>
        <v/>
      </c>
      <c r="BI347" s="28" t="n"/>
      <c r="BJ347" s="28" t="n"/>
      <c r="BK347" s="29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1" t="n"/>
      <c r="BM347" s="21" t="n"/>
      <c r="BN347" s="27">
        <f>SUM(BL347:BM347)</f>
        <v/>
      </c>
      <c r="BO347" s="28" t="n"/>
      <c r="BP347" s="31" t="n"/>
      <c r="BQ347" s="29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1" t="n"/>
      <c r="BS347" s="21" t="n"/>
      <c r="BT347" s="27">
        <f>SUM(BR347:BS347)</f>
        <v/>
      </c>
      <c r="BU347" s="28" t="n"/>
      <c r="BV347" s="31" t="n"/>
      <c r="BW347" s="29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1" t="n"/>
      <c r="BY347" s="21" t="n"/>
      <c r="BZ347" s="27">
        <f>SUM(BX347:BY347)</f>
        <v/>
      </c>
      <c r="CA347" s="28" t="n"/>
      <c r="CB347" s="31" t="n"/>
      <c r="CC347" s="29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1" t="n"/>
      <c r="CE347" s="21" t="n"/>
      <c r="CF347" s="27">
        <f>SUM(CD347:CE347)</f>
        <v/>
      </c>
      <c r="CG347" s="28" t="n"/>
      <c r="CH347" s="31" t="n"/>
      <c r="CI347" s="29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1" t="n"/>
      <c r="CK347" s="21" t="n"/>
      <c r="CL347" s="27">
        <f>SUM(CJ347:CK347)</f>
        <v/>
      </c>
      <c r="CM347" s="28" t="n"/>
      <c r="CN347" s="31" t="n"/>
      <c r="CO347" s="29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1" t="n"/>
      <c r="CQ347" s="21" t="n"/>
      <c r="CR347" s="27">
        <f>SUM(CP347:CQ347)</f>
        <v/>
      </c>
      <c r="CS347" s="28" t="n"/>
      <c r="CT347" s="31" t="n"/>
      <c r="CU347" s="29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1" t="n"/>
      <c r="CW347" s="21" t="n"/>
      <c r="CX347" s="27">
        <f>SUM(CV347:CW347)</f>
        <v/>
      </c>
      <c r="CY347" s="28" t="n"/>
      <c r="CZ347" s="31" t="n"/>
      <c r="DA347" s="29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1" t="n"/>
      <c r="DC347" s="21" t="n"/>
      <c r="DD347" s="27">
        <f>SUM(DB347:DC347)</f>
        <v/>
      </c>
      <c r="DE347" s="28" t="n"/>
      <c r="DF347" s="31" t="n"/>
      <c r="DG347" s="29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34">
        <f>SUM(O347,U347,AA347,AG347,AM347,AS347,AY347,BE347,BK347,BQ347,BW347,CC347,CI347,CO347,CU347,DA347,DG347)</f>
        <v/>
      </c>
      <c r="DI347" s="39">
        <f>RANK(DH347,DH$4:DH$503)</f>
        <v/>
      </c>
      <c r="DJ347" s="40" t="inlineStr">
        <is>
          <t>CHOOSE RATING</t>
        </is>
      </c>
      <c r="DK347" s="40" t="inlineStr">
        <is>
          <t>CHOOSE RATING</t>
        </is>
      </c>
      <c r="DL347" s="40" t="inlineStr">
        <is>
          <t>CHOOSE RATING</t>
        </is>
      </c>
      <c r="DM347" s="40" t="inlineStr">
        <is>
          <t>CHOOSE RATING</t>
        </is>
      </c>
      <c r="DN347" s="40" t="inlineStr">
        <is>
          <t>CHOOSE RATING</t>
        </is>
      </c>
      <c r="DO347" s="40" t="inlineStr">
        <is>
          <t>CHOOSE RATING</t>
        </is>
      </c>
      <c r="DP347" s="40" t="inlineStr">
        <is>
          <t>CHOOSE RATING</t>
        </is>
      </c>
      <c r="DQ347" s="40" t="inlineStr">
        <is>
          <t>CHOOSE RATING</t>
        </is>
      </c>
      <c r="DR347" s="43" t="inlineStr">
        <is>
          <t>2024/2025</t>
        </is>
      </c>
      <c r="DS347" s="45" t="inlineStr">
        <is>
          <t>THIRD</t>
        </is>
      </c>
      <c r="DT347" s="40" t="inlineStr">
        <is>
          <t>CHOOSE RATING</t>
        </is>
      </c>
      <c r="DU347" s="40" t="inlineStr">
        <is>
          <t>CHOOSE RATING</t>
        </is>
      </c>
      <c r="DV347" s="40" t="inlineStr">
        <is>
          <t>CHOOSE RATING</t>
        </is>
      </c>
      <c r="DW347" s="40" t="inlineStr">
        <is>
          <t>CHOOSE RATING</t>
        </is>
      </c>
      <c r="DX347" s="40" t="inlineStr">
        <is>
          <t>CHOOSE RATING</t>
        </is>
      </c>
      <c r="DY347" s="40" t="inlineStr">
        <is>
          <t>CHOOSE RATING</t>
        </is>
      </c>
      <c r="DZ347" s="53" t="inlineStr">
        <is>
          <t>CHOOSE RATING</t>
        </is>
      </c>
      <c r="EA347" s="54" t="inlineStr">
        <is>
          <t>Add the Tutor's Comment . . .</t>
        </is>
      </c>
      <c r="EB347" s="55" t="inlineStr">
        <is>
          <t>Choose Principals comment</t>
        </is>
      </c>
      <c r="EC347" s="56" t="n"/>
      <c r="ED347" s="57" t="inlineStr">
        <is>
          <t>Next Term Begins on Monday, 22nd September, 2025</t>
        </is>
      </c>
    </row>
    <row r="348" ht="30.6" customHeight="1" s="6">
      <c r="A348" s="18" t="n">
        <v>345</v>
      </c>
      <c r="B348" s="19" t="n"/>
      <c r="C348" s="20" t="n"/>
      <c r="D348" s="128" t="n"/>
      <c r="E348" s="21" t="n"/>
      <c r="F348" s="22" t="n"/>
      <c r="G348" s="22" t="n"/>
      <c r="H348" s="22" t="n"/>
      <c r="I348" s="26">
        <f>G348-H348</f>
        <v/>
      </c>
      <c r="J348" s="21" t="n"/>
      <c r="K348" s="21" t="n"/>
      <c r="L348" s="27">
        <f>SUM(J348:K348)</f>
        <v/>
      </c>
      <c r="M348" s="28" t="n"/>
      <c r="N348" s="28" t="n"/>
      <c r="O348" s="29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1" t="n"/>
      <c r="Q348" s="21" t="n"/>
      <c r="R348" s="27">
        <f>SUM(P348:Q348)</f>
        <v/>
      </c>
      <c r="S348" s="28" t="n"/>
      <c r="T348" s="28" t="n"/>
      <c r="U348" s="29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1" t="n"/>
      <c r="W348" s="21" t="n"/>
      <c r="X348" s="27">
        <f>SUM(V348:W348)</f>
        <v/>
      </c>
      <c r="Y348" s="28" t="n"/>
      <c r="Z348" s="28" t="n"/>
      <c r="AA348" s="29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1" t="n"/>
      <c r="AC348" s="21" t="n"/>
      <c r="AD348" s="27">
        <f>SUM(AB348:AC348)</f>
        <v/>
      </c>
      <c r="AE348" s="28" t="n"/>
      <c r="AF348" s="28" t="n"/>
      <c r="AG348" s="29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1" t="n"/>
      <c r="AI348" s="21" t="n"/>
      <c r="AJ348" s="27">
        <f>SUM(AH348:AI348)</f>
        <v/>
      </c>
      <c r="AK348" s="28" t="n"/>
      <c r="AL348" s="28" t="n"/>
      <c r="AM348" s="29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1" t="n"/>
      <c r="AO348" s="21" t="n"/>
      <c r="AP348" s="27">
        <f>SUM(AN348:AO348)</f>
        <v/>
      </c>
      <c r="AQ348" s="28" t="n"/>
      <c r="AR348" s="30" t="n"/>
      <c r="AS348" s="29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1" t="n"/>
      <c r="AU348" s="21" t="n"/>
      <c r="AV348" s="27">
        <f>SUM(AT348:AU348)</f>
        <v/>
      </c>
      <c r="AW348" s="28" t="n"/>
      <c r="AX348" s="30" t="n"/>
      <c r="AY348" s="29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1" t="n"/>
      <c r="BA348" s="21" t="n"/>
      <c r="BB348" s="27">
        <f>SUM(AZ348:BA348)</f>
        <v/>
      </c>
      <c r="BC348" s="28" t="n"/>
      <c r="BD348" s="28" t="n"/>
      <c r="BE348" s="29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1" t="n"/>
      <c r="BG348" s="21" t="n"/>
      <c r="BH348" s="27">
        <f>SUM(BF348:BG348)</f>
        <v/>
      </c>
      <c r="BI348" s="28" t="n"/>
      <c r="BJ348" s="28" t="n"/>
      <c r="BK348" s="29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1" t="n"/>
      <c r="BM348" s="21" t="n"/>
      <c r="BN348" s="27">
        <f>SUM(BL348:BM348)</f>
        <v/>
      </c>
      <c r="BO348" s="28" t="n"/>
      <c r="BP348" s="31" t="n"/>
      <c r="BQ348" s="29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1" t="n"/>
      <c r="BS348" s="21" t="n"/>
      <c r="BT348" s="27">
        <f>SUM(BR348:BS348)</f>
        <v/>
      </c>
      <c r="BU348" s="28" t="n"/>
      <c r="BV348" s="31" t="n"/>
      <c r="BW348" s="29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1" t="n"/>
      <c r="BY348" s="21" t="n"/>
      <c r="BZ348" s="27">
        <f>SUM(BX348:BY348)</f>
        <v/>
      </c>
      <c r="CA348" s="28" t="n"/>
      <c r="CB348" s="31" t="n"/>
      <c r="CC348" s="29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1" t="n"/>
      <c r="CE348" s="21" t="n"/>
      <c r="CF348" s="27">
        <f>SUM(CD348:CE348)</f>
        <v/>
      </c>
      <c r="CG348" s="28" t="n"/>
      <c r="CH348" s="31" t="n"/>
      <c r="CI348" s="29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1" t="n"/>
      <c r="CK348" s="21" t="n"/>
      <c r="CL348" s="27">
        <f>SUM(CJ348:CK348)</f>
        <v/>
      </c>
      <c r="CM348" s="28" t="n"/>
      <c r="CN348" s="31" t="n"/>
      <c r="CO348" s="29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1" t="n"/>
      <c r="CQ348" s="21" t="n"/>
      <c r="CR348" s="27">
        <f>SUM(CP348:CQ348)</f>
        <v/>
      </c>
      <c r="CS348" s="28" t="n"/>
      <c r="CT348" s="31" t="n"/>
      <c r="CU348" s="29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1" t="n"/>
      <c r="CW348" s="21" t="n"/>
      <c r="CX348" s="27">
        <f>SUM(CV348:CW348)</f>
        <v/>
      </c>
      <c r="CY348" s="28" t="n"/>
      <c r="CZ348" s="31" t="n"/>
      <c r="DA348" s="29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1" t="n"/>
      <c r="DC348" s="21" t="n"/>
      <c r="DD348" s="27">
        <f>SUM(DB348:DC348)</f>
        <v/>
      </c>
      <c r="DE348" s="28" t="n"/>
      <c r="DF348" s="31" t="n"/>
      <c r="DG348" s="29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34">
        <f>SUM(O348,U348,AA348,AG348,AM348,AS348,AY348,BE348,BK348,BQ348,BW348,CC348,CI348,CO348,CU348,DA348,DG348)</f>
        <v/>
      </c>
      <c r="DI348" s="39">
        <f>RANK(DH348,DH$4:DH$503)</f>
        <v/>
      </c>
      <c r="DJ348" s="40" t="inlineStr">
        <is>
          <t>CHOOSE RATING</t>
        </is>
      </c>
      <c r="DK348" s="40" t="inlineStr">
        <is>
          <t>CHOOSE RATING</t>
        </is>
      </c>
      <c r="DL348" s="40" t="inlineStr">
        <is>
          <t>CHOOSE RATING</t>
        </is>
      </c>
      <c r="DM348" s="40" t="inlineStr">
        <is>
          <t>CHOOSE RATING</t>
        </is>
      </c>
      <c r="DN348" s="40" t="inlineStr">
        <is>
          <t>CHOOSE RATING</t>
        </is>
      </c>
      <c r="DO348" s="40" t="inlineStr">
        <is>
          <t>CHOOSE RATING</t>
        </is>
      </c>
      <c r="DP348" s="40" t="inlineStr">
        <is>
          <t>CHOOSE RATING</t>
        </is>
      </c>
      <c r="DQ348" s="40" t="inlineStr">
        <is>
          <t>CHOOSE RATING</t>
        </is>
      </c>
      <c r="DR348" s="43" t="inlineStr">
        <is>
          <t>2024/2025</t>
        </is>
      </c>
      <c r="DS348" s="45" t="inlineStr">
        <is>
          <t>THIRD</t>
        </is>
      </c>
      <c r="DT348" s="40" t="inlineStr">
        <is>
          <t>CHOOSE RATING</t>
        </is>
      </c>
      <c r="DU348" s="40" t="inlineStr">
        <is>
          <t>CHOOSE RATING</t>
        </is>
      </c>
      <c r="DV348" s="40" t="inlineStr">
        <is>
          <t>CHOOSE RATING</t>
        </is>
      </c>
      <c r="DW348" s="40" t="inlineStr">
        <is>
          <t>CHOOSE RATING</t>
        </is>
      </c>
      <c r="DX348" s="40" t="inlineStr">
        <is>
          <t>CHOOSE RATING</t>
        </is>
      </c>
      <c r="DY348" s="40" t="inlineStr">
        <is>
          <t>CHOOSE RATING</t>
        </is>
      </c>
      <c r="DZ348" s="53" t="inlineStr">
        <is>
          <t>CHOOSE RATING</t>
        </is>
      </c>
      <c r="EA348" s="54" t="inlineStr">
        <is>
          <t>Add the Tutor's Comment . . .</t>
        </is>
      </c>
      <c r="EB348" s="55" t="inlineStr">
        <is>
          <t>Choose Principals comment</t>
        </is>
      </c>
      <c r="EC348" s="56" t="n"/>
      <c r="ED348" s="57" t="inlineStr">
        <is>
          <t>Next Term Begins on Monday, 22nd September, 2025</t>
        </is>
      </c>
    </row>
    <row r="349" ht="30.6" customHeight="1" s="6">
      <c r="A349" s="18" t="n">
        <v>346</v>
      </c>
      <c r="B349" s="19" t="n"/>
      <c r="C349" s="20" t="n"/>
      <c r="D349" s="128" t="n"/>
      <c r="E349" s="21" t="n"/>
      <c r="F349" s="22" t="n"/>
      <c r="G349" s="22" t="n"/>
      <c r="H349" s="22" t="n"/>
      <c r="I349" s="26">
        <f>G349-H349</f>
        <v/>
      </c>
      <c r="J349" s="21" t="n"/>
      <c r="K349" s="21" t="n"/>
      <c r="L349" s="27">
        <f>SUM(J349:K349)</f>
        <v/>
      </c>
      <c r="M349" s="28" t="n"/>
      <c r="N349" s="28" t="n"/>
      <c r="O349" s="29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1" t="n"/>
      <c r="Q349" s="21" t="n"/>
      <c r="R349" s="27">
        <f>SUM(P349:Q349)</f>
        <v/>
      </c>
      <c r="S349" s="28" t="n"/>
      <c r="T349" s="28" t="n"/>
      <c r="U349" s="29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1" t="n"/>
      <c r="W349" s="21" t="n"/>
      <c r="X349" s="27">
        <f>SUM(V349:W349)</f>
        <v/>
      </c>
      <c r="Y349" s="28" t="n"/>
      <c r="Z349" s="28" t="n"/>
      <c r="AA349" s="29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1" t="n"/>
      <c r="AC349" s="21" t="n"/>
      <c r="AD349" s="27">
        <f>SUM(AB349:AC349)</f>
        <v/>
      </c>
      <c r="AE349" s="28" t="n"/>
      <c r="AF349" s="28" t="n"/>
      <c r="AG349" s="29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1" t="n"/>
      <c r="AI349" s="21" t="n"/>
      <c r="AJ349" s="27">
        <f>SUM(AH349:AI349)</f>
        <v/>
      </c>
      <c r="AK349" s="28" t="n"/>
      <c r="AL349" s="28" t="n"/>
      <c r="AM349" s="29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1" t="n"/>
      <c r="AO349" s="21" t="n"/>
      <c r="AP349" s="27">
        <f>SUM(AN349:AO349)</f>
        <v/>
      </c>
      <c r="AQ349" s="28" t="n"/>
      <c r="AR349" s="30" t="n"/>
      <c r="AS349" s="29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1" t="n"/>
      <c r="AU349" s="21" t="n"/>
      <c r="AV349" s="27">
        <f>SUM(AT349:AU349)</f>
        <v/>
      </c>
      <c r="AW349" s="28" t="n"/>
      <c r="AX349" s="30" t="n"/>
      <c r="AY349" s="29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1" t="n"/>
      <c r="BA349" s="21" t="n"/>
      <c r="BB349" s="27">
        <f>SUM(AZ349:BA349)</f>
        <v/>
      </c>
      <c r="BC349" s="28" t="n"/>
      <c r="BD349" s="28" t="n"/>
      <c r="BE349" s="29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1" t="n"/>
      <c r="BG349" s="21" t="n"/>
      <c r="BH349" s="27">
        <f>SUM(BF349:BG349)</f>
        <v/>
      </c>
      <c r="BI349" s="28" t="n"/>
      <c r="BJ349" s="28" t="n"/>
      <c r="BK349" s="29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1" t="n"/>
      <c r="BM349" s="21" t="n"/>
      <c r="BN349" s="27">
        <f>SUM(BL349:BM349)</f>
        <v/>
      </c>
      <c r="BO349" s="28" t="n"/>
      <c r="BP349" s="31" t="n"/>
      <c r="BQ349" s="29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1" t="n"/>
      <c r="BS349" s="21" t="n"/>
      <c r="BT349" s="27">
        <f>SUM(BR349:BS349)</f>
        <v/>
      </c>
      <c r="BU349" s="28" t="n"/>
      <c r="BV349" s="31" t="n"/>
      <c r="BW349" s="29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1" t="n"/>
      <c r="BY349" s="21" t="n"/>
      <c r="BZ349" s="27">
        <f>SUM(BX349:BY349)</f>
        <v/>
      </c>
      <c r="CA349" s="28" t="n"/>
      <c r="CB349" s="31" t="n"/>
      <c r="CC349" s="29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1" t="n"/>
      <c r="CE349" s="21" t="n"/>
      <c r="CF349" s="27">
        <f>SUM(CD349:CE349)</f>
        <v/>
      </c>
      <c r="CG349" s="28" t="n"/>
      <c r="CH349" s="31" t="n"/>
      <c r="CI349" s="29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1" t="n"/>
      <c r="CK349" s="21" t="n"/>
      <c r="CL349" s="27">
        <f>SUM(CJ349:CK349)</f>
        <v/>
      </c>
      <c r="CM349" s="28" t="n"/>
      <c r="CN349" s="31" t="n"/>
      <c r="CO349" s="29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1" t="n"/>
      <c r="CQ349" s="21" t="n"/>
      <c r="CR349" s="27">
        <f>SUM(CP349:CQ349)</f>
        <v/>
      </c>
      <c r="CS349" s="28" t="n"/>
      <c r="CT349" s="31" t="n"/>
      <c r="CU349" s="29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1" t="n"/>
      <c r="CW349" s="21" t="n"/>
      <c r="CX349" s="27">
        <f>SUM(CV349:CW349)</f>
        <v/>
      </c>
      <c r="CY349" s="28" t="n"/>
      <c r="CZ349" s="31" t="n"/>
      <c r="DA349" s="29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1" t="n"/>
      <c r="DC349" s="21" t="n"/>
      <c r="DD349" s="27">
        <f>SUM(DB349:DC349)</f>
        <v/>
      </c>
      <c r="DE349" s="28" t="n"/>
      <c r="DF349" s="31" t="n"/>
      <c r="DG349" s="29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34">
        <f>SUM(O349,U349,AA349,AG349,AM349,AS349,AY349,BE349,BK349,BQ349,BW349,CC349,CI349,CO349,CU349,DA349,DG349)</f>
        <v/>
      </c>
      <c r="DI349" s="39">
        <f>RANK(DH349,DH$4:DH$503)</f>
        <v/>
      </c>
      <c r="DJ349" s="40" t="inlineStr">
        <is>
          <t>CHOOSE RATING</t>
        </is>
      </c>
      <c r="DK349" s="40" t="inlineStr">
        <is>
          <t>CHOOSE RATING</t>
        </is>
      </c>
      <c r="DL349" s="40" t="inlineStr">
        <is>
          <t>CHOOSE RATING</t>
        </is>
      </c>
      <c r="DM349" s="40" t="inlineStr">
        <is>
          <t>CHOOSE RATING</t>
        </is>
      </c>
      <c r="DN349" s="40" t="inlineStr">
        <is>
          <t>CHOOSE RATING</t>
        </is>
      </c>
      <c r="DO349" s="40" t="inlineStr">
        <is>
          <t>CHOOSE RATING</t>
        </is>
      </c>
      <c r="DP349" s="40" t="inlineStr">
        <is>
          <t>CHOOSE RATING</t>
        </is>
      </c>
      <c r="DQ349" s="40" t="inlineStr">
        <is>
          <t>CHOOSE RATING</t>
        </is>
      </c>
      <c r="DR349" s="43" t="inlineStr">
        <is>
          <t>2024/2025</t>
        </is>
      </c>
      <c r="DS349" s="45" t="inlineStr">
        <is>
          <t>THIRD</t>
        </is>
      </c>
      <c r="DT349" s="40" t="inlineStr">
        <is>
          <t>CHOOSE RATING</t>
        </is>
      </c>
      <c r="DU349" s="40" t="inlineStr">
        <is>
          <t>CHOOSE RATING</t>
        </is>
      </c>
      <c r="DV349" s="40" t="inlineStr">
        <is>
          <t>CHOOSE RATING</t>
        </is>
      </c>
      <c r="DW349" s="40" t="inlineStr">
        <is>
          <t>CHOOSE RATING</t>
        </is>
      </c>
      <c r="DX349" s="40" t="inlineStr">
        <is>
          <t>CHOOSE RATING</t>
        </is>
      </c>
      <c r="DY349" s="40" t="inlineStr">
        <is>
          <t>CHOOSE RATING</t>
        </is>
      </c>
      <c r="DZ349" s="53" t="inlineStr">
        <is>
          <t>CHOOSE RATING</t>
        </is>
      </c>
      <c r="EA349" s="54" t="inlineStr">
        <is>
          <t>Add the Tutor's Comment . . .</t>
        </is>
      </c>
      <c r="EB349" s="55" t="inlineStr">
        <is>
          <t>Choose Principals comment</t>
        </is>
      </c>
      <c r="EC349" s="56" t="n"/>
      <c r="ED349" s="57" t="inlineStr">
        <is>
          <t>Next Term Begins on Monday, 22nd September, 2025</t>
        </is>
      </c>
    </row>
    <row r="350" ht="30.6" customHeight="1" s="6">
      <c r="A350" s="18" t="n">
        <v>347</v>
      </c>
      <c r="B350" s="19" t="n"/>
      <c r="C350" s="20" t="n"/>
      <c r="D350" s="128" t="n"/>
      <c r="E350" s="21" t="n"/>
      <c r="F350" s="22" t="n"/>
      <c r="G350" s="22" t="n"/>
      <c r="H350" s="22" t="n"/>
      <c r="I350" s="26">
        <f>G350-H350</f>
        <v/>
      </c>
      <c r="J350" s="21" t="n"/>
      <c r="K350" s="21" t="n"/>
      <c r="L350" s="27">
        <f>SUM(J350:K350)</f>
        <v/>
      </c>
      <c r="M350" s="28" t="n"/>
      <c r="N350" s="28" t="n"/>
      <c r="O350" s="29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1" t="n"/>
      <c r="Q350" s="21" t="n"/>
      <c r="R350" s="27">
        <f>SUM(P350:Q350)</f>
        <v/>
      </c>
      <c r="S350" s="28" t="n"/>
      <c r="T350" s="28" t="n"/>
      <c r="U350" s="29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1" t="n"/>
      <c r="W350" s="21" t="n"/>
      <c r="X350" s="27">
        <f>SUM(V350:W350)</f>
        <v/>
      </c>
      <c r="Y350" s="28" t="n"/>
      <c r="Z350" s="28" t="n"/>
      <c r="AA350" s="29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1" t="n"/>
      <c r="AC350" s="21" t="n"/>
      <c r="AD350" s="27">
        <f>SUM(AB350:AC350)</f>
        <v/>
      </c>
      <c r="AE350" s="28" t="n"/>
      <c r="AF350" s="28" t="n"/>
      <c r="AG350" s="29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1" t="n"/>
      <c r="AI350" s="21" t="n"/>
      <c r="AJ350" s="27">
        <f>SUM(AH350:AI350)</f>
        <v/>
      </c>
      <c r="AK350" s="28" t="n"/>
      <c r="AL350" s="28" t="n"/>
      <c r="AM350" s="29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1" t="n"/>
      <c r="AO350" s="21" t="n"/>
      <c r="AP350" s="27">
        <f>SUM(AN350:AO350)</f>
        <v/>
      </c>
      <c r="AQ350" s="28" t="n"/>
      <c r="AR350" s="30" t="n"/>
      <c r="AS350" s="29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1" t="n"/>
      <c r="AU350" s="21" t="n"/>
      <c r="AV350" s="27">
        <f>SUM(AT350:AU350)</f>
        <v/>
      </c>
      <c r="AW350" s="28" t="n"/>
      <c r="AX350" s="30" t="n"/>
      <c r="AY350" s="29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1" t="n"/>
      <c r="BA350" s="21" t="n"/>
      <c r="BB350" s="27">
        <f>SUM(AZ350:BA350)</f>
        <v/>
      </c>
      <c r="BC350" s="28" t="n"/>
      <c r="BD350" s="28" t="n"/>
      <c r="BE350" s="29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1" t="n"/>
      <c r="BG350" s="21" t="n"/>
      <c r="BH350" s="27">
        <f>SUM(BF350:BG350)</f>
        <v/>
      </c>
      <c r="BI350" s="28" t="n"/>
      <c r="BJ350" s="28" t="n"/>
      <c r="BK350" s="29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1" t="n"/>
      <c r="BM350" s="21" t="n"/>
      <c r="BN350" s="27">
        <f>SUM(BL350:BM350)</f>
        <v/>
      </c>
      <c r="BO350" s="28" t="n"/>
      <c r="BP350" s="31" t="n"/>
      <c r="BQ350" s="29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1" t="n"/>
      <c r="BS350" s="21" t="n"/>
      <c r="BT350" s="27">
        <f>SUM(BR350:BS350)</f>
        <v/>
      </c>
      <c r="BU350" s="28" t="n"/>
      <c r="BV350" s="31" t="n"/>
      <c r="BW350" s="29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1" t="n"/>
      <c r="BY350" s="21" t="n"/>
      <c r="BZ350" s="27">
        <f>SUM(BX350:BY350)</f>
        <v/>
      </c>
      <c r="CA350" s="28" t="n"/>
      <c r="CB350" s="31" t="n"/>
      <c r="CC350" s="29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1" t="n"/>
      <c r="CE350" s="21" t="n"/>
      <c r="CF350" s="27">
        <f>SUM(CD350:CE350)</f>
        <v/>
      </c>
      <c r="CG350" s="28" t="n"/>
      <c r="CH350" s="31" t="n"/>
      <c r="CI350" s="29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1" t="n"/>
      <c r="CK350" s="21" t="n"/>
      <c r="CL350" s="27">
        <f>SUM(CJ350:CK350)</f>
        <v/>
      </c>
      <c r="CM350" s="28" t="n"/>
      <c r="CN350" s="31" t="n"/>
      <c r="CO350" s="29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1" t="n"/>
      <c r="CQ350" s="21" t="n"/>
      <c r="CR350" s="27">
        <f>SUM(CP350:CQ350)</f>
        <v/>
      </c>
      <c r="CS350" s="28" t="n"/>
      <c r="CT350" s="31" t="n"/>
      <c r="CU350" s="29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1" t="n"/>
      <c r="CW350" s="21" t="n"/>
      <c r="CX350" s="27">
        <f>SUM(CV350:CW350)</f>
        <v/>
      </c>
      <c r="CY350" s="28" t="n"/>
      <c r="CZ350" s="31" t="n"/>
      <c r="DA350" s="29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1" t="n"/>
      <c r="DC350" s="21" t="n"/>
      <c r="DD350" s="27">
        <f>SUM(DB350:DC350)</f>
        <v/>
      </c>
      <c r="DE350" s="28" t="n"/>
      <c r="DF350" s="31" t="n"/>
      <c r="DG350" s="29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34">
        <f>SUM(O350,U350,AA350,AG350,AM350,AS350,AY350,BE350,BK350,BQ350,BW350,CC350,CI350,CO350,CU350,DA350,DG350)</f>
        <v/>
      </c>
      <c r="DI350" s="39">
        <f>RANK(DH350,DH$4:DH$503)</f>
        <v/>
      </c>
      <c r="DJ350" s="40" t="inlineStr">
        <is>
          <t>CHOOSE RATING</t>
        </is>
      </c>
      <c r="DK350" s="40" t="inlineStr">
        <is>
          <t>CHOOSE RATING</t>
        </is>
      </c>
      <c r="DL350" s="40" t="inlineStr">
        <is>
          <t>CHOOSE RATING</t>
        </is>
      </c>
      <c r="DM350" s="40" t="inlineStr">
        <is>
          <t>CHOOSE RATING</t>
        </is>
      </c>
      <c r="DN350" s="40" t="inlineStr">
        <is>
          <t>CHOOSE RATING</t>
        </is>
      </c>
      <c r="DO350" s="40" t="inlineStr">
        <is>
          <t>CHOOSE RATING</t>
        </is>
      </c>
      <c r="DP350" s="40" t="inlineStr">
        <is>
          <t>CHOOSE RATING</t>
        </is>
      </c>
      <c r="DQ350" s="40" t="inlineStr">
        <is>
          <t>CHOOSE RATING</t>
        </is>
      </c>
      <c r="DR350" s="43" t="inlineStr">
        <is>
          <t>2024/2025</t>
        </is>
      </c>
      <c r="DS350" s="45" t="inlineStr">
        <is>
          <t>THIRD</t>
        </is>
      </c>
      <c r="DT350" s="40" t="inlineStr">
        <is>
          <t>CHOOSE RATING</t>
        </is>
      </c>
      <c r="DU350" s="40" t="inlineStr">
        <is>
          <t>CHOOSE RATING</t>
        </is>
      </c>
      <c r="DV350" s="40" t="inlineStr">
        <is>
          <t>CHOOSE RATING</t>
        </is>
      </c>
      <c r="DW350" s="40" t="inlineStr">
        <is>
          <t>CHOOSE RATING</t>
        </is>
      </c>
      <c r="DX350" s="40" t="inlineStr">
        <is>
          <t>CHOOSE RATING</t>
        </is>
      </c>
      <c r="DY350" s="40" t="inlineStr">
        <is>
          <t>CHOOSE RATING</t>
        </is>
      </c>
      <c r="DZ350" s="53" t="inlineStr">
        <is>
          <t>CHOOSE RATING</t>
        </is>
      </c>
      <c r="EA350" s="54" t="inlineStr">
        <is>
          <t>Add the Tutor's Comment . . .</t>
        </is>
      </c>
      <c r="EB350" s="55" t="inlineStr">
        <is>
          <t>Choose Principals comment</t>
        </is>
      </c>
      <c r="EC350" s="56" t="n"/>
      <c r="ED350" s="57" t="inlineStr">
        <is>
          <t>Next Term Begins on Monday, 22nd September, 2025</t>
        </is>
      </c>
    </row>
    <row r="351" ht="30.6" customHeight="1" s="6">
      <c r="A351" s="18" t="n">
        <v>348</v>
      </c>
      <c r="B351" s="19" t="n"/>
      <c r="C351" s="20" t="n"/>
      <c r="D351" s="128" t="n"/>
      <c r="E351" s="21" t="n"/>
      <c r="F351" s="22" t="n"/>
      <c r="G351" s="22" t="n"/>
      <c r="H351" s="22" t="n"/>
      <c r="I351" s="26">
        <f>G351-H351</f>
        <v/>
      </c>
      <c r="J351" s="21" t="n"/>
      <c r="K351" s="21" t="n"/>
      <c r="L351" s="27">
        <f>SUM(J351:K351)</f>
        <v/>
      </c>
      <c r="M351" s="28" t="n"/>
      <c r="N351" s="28" t="n"/>
      <c r="O351" s="29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1" t="n"/>
      <c r="Q351" s="21" t="n"/>
      <c r="R351" s="27">
        <f>SUM(P351:Q351)</f>
        <v/>
      </c>
      <c r="S351" s="28" t="n"/>
      <c r="T351" s="28" t="n"/>
      <c r="U351" s="29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1" t="n"/>
      <c r="W351" s="21" t="n"/>
      <c r="X351" s="27">
        <f>SUM(V351:W351)</f>
        <v/>
      </c>
      <c r="Y351" s="28" t="n"/>
      <c r="Z351" s="28" t="n"/>
      <c r="AA351" s="29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1" t="n"/>
      <c r="AC351" s="21" t="n"/>
      <c r="AD351" s="27">
        <f>SUM(AB351:AC351)</f>
        <v/>
      </c>
      <c r="AE351" s="28" t="n"/>
      <c r="AF351" s="28" t="n"/>
      <c r="AG351" s="29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1" t="n"/>
      <c r="AI351" s="21" t="n"/>
      <c r="AJ351" s="27">
        <f>SUM(AH351:AI351)</f>
        <v/>
      </c>
      <c r="AK351" s="28" t="n"/>
      <c r="AL351" s="28" t="n"/>
      <c r="AM351" s="29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1" t="n"/>
      <c r="AO351" s="21" t="n"/>
      <c r="AP351" s="27">
        <f>SUM(AN351:AO351)</f>
        <v/>
      </c>
      <c r="AQ351" s="28" t="n"/>
      <c r="AR351" s="30" t="n"/>
      <c r="AS351" s="29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1" t="n"/>
      <c r="AU351" s="21" t="n"/>
      <c r="AV351" s="27">
        <f>SUM(AT351:AU351)</f>
        <v/>
      </c>
      <c r="AW351" s="28" t="n"/>
      <c r="AX351" s="30" t="n"/>
      <c r="AY351" s="29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1" t="n"/>
      <c r="BA351" s="21" t="n"/>
      <c r="BB351" s="27">
        <f>SUM(AZ351:BA351)</f>
        <v/>
      </c>
      <c r="BC351" s="28" t="n"/>
      <c r="BD351" s="28" t="n"/>
      <c r="BE351" s="29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1" t="n"/>
      <c r="BG351" s="21" t="n"/>
      <c r="BH351" s="27">
        <f>SUM(BF351:BG351)</f>
        <v/>
      </c>
      <c r="BI351" s="28" t="n"/>
      <c r="BJ351" s="28" t="n"/>
      <c r="BK351" s="29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1" t="n"/>
      <c r="BM351" s="21" t="n"/>
      <c r="BN351" s="27">
        <f>SUM(BL351:BM351)</f>
        <v/>
      </c>
      <c r="BO351" s="28" t="n"/>
      <c r="BP351" s="31" t="n"/>
      <c r="BQ351" s="29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1" t="n"/>
      <c r="BS351" s="21" t="n"/>
      <c r="BT351" s="27">
        <f>SUM(BR351:BS351)</f>
        <v/>
      </c>
      <c r="BU351" s="28" t="n"/>
      <c r="BV351" s="31" t="n"/>
      <c r="BW351" s="29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1" t="n"/>
      <c r="BY351" s="21" t="n"/>
      <c r="BZ351" s="27">
        <f>SUM(BX351:BY351)</f>
        <v/>
      </c>
      <c r="CA351" s="28" t="n"/>
      <c r="CB351" s="31" t="n"/>
      <c r="CC351" s="29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1" t="n"/>
      <c r="CE351" s="21" t="n"/>
      <c r="CF351" s="27">
        <f>SUM(CD351:CE351)</f>
        <v/>
      </c>
      <c r="CG351" s="28" t="n"/>
      <c r="CH351" s="31" t="n"/>
      <c r="CI351" s="29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1" t="n"/>
      <c r="CK351" s="21" t="n"/>
      <c r="CL351" s="27">
        <f>SUM(CJ351:CK351)</f>
        <v/>
      </c>
      <c r="CM351" s="28" t="n"/>
      <c r="CN351" s="31" t="n"/>
      <c r="CO351" s="29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1" t="n"/>
      <c r="CQ351" s="21" t="n"/>
      <c r="CR351" s="27">
        <f>SUM(CP351:CQ351)</f>
        <v/>
      </c>
      <c r="CS351" s="28" t="n"/>
      <c r="CT351" s="31" t="n"/>
      <c r="CU351" s="29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1" t="n"/>
      <c r="CW351" s="21" t="n"/>
      <c r="CX351" s="27">
        <f>SUM(CV351:CW351)</f>
        <v/>
      </c>
      <c r="CY351" s="28" t="n"/>
      <c r="CZ351" s="31" t="n"/>
      <c r="DA351" s="29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1" t="n"/>
      <c r="DC351" s="21" t="n"/>
      <c r="DD351" s="27">
        <f>SUM(DB351:DC351)</f>
        <v/>
      </c>
      <c r="DE351" s="28" t="n"/>
      <c r="DF351" s="31" t="n"/>
      <c r="DG351" s="29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34">
        <f>SUM(O351,U351,AA351,AG351,AM351,AS351,AY351,BE351,BK351,BQ351,BW351,CC351,CI351,CO351,CU351,DA351,DG351)</f>
        <v/>
      </c>
      <c r="DI351" s="39">
        <f>RANK(DH351,DH$4:DH$503)</f>
        <v/>
      </c>
      <c r="DJ351" s="40" t="inlineStr">
        <is>
          <t>CHOOSE RATING</t>
        </is>
      </c>
      <c r="DK351" s="40" t="inlineStr">
        <is>
          <t>CHOOSE RATING</t>
        </is>
      </c>
      <c r="DL351" s="40" t="inlineStr">
        <is>
          <t>CHOOSE RATING</t>
        </is>
      </c>
      <c r="DM351" s="40" t="inlineStr">
        <is>
          <t>CHOOSE RATING</t>
        </is>
      </c>
      <c r="DN351" s="40" t="inlineStr">
        <is>
          <t>CHOOSE RATING</t>
        </is>
      </c>
      <c r="DO351" s="40" t="inlineStr">
        <is>
          <t>CHOOSE RATING</t>
        </is>
      </c>
      <c r="DP351" s="40" t="inlineStr">
        <is>
          <t>CHOOSE RATING</t>
        </is>
      </c>
      <c r="DQ351" s="40" t="inlineStr">
        <is>
          <t>CHOOSE RATING</t>
        </is>
      </c>
      <c r="DR351" s="43" t="inlineStr">
        <is>
          <t>2024/2025</t>
        </is>
      </c>
      <c r="DS351" s="45" t="inlineStr">
        <is>
          <t>THIRD</t>
        </is>
      </c>
      <c r="DT351" s="40" t="inlineStr">
        <is>
          <t>CHOOSE RATING</t>
        </is>
      </c>
      <c r="DU351" s="40" t="inlineStr">
        <is>
          <t>CHOOSE RATING</t>
        </is>
      </c>
      <c r="DV351" s="40" t="inlineStr">
        <is>
          <t>CHOOSE RATING</t>
        </is>
      </c>
      <c r="DW351" s="40" t="inlineStr">
        <is>
          <t>CHOOSE RATING</t>
        </is>
      </c>
      <c r="DX351" s="40" t="inlineStr">
        <is>
          <t>CHOOSE RATING</t>
        </is>
      </c>
      <c r="DY351" s="40" t="inlineStr">
        <is>
          <t>CHOOSE RATING</t>
        </is>
      </c>
      <c r="DZ351" s="53" t="inlineStr">
        <is>
          <t>CHOOSE RATING</t>
        </is>
      </c>
      <c r="EA351" s="54" t="inlineStr">
        <is>
          <t>Add the Tutor's Comment . . .</t>
        </is>
      </c>
      <c r="EB351" s="55" t="inlineStr">
        <is>
          <t>Choose Principals comment</t>
        </is>
      </c>
      <c r="EC351" s="56" t="n"/>
      <c r="ED351" s="57" t="inlineStr">
        <is>
          <t>Next Term Begins on Monday, 22nd September, 2025</t>
        </is>
      </c>
    </row>
    <row r="352" ht="30.6" customHeight="1" s="6">
      <c r="A352" s="18" t="n">
        <v>349</v>
      </c>
      <c r="B352" s="19" t="n"/>
      <c r="C352" s="20" t="n"/>
      <c r="D352" s="128" t="n"/>
      <c r="E352" s="21" t="n"/>
      <c r="F352" s="22" t="n"/>
      <c r="G352" s="22" t="n"/>
      <c r="H352" s="22" t="n"/>
      <c r="I352" s="26">
        <f>G352-H352</f>
        <v/>
      </c>
      <c r="J352" s="21" t="n"/>
      <c r="K352" s="21" t="n"/>
      <c r="L352" s="27">
        <f>SUM(J352:K352)</f>
        <v/>
      </c>
      <c r="M352" s="28" t="n"/>
      <c r="N352" s="28" t="n"/>
      <c r="O352" s="29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1" t="n"/>
      <c r="Q352" s="21" t="n"/>
      <c r="R352" s="27">
        <f>SUM(P352:Q352)</f>
        <v/>
      </c>
      <c r="S352" s="28" t="n"/>
      <c r="T352" s="28" t="n"/>
      <c r="U352" s="29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1" t="n"/>
      <c r="W352" s="21" t="n"/>
      <c r="X352" s="27">
        <f>SUM(V352:W352)</f>
        <v/>
      </c>
      <c r="Y352" s="28" t="n"/>
      <c r="Z352" s="28" t="n"/>
      <c r="AA352" s="29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1" t="n"/>
      <c r="AC352" s="21" t="n"/>
      <c r="AD352" s="27">
        <f>SUM(AB352:AC352)</f>
        <v/>
      </c>
      <c r="AE352" s="28" t="n"/>
      <c r="AF352" s="28" t="n"/>
      <c r="AG352" s="29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1" t="n"/>
      <c r="AI352" s="21" t="n"/>
      <c r="AJ352" s="27">
        <f>SUM(AH352:AI352)</f>
        <v/>
      </c>
      <c r="AK352" s="28" t="n"/>
      <c r="AL352" s="28" t="n"/>
      <c r="AM352" s="29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1" t="n"/>
      <c r="AO352" s="21" t="n"/>
      <c r="AP352" s="27">
        <f>SUM(AN352:AO352)</f>
        <v/>
      </c>
      <c r="AQ352" s="28" t="n"/>
      <c r="AR352" s="30" t="n"/>
      <c r="AS352" s="29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1" t="n"/>
      <c r="AU352" s="21" t="n"/>
      <c r="AV352" s="27">
        <f>SUM(AT352:AU352)</f>
        <v/>
      </c>
      <c r="AW352" s="28" t="n"/>
      <c r="AX352" s="30" t="n"/>
      <c r="AY352" s="29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1" t="n"/>
      <c r="BA352" s="21" t="n"/>
      <c r="BB352" s="27">
        <f>SUM(AZ352:BA352)</f>
        <v/>
      </c>
      <c r="BC352" s="28" t="n"/>
      <c r="BD352" s="28" t="n"/>
      <c r="BE352" s="29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1" t="n"/>
      <c r="BG352" s="21" t="n"/>
      <c r="BH352" s="27">
        <f>SUM(BF352:BG352)</f>
        <v/>
      </c>
      <c r="BI352" s="28" t="n"/>
      <c r="BJ352" s="28" t="n"/>
      <c r="BK352" s="29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1" t="n"/>
      <c r="BM352" s="21" t="n"/>
      <c r="BN352" s="27">
        <f>SUM(BL352:BM352)</f>
        <v/>
      </c>
      <c r="BO352" s="28" t="n"/>
      <c r="BP352" s="31" t="n"/>
      <c r="BQ352" s="29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1" t="n"/>
      <c r="BS352" s="21" t="n"/>
      <c r="BT352" s="27">
        <f>SUM(BR352:BS352)</f>
        <v/>
      </c>
      <c r="BU352" s="28" t="n"/>
      <c r="BV352" s="31" t="n"/>
      <c r="BW352" s="29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1" t="n"/>
      <c r="BY352" s="21" t="n"/>
      <c r="BZ352" s="27">
        <f>SUM(BX352:BY352)</f>
        <v/>
      </c>
      <c r="CA352" s="28" t="n"/>
      <c r="CB352" s="31" t="n"/>
      <c r="CC352" s="29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1" t="n"/>
      <c r="CE352" s="21" t="n"/>
      <c r="CF352" s="27">
        <f>SUM(CD352:CE352)</f>
        <v/>
      </c>
      <c r="CG352" s="28" t="n"/>
      <c r="CH352" s="31" t="n"/>
      <c r="CI352" s="29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1" t="n"/>
      <c r="CK352" s="21" t="n"/>
      <c r="CL352" s="27">
        <f>SUM(CJ352:CK352)</f>
        <v/>
      </c>
      <c r="CM352" s="28" t="n"/>
      <c r="CN352" s="31" t="n"/>
      <c r="CO352" s="29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1" t="n"/>
      <c r="CQ352" s="21" t="n"/>
      <c r="CR352" s="27">
        <f>SUM(CP352:CQ352)</f>
        <v/>
      </c>
      <c r="CS352" s="28" t="n"/>
      <c r="CT352" s="31" t="n"/>
      <c r="CU352" s="29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1" t="n"/>
      <c r="CW352" s="21" t="n"/>
      <c r="CX352" s="27">
        <f>SUM(CV352:CW352)</f>
        <v/>
      </c>
      <c r="CY352" s="28" t="n"/>
      <c r="CZ352" s="31" t="n"/>
      <c r="DA352" s="29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1" t="n"/>
      <c r="DC352" s="21" t="n"/>
      <c r="DD352" s="27">
        <f>SUM(DB352:DC352)</f>
        <v/>
      </c>
      <c r="DE352" s="28" t="n"/>
      <c r="DF352" s="31" t="n"/>
      <c r="DG352" s="29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34">
        <f>SUM(O352,U352,AA352,AG352,AM352,AS352,AY352,BE352,BK352,BQ352,BW352,CC352,CI352,CO352,CU352,DA352,DG352)</f>
        <v/>
      </c>
      <c r="DI352" s="39">
        <f>RANK(DH352,DH$4:DH$503)</f>
        <v/>
      </c>
      <c r="DJ352" s="40" t="inlineStr">
        <is>
          <t>CHOOSE RATING</t>
        </is>
      </c>
      <c r="DK352" s="40" t="inlineStr">
        <is>
          <t>CHOOSE RATING</t>
        </is>
      </c>
      <c r="DL352" s="40" t="inlineStr">
        <is>
          <t>CHOOSE RATING</t>
        </is>
      </c>
      <c r="DM352" s="40" t="inlineStr">
        <is>
          <t>CHOOSE RATING</t>
        </is>
      </c>
      <c r="DN352" s="40" t="inlineStr">
        <is>
          <t>CHOOSE RATING</t>
        </is>
      </c>
      <c r="DO352" s="40" t="inlineStr">
        <is>
          <t>CHOOSE RATING</t>
        </is>
      </c>
      <c r="DP352" s="40" t="inlineStr">
        <is>
          <t>CHOOSE RATING</t>
        </is>
      </c>
      <c r="DQ352" s="40" t="inlineStr">
        <is>
          <t>CHOOSE RATING</t>
        </is>
      </c>
      <c r="DR352" s="43" t="inlineStr">
        <is>
          <t>2024/2025</t>
        </is>
      </c>
      <c r="DS352" s="45" t="inlineStr">
        <is>
          <t>THIRD</t>
        </is>
      </c>
      <c r="DT352" s="40" t="inlineStr">
        <is>
          <t>CHOOSE RATING</t>
        </is>
      </c>
      <c r="DU352" s="40" t="inlineStr">
        <is>
          <t>CHOOSE RATING</t>
        </is>
      </c>
      <c r="DV352" s="40" t="inlineStr">
        <is>
          <t>CHOOSE RATING</t>
        </is>
      </c>
      <c r="DW352" s="40" t="inlineStr">
        <is>
          <t>CHOOSE RATING</t>
        </is>
      </c>
      <c r="DX352" s="40" t="inlineStr">
        <is>
          <t>CHOOSE RATING</t>
        </is>
      </c>
      <c r="DY352" s="40" t="inlineStr">
        <is>
          <t>CHOOSE RATING</t>
        </is>
      </c>
      <c r="DZ352" s="53" t="inlineStr">
        <is>
          <t>CHOOSE RATING</t>
        </is>
      </c>
      <c r="EA352" s="54" t="inlineStr">
        <is>
          <t>Add the Tutor's Comment . . .</t>
        </is>
      </c>
      <c r="EB352" s="55" t="inlineStr">
        <is>
          <t>Choose Principals comment</t>
        </is>
      </c>
      <c r="EC352" s="56" t="n"/>
      <c r="ED352" s="57" t="inlineStr">
        <is>
          <t>Next Term Begins on Monday, 22nd September, 2025</t>
        </is>
      </c>
    </row>
    <row r="353" ht="30.6" customHeight="1" s="6">
      <c r="A353" s="18" t="n">
        <v>350</v>
      </c>
      <c r="B353" s="19" t="n"/>
      <c r="C353" s="20" t="n"/>
      <c r="D353" s="128" t="n"/>
      <c r="E353" s="21" t="n"/>
      <c r="F353" s="22" t="n"/>
      <c r="G353" s="22" t="n"/>
      <c r="H353" s="22" t="n"/>
      <c r="I353" s="26">
        <f>G353-H353</f>
        <v/>
      </c>
      <c r="J353" s="21" t="n"/>
      <c r="K353" s="21" t="n"/>
      <c r="L353" s="27">
        <f>SUM(J353:K353)</f>
        <v/>
      </c>
      <c r="M353" s="28" t="n"/>
      <c r="N353" s="28" t="n"/>
      <c r="O353" s="29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1" t="n"/>
      <c r="Q353" s="21" t="n"/>
      <c r="R353" s="27">
        <f>SUM(P353:Q353)</f>
        <v/>
      </c>
      <c r="S353" s="28" t="n"/>
      <c r="T353" s="28" t="n"/>
      <c r="U353" s="29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1" t="n"/>
      <c r="W353" s="21" t="n"/>
      <c r="X353" s="27">
        <f>SUM(V353:W353)</f>
        <v/>
      </c>
      <c r="Y353" s="28" t="n"/>
      <c r="Z353" s="28" t="n"/>
      <c r="AA353" s="29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1" t="n"/>
      <c r="AC353" s="21" t="n"/>
      <c r="AD353" s="27">
        <f>SUM(AB353:AC353)</f>
        <v/>
      </c>
      <c r="AE353" s="28" t="n"/>
      <c r="AF353" s="28" t="n"/>
      <c r="AG353" s="29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1" t="n"/>
      <c r="AI353" s="21" t="n"/>
      <c r="AJ353" s="27">
        <f>SUM(AH353:AI353)</f>
        <v/>
      </c>
      <c r="AK353" s="28" t="n"/>
      <c r="AL353" s="28" t="n"/>
      <c r="AM353" s="29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1" t="n"/>
      <c r="AO353" s="21" t="n"/>
      <c r="AP353" s="27">
        <f>SUM(AN353:AO353)</f>
        <v/>
      </c>
      <c r="AQ353" s="28" t="n"/>
      <c r="AR353" s="30" t="n"/>
      <c r="AS353" s="29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1" t="n"/>
      <c r="AU353" s="21" t="n"/>
      <c r="AV353" s="27">
        <f>SUM(AT353:AU353)</f>
        <v/>
      </c>
      <c r="AW353" s="28" t="n"/>
      <c r="AX353" s="30" t="n"/>
      <c r="AY353" s="29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1" t="n"/>
      <c r="BA353" s="21" t="n"/>
      <c r="BB353" s="27">
        <f>SUM(AZ353:BA353)</f>
        <v/>
      </c>
      <c r="BC353" s="28" t="n"/>
      <c r="BD353" s="28" t="n"/>
      <c r="BE353" s="29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1" t="n"/>
      <c r="BG353" s="21" t="n"/>
      <c r="BH353" s="27">
        <f>SUM(BF353:BG353)</f>
        <v/>
      </c>
      <c r="BI353" s="28" t="n"/>
      <c r="BJ353" s="28" t="n"/>
      <c r="BK353" s="29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1" t="n"/>
      <c r="BM353" s="21" t="n"/>
      <c r="BN353" s="27">
        <f>SUM(BL353:BM353)</f>
        <v/>
      </c>
      <c r="BO353" s="28" t="n"/>
      <c r="BP353" s="31" t="n"/>
      <c r="BQ353" s="29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1" t="n"/>
      <c r="BS353" s="21" t="n"/>
      <c r="BT353" s="27">
        <f>SUM(BR353:BS353)</f>
        <v/>
      </c>
      <c r="BU353" s="28" t="n"/>
      <c r="BV353" s="31" t="n"/>
      <c r="BW353" s="29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1" t="n"/>
      <c r="BY353" s="21" t="n"/>
      <c r="BZ353" s="27">
        <f>SUM(BX353:BY353)</f>
        <v/>
      </c>
      <c r="CA353" s="28" t="n"/>
      <c r="CB353" s="31" t="n"/>
      <c r="CC353" s="29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1" t="n"/>
      <c r="CE353" s="21" t="n"/>
      <c r="CF353" s="27">
        <f>SUM(CD353:CE353)</f>
        <v/>
      </c>
      <c r="CG353" s="28" t="n"/>
      <c r="CH353" s="31" t="n"/>
      <c r="CI353" s="29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1" t="n"/>
      <c r="CK353" s="21" t="n"/>
      <c r="CL353" s="27">
        <f>SUM(CJ353:CK353)</f>
        <v/>
      </c>
      <c r="CM353" s="28" t="n"/>
      <c r="CN353" s="31" t="n"/>
      <c r="CO353" s="29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1" t="n"/>
      <c r="CQ353" s="21" t="n"/>
      <c r="CR353" s="27">
        <f>SUM(CP353:CQ353)</f>
        <v/>
      </c>
      <c r="CS353" s="28" t="n"/>
      <c r="CT353" s="31" t="n"/>
      <c r="CU353" s="29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1" t="n"/>
      <c r="CW353" s="21" t="n"/>
      <c r="CX353" s="27">
        <f>SUM(CV353:CW353)</f>
        <v/>
      </c>
      <c r="CY353" s="28" t="n"/>
      <c r="CZ353" s="31" t="n"/>
      <c r="DA353" s="29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1" t="n"/>
      <c r="DC353" s="21" t="n"/>
      <c r="DD353" s="27">
        <f>SUM(DB353:DC353)</f>
        <v/>
      </c>
      <c r="DE353" s="28" t="n"/>
      <c r="DF353" s="31" t="n"/>
      <c r="DG353" s="29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34">
        <f>SUM(O353,U353,AA353,AG353,AM353,AS353,AY353,BE353,BK353,BQ353,BW353,CC353,CI353,CO353,CU353,DA353,DG353)</f>
        <v/>
      </c>
      <c r="DI353" s="39">
        <f>RANK(DH353,DH$4:DH$503)</f>
        <v/>
      </c>
      <c r="DJ353" s="40" t="inlineStr">
        <is>
          <t>CHOOSE RATING</t>
        </is>
      </c>
      <c r="DK353" s="40" t="inlineStr">
        <is>
          <t>CHOOSE RATING</t>
        </is>
      </c>
      <c r="DL353" s="40" t="inlineStr">
        <is>
          <t>CHOOSE RATING</t>
        </is>
      </c>
      <c r="DM353" s="40" t="inlineStr">
        <is>
          <t>CHOOSE RATING</t>
        </is>
      </c>
      <c r="DN353" s="40" t="inlineStr">
        <is>
          <t>CHOOSE RATING</t>
        </is>
      </c>
      <c r="DO353" s="40" t="inlineStr">
        <is>
          <t>CHOOSE RATING</t>
        </is>
      </c>
      <c r="DP353" s="40" t="inlineStr">
        <is>
          <t>CHOOSE RATING</t>
        </is>
      </c>
      <c r="DQ353" s="40" t="inlineStr">
        <is>
          <t>CHOOSE RATING</t>
        </is>
      </c>
      <c r="DR353" s="43" t="inlineStr">
        <is>
          <t>2024/2025</t>
        </is>
      </c>
      <c r="DS353" s="45" t="inlineStr">
        <is>
          <t>THIRD</t>
        </is>
      </c>
      <c r="DT353" s="40" t="inlineStr">
        <is>
          <t>CHOOSE RATING</t>
        </is>
      </c>
      <c r="DU353" s="40" t="inlineStr">
        <is>
          <t>CHOOSE RATING</t>
        </is>
      </c>
      <c r="DV353" s="40" t="inlineStr">
        <is>
          <t>CHOOSE RATING</t>
        </is>
      </c>
      <c r="DW353" s="40" t="inlineStr">
        <is>
          <t>CHOOSE RATING</t>
        </is>
      </c>
      <c r="DX353" s="40" t="inlineStr">
        <is>
          <t>CHOOSE RATING</t>
        </is>
      </c>
      <c r="DY353" s="40" t="inlineStr">
        <is>
          <t>CHOOSE RATING</t>
        </is>
      </c>
      <c r="DZ353" s="53" t="inlineStr">
        <is>
          <t>CHOOSE RATING</t>
        </is>
      </c>
      <c r="EA353" s="54" t="inlineStr">
        <is>
          <t>Add the Tutor's Comment . . .</t>
        </is>
      </c>
      <c r="EB353" s="55" t="inlineStr">
        <is>
          <t>Choose Principals comment</t>
        </is>
      </c>
      <c r="EC353" s="56" t="n"/>
      <c r="ED353" s="57" t="inlineStr">
        <is>
          <t>Next Term Begins on Monday, 22nd September, 2025</t>
        </is>
      </c>
    </row>
    <row r="354" ht="30.6" customHeight="1" s="6">
      <c r="A354" s="18" t="n">
        <v>351</v>
      </c>
      <c r="B354" s="19" t="n"/>
      <c r="C354" s="20" t="n"/>
      <c r="D354" s="128" t="n"/>
      <c r="E354" s="21" t="n"/>
      <c r="F354" s="22" t="n"/>
      <c r="G354" s="22" t="n"/>
      <c r="H354" s="22" t="n"/>
      <c r="I354" s="26">
        <f>G354-H354</f>
        <v/>
      </c>
      <c r="J354" s="21" t="n"/>
      <c r="K354" s="21" t="n"/>
      <c r="L354" s="27">
        <f>SUM(J354:K354)</f>
        <v/>
      </c>
      <c r="M354" s="28" t="n"/>
      <c r="N354" s="28" t="n"/>
      <c r="O354" s="29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1" t="n"/>
      <c r="Q354" s="21" t="n"/>
      <c r="R354" s="27">
        <f>SUM(P354:Q354)</f>
        <v/>
      </c>
      <c r="S354" s="28" t="n"/>
      <c r="T354" s="28" t="n"/>
      <c r="U354" s="29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1" t="n"/>
      <c r="W354" s="21" t="n"/>
      <c r="X354" s="27">
        <f>SUM(V354:W354)</f>
        <v/>
      </c>
      <c r="Y354" s="28" t="n"/>
      <c r="Z354" s="28" t="n"/>
      <c r="AA354" s="29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1" t="n"/>
      <c r="AC354" s="21" t="n"/>
      <c r="AD354" s="27">
        <f>SUM(AB354:AC354)</f>
        <v/>
      </c>
      <c r="AE354" s="28" t="n"/>
      <c r="AF354" s="28" t="n"/>
      <c r="AG354" s="29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1" t="n"/>
      <c r="AI354" s="21" t="n"/>
      <c r="AJ354" s="27">
        <f>SUM(AH354:AI354)</f>
        <v/>
      </c>
      <c r="AK354" s="28" t="n"/>
      <c r="AL354" s="28" t="n"/>
      <c r="AM354" s="29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1" t="n"/>
      <c r="AO354" s="21" t="n"/>
      <c r="AP354" s="27">
        <f>SUM(AN354:AO354)</f>
        <v/>
      </c>
      <c r="AQ354" s="28" t="n"/>
      <c r="AR354" s="30" t="n"/>
      <c r="AS354" s="29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1" t="n"/>
      <c r="AU354" s="21" t="n"/>
      <c r="AV354" s="27">
        <f>SUM(AT354:AU354)</f>
        <v/>
      </c>
      <c r="AW354" s="28" t="n"/>
      <c r="AX354" s="30" t="n"/>
      <c r="AY354" s="29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1" t="n"/>
      <c r="BA354" s="21" t="n"/>
      <c r="BB354" s="27">
        <f>SUM(AZ354:BA354)</f>
        <v/>
      </c>
      <c r="BC354" s="28" t="n"/>
      <c r="BD354" s="28" t="n"/>
      <c r="BE354" s="29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1" t="n"/>
      <c r="BG354" s="21" t="n"/>
      <c r="BH354" s="27">
        <f>SUM(BF354:BG354)</f>
        <v/>
      </c>
      <c r="BI354" s="28" t="n"/>
      <c r="BJ354" s="28" t="n"/>
      <c r="BK354" s="29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1" t="n"/>
      <c r="BM354" s="21" t="n"/>
      <c r="BN354" s="27">
        <f>SUM(BL354:BM354)</f>
        <v/>
      </c>
      <c r="BO354" s="28" t="n"/>
      <c r="BP354" s="31" t="n"/>
      <c r="BQ354" s="29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1" t="n"/>
      <c r="BS354" s="21" t="n"/>
      <c r="BT354" s="27">
        <f>SUM(BR354:BS354)</f>
        <v/>
      </c>
      <c r="BU354" s="28" t="n"/>
      <c r="BV354" s="31" t="n"/>
      <c r="BW354" s="29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1" t="n"/>
      <c r="BY354" s="21" t="n"/>
      <c r="BZ354" s="27">
        <f>SUM(BX354:BY354)</f>
        <v/>
      </c>
      <c r="CA354" s="28" t="n"/>
      <c r="CB354" s="31" t="n"/>
      <c r="CC354" s="29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1" t="n"/>
      <c r="CE354" s="21" t="n"/>
      <c r="CF354" s="27">
        <f>SUM(CD354:CE354)</f>
        <v/>
      </c>
      <c r="CG354" s="28" t="n"/>
      <c r="CH354" s="31" t="n"/>
      <c r="CI354" s="29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1" t="n"/>
      <c r="CK354" s="21" t="n"/>
      <c r="CL354" s="27">
        <f>SUM(CJ354:CK354)</f>
        <v/>
      </c>
      <c r="CM354" s="28" t="n"/>
      <c r="CN354" s="31" t="n"/>
      <c r="CO354" s="29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1" t="n"/>
      <c r="CQ354" s="21" t="n"/>
      <c r="CR354" s="27">
        <f>SUM(CP354:CQ354)</f>
        <v/>
      </c>
      <c r="CS354" s="28" t="n"/>
      <c r="CT354" s="31" t="n"/>
      <c r="CU354" s="29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1" t="n"/>
      <c r="CW354" s="21" t="n"/>
      <c r="CX354" s="27">
        <f>SUM(CV354:CW354)</f>
        <v/>
      </c>
      <c r="CY354" s="28" t="n"/>
      <c r="CZ354" s="31" t="n"/>
      <c r="DA354" s="29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1" t="n"/>
      <c r="DC354" s="21" t="n"/>
      <c r="DD354" s="27">
        <f>SUM(DB354:DC354)</f>
        <v/>
      </c>
      <c r="DE354" s="28" t="n"/>
      <c r="DF354" s="31" t="n"/>
      <c r="DG354" s="29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34">
        <f>SUM(O354,U354,AA354,AG354,AM354,AS354,AY354,BE354,BK354,BQ354,BW354,CC354,CI354,CO354,CU354,DA354,DG354)</f>
        <v/>
      </c>
      <c r="DI354" s="39">
        <f>RANK(DH354,DH$4:DH$503)</f>
        <v/>
      </c>
      <c r="DJ354" s="40" t="inlineStr">
        <is>
          <t>CHOOSE RATING</t>
        </is>
      </c>
      <c r="DK354" s="40" t="inlineStr">
        <is>
          <t>CHOOSE RATING</t>
        </is>
      </c>
      <c r="DL354" s="40" t="inlineStr">
        <is>
          <t>CHOOSE RATING</t>
        </is>
      </c>
      <c r="DM354" s="40" t="inlineStr">
        <is>
          <t>CHOOSE RATING</t>
        </is>
      </c>
      <c r="DN354" s="40" t="inlineStr">
        <is>
          <t>CHOOSE RATING</t>
        </is>
      </c>
      <c r="DO354" s="40" t="inlineStr">
        <is>
          <t>CHOOSE RATING</t>
        </is>
      </c>
      <c r="DP354" s="40" t="inlineStr">
        <is>
          <t>CHOOSE RATING</t>
        </is>
      </c>
      <c r="DQ354" s="40" t="inlineStr">
        <is>
          <t>CHOOSE RATING</t>
        </is>
      </c>
      <c r="DR354" s="43" t="inlineStr">
        <is>
          <t>2024/2025</t>
        </is>
      </c>
      <c r="DS354" s="45" t="inlineStr">
        <is>
          <t>THIRD</t>
        </is>
      </c>
      <c r="DT354" s="40" t="inlineStr">
        <is>
          <t>CHOOSE RATING</t>
        </is>
      </c>
      <c r="DU354" s="40" t="inlineStr">
        <is>
          <t>CHOOSE RATING</t>
        </is>
      </c>
      <c r="DV354" s="40" t="inlineStr">
        <is>
          <t>CHOOSE RATING</t>
        </is>
      </c>
      <c r="DW354" s="40" t="inlineStr">
        <is>
          <t>CHOOSE RATING</t>
        </is>
      </c>
      <c r="DX354" s="40" t="inlineStr">
        <is>
          <t>CHOOSE RATING</t>
        </is>
      </c>
      <c r="DY354" s="40" t="inlineStr">
        <is>
          <t>CHOOSE RATING</t>
        </is>
      </c>
      <c r="DZ354" s="53" t="inlineStr">
        <is>
          <t>CHOOSE RATING</t>
        </is>
      </c>
      <c r="EA354" s="54" t="inlineStr">
        <is>
          <t>Add the Tutor's Comment . . .</t>
        </is>
      </c>
      <c r="EB354" s="55" t="inlineStr">
        <is>
          <t>Choose Principals comment</t>
        </is>
      </c>
      <c r="EC354" s="56" t="n"/>
      <c r="ED354" s="57" t="inlineStr">
        <is>
          <t>Next Term Begins on Monday, 22nd September, 2025</t>
        </is>
      </c>
    </row>
    <row r="355" ht="30.6" customHeight="1" s="6">
      <c r="A355" s="18" t="n">
        <v>352</v>
      </c>
      <c r="B355" s="19" t="n"/>
      <c r="C355" s="20" t="n"/>
      <c r="D355" s="128" t="n"/>
      <c r="E355" s="21" t="n"/>
      <c r="F355" s="22" t="n"/>
      <c r="G355" s="22" t="n"/>
      <c r="H355" s="22" t="n"/>
      <c r="I355" s="26">
        <f>G355-H355</f>
        <v/>
      </c>
      <c r="J355" s="21" t="n"/>
      <c r="K355" s="21" t="n"/>
      <c r="L355" s="27">
        <f>SUM(J355:K355)</f>
        <v/>
      </c>
      <c r="M355" s="28" t="n"/>
      <c r="N355" s="28" t="n"/>
      <c r="O355" s="29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1" t="n"/>
      <c r="Q355" s="21" t="n"/>
      <c r="R355" s="27">
        <f>SUM(P355:Q355)</f>
        <v/>
      </c>
      <c r="S355" s="28" t="n"/>
      <c r="T355" s="28" t="n"/>
      <c r="U355" s="29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1" t="n"/>
      <c r="W355" s="21" t="n"/>
      <c r="X355" s="27">
        <f>SUM(V355:W355)</f>
        <v/>
      </c>
      <c r="Y355" s="28" t="n"/>
      <c r="Z355" s="28" t="n"/>
      <c r="AA355" s="29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1" t="n"/>
      <c r="AC355" s="21" t="n"/>
      <c r="AD355" s="27">
        <f>SUM(AB355:AC355)</f>
        <v/>
      </c>
      <c r="AE355" s="28" t="n"/>
      <c r="AF355" s="28" t="n"/>
      <c r="AG355" s="29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1" t="n"/>
      <c r="AI355" s="21" t="n"/>
      <c r="AJ355" s="27">
        <f>SUM(AH355:AI355)</f>
        <v/>
      </c>
      <c r="AK355" s="28" t="n"/>
      <c r="AL355" s="28" t="n"/>
      <c r="AM355" s="29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1" t="n"/>
      <c r="AO355" s="21" t="n"/>
      <c r="AP355" s="27">
        <f>SUM(AN355:AO355)</f>
        <v/>
      </c>
      <c r="AQ355" s="28" t="n"/>
      <c r="AR355" s="30" t="n"/>
      <c r="AS355" s="29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1" t="n"/>
      <c r="AU355" s="21" t="n"/>
      <c r="AV355" s="27">
        <f>SUM(AT355:AU355)</f>
        <v/>
      </c>
      <c r="AW355" s="28" t="n"/>
      <c r="AX355" s="30" t="n"/>
      <c r="AY355" s="29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1" t="n"/>
      <c r="BA355" s="21" t="n"/>
      <c r="BB355" s="27">
        <f>SUM(AZ355:BA355)</f>
        <v/>
      </c>
      <c r="BC355" s="28" t="n"/>
      <c r="BD355" s="28" t="n"/>
      <c r="BE355" s="29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1" t="n"/>
      <c r="BG355" s="21" t="n"/>
      <c r="BH355" s="27">
        <f>SUM(BF355:BG355)</f>
        <v/>
      </c>
      <c r="BI355" s="28" t="n"/>
      <c r="BJ355" s="28" t="n"/>
      <c r="BK355" s="29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1" t="n"/>
      <c r="BM355" s="21" t="n"/>
      <c r="BN355" s="27">
        <f>SUM(BL355:BM355)</f>
        <v/>
      </c>
      <c r="BO355" s="28" t="n"/>
      <c r="BP355" s="31" t="n"/>
      <c r="BQ355" s="29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1" t="n"/>
      <c r="BS355" s="21" t="n"/>
      <c r="BT355" s="27">
        <f>SUM(BR355:BS355)</f>
        <v/>
      </c>
      <c r="BU355" s="28" t="n"/>
      <c r="BV355" s="31" t="n"/>
      <c r="BW355" s="29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1" t="n"/>
      <c r="BY355" s="21" t="n"/>
      <c r="BZ355" s="27">
        <f>SUM(BX355:BY355)</f>
        <v/>
      </c>
      <c r="CA355" s="28" t="n"/>
      <c r="CB355" s="31" t="n"/>
      <c r="CC355" s="29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1" t="n"/>
      <c r="CE355" s="21" t="n"/>
      <c r="CF355" s="27">
        <f>SUM(CD355:CE355)</f>
        <v/>
      </c>
      <c r="CG355" s="28" t="n"/>
      <c r="CH355" s="31" t="n"/>
      <c r="CI355" s="29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1" t="n"/>
      <c r="CK355" s="21" t="n"/>
      <c r="CL355" s="27">
        <f>SUM(CJ355:CK355)</f>
        <v/>
      </c>
      <c r="CM355" s="28" t="n"/>
      <c r="CN355" s="31" t="n"/>
      <c r="CO355" s="29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1" t="n"/>
      <c r="CQ355" s="21" t="n"/>
      <c r="CR355" s="27">
        <f>SUM(CP355:CQ355)</f>
        <v/>
      </c>
      <c r="CS355" s="28" t="n"/>
      <c r="CT355" s="31" t="n"/>
      <c r="CU355" s="29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1" t="n"/>
      <c r="CW355" s="21" t="n"/>
      <c r="CX355" s="27">
        <f>SUM(CV355:CW355)</f>
        <v/>
      </c>
      <c r="CY355" s="28" t="n"/>
      <c r="CZ355" s="31" t="n"/>
      <c r="DA355" s="29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1" t="n"/>
      <c r="DC355" s="21" t="n"/>
      <c r="DD355" s="27">
        <f>SUM(DB355:DC355)</f>
        <v/>
      </c>
      <c r="DE355" s="28" t="n"/>
      <c r="DF355" s="31" t="n"/>
      <c r="DG355" s="29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34">
        <f>SUM(O355,U355,AA355,AG355,AM355,AS355,AY355,BE355,BK355,BQ355,BW355,CC355,CI355,CO355,CU355,DA355,DG355)</f>
        <v/>
      </c>
      <c r="DI355" s="39">
        <f>RANK(DH355,DH$4:DH$503)</f>
        <v/>
      </c>
      <c r="DJ355" s="40" t="inlineStr">
        <is>
          <t>CHOOSE RATING</t>
        </is>
      </c>
      <c r="DK355" s="40" t="inlineStr">
        <is>
          <t>CHOOSE RATING</t>
        </is>
      </c>
      <c r="DL355" s="40" t="inlineStr">
        <is>
          <t>CHOOSE RATING</t>
        </is>
      </c>
      <c r="DM355" s="40" t="inlineStr">
        <is>
          <t>CHOOSE RATING</t>
        </is>
      </c>
      <c r="DN355" s="40" t="inlineStr">
        <is>
          <t>CHOOSE RATING</t>
        </is>
      </c>
      <c r="DO355" s="40" t="inlineStr">
        <is>
          <t>CHOOSE RATING</t>
        </is>
      </c>
      <c r="DP355" s="40" t="inlineStr">
        <is>
          <t>CHOOSE RATING</t>
        </is>
      </c>
      <c r="DQ355" s="40" t="inlineStr">
        <is>
          <t>CHOOSE RATING</t>
        </is>
      </c>
      <c r="DR355" s="43" t="inlineStr">
        <is>
          <t>2024/2025</t>
        </is>
      </c>
      <c r="DS355" s="45" t="inlineStr">
        <is>
          <t>THIRD</t>
        </is>
      </c>
      <c r="DT355" s="40" t="inlineStr">
        <is>
          <t>CHOOSE RATING</t>
        </is>
      </c>
      <c r="DU355" s="40" t="inlineStr">
        <is>
          <t>CHOOSE RATING</t>
        </is>
      </c>
      <c r="DV355" s="40" t="inlineStr">
        <is>
          <t>CHOOSE RATING</t>
        </is>
      </c>
      <c r="DW355" s="40" t="inlineStr">
        <is>
          <t>CHOOSE RATING</t>
        </is>
      </c>
      <c r="DX355" s="40" t="inlineStr">
        <is>
          <t>CHOOSE RATING</t>
        </is>
      </c>
      <c r="DY355" s="40" t="inlineStr">
        <is>
          <t>CHOOSE RATING</t>
        </is>
      </c>
      <c r="DZ355" s="53" t="inlineStr">
        <is>
          <t>CHOOSE RATING</t>
        </is>
      </c>
      <c r="EA355" s="54" t="inlineStr">
        <is>
          <t>Add the Tutor's Comment . . .</t>
        </is>
      </c>
      <c r="EB355" s="55" t="inlineStr">
        <is>
          <t>Choose Principals comment</t>
        </is>
      </c>
      <c r="EC355" s="56" t="n"/>
      <c r="ED355" s="57" t="inlineStr">
        <is>
          <t>Next Term Begins on Monday, 22nd September, 2025</t>
        </is>
      </c>
    </row>
    <row r="356" ht="30.6" customHeight="1" s="6">
      <c r="A356" s="18" t="n">
        <v>353</v>
      </c>
      <c r="B356" s="19" t="n"/>
      <c r="C356" s="20" t="n"/>
      <c r="D356" s="128" t="n"/>
      <c r="E356" s="21" t="n"/>
      <c r="F356" s="22" t="n"/>
      <c r="G356" s="22" t="n"/>
      <c r="H356" s="22" t="n"/>
      <c r="I356" s="26">
        <f>G356-H356</f>
        <v/>
      </c>
      <c r="J356" s="21" t="n"/>
      <c r="K356" s="21" t="n"/>
      <c r="L356" s="27">
        <f>SUM(J356:K356)</f>
        <v/>
      </c>
      <c r="M356" s="28" t="n"/>
      <c r="N356" s="28" t="n"/>
      <c r="O356" s="29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1" t="n"/>
      <c r="Q356" s="21" t="n"/>
      <c r="R356" s="27">
        <f>SUM(P356:Q356)</f>
        <v/>
      </c>
      <c r="S356" s="28" t="n"/>
      <c r="T356" s="28" t="n"/>
      <c r="U356" s="29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1" t="n"/>
      <c r="W356" s="21" t="n"/>
      <c r="X356" s="27">
        <f>SUM(V356:W356)</f>
        <v/>
      </c>
      <c r="Y356" s="28" t="n"/>
      <c r="Z356" s="28" t="n"/>
      <c r="AA356" s="29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1" t="n"/>
      <c r="AC356" s="21" t="n"/>
      <c r="AD356" s="27">
        <f>SUM(AB356:AC356)</f>
        <v/>
      </c>
      <c r="AE356" s="28" t="n"/>
      <c r="AF356" s="28" t="n"/>
      <c r="AG356" s="29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1" t="n"/>
      <c r="AI356" s="21" t="n"/>
      <c r="AJ356" s="27">
        <f>SUM(AH356:AI356)</f>
        <v/>
      </c>
      <c r="AK356" s="28" t="n"/>
      <c r="AL356" s="28" t="n"/>
      <c r="AM356" s="29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1" t="n"/>
      <c r="AO356" s="21" t="n"/>
      <c r="AP356" s="27">
        <f>SUM(AN356:AO356)</f>
        <v/>
      </c>
      <c r="AQ356" s="28" t="n"/>
      <c r="AR356" s="30" t="n"/>
      <c r="AS356" s="29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1" t="n"/>
      <c r="AU356" s="21" t="n"/>
      <c r="AV356" s="27">
        <f>SUM(AT356:AU356)</f>
        <v/>
      </c>
      <c r="AW356" s="28" t="n"/>
      <c r="AX356" s="30" t="n"/>
      <c r="AY356" s="29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1" t="n"/>
      <c r="BA356" s="21" t="n"/>
      <c r="BB356" s="27">
        <f>SUM(AZ356:BA356)</f>
        <v/>
      </c>
      <c r="BC356" s="28" t="n"/>
      <c r="BD356" s="28" t="n"/>
      <c r="BE356" s="29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1" t="n"/>
      <c r="BG356" s="21" t="n"/>
      <c r="BH356" s="27">
        <f>SUM(BF356:BG356)</f>
        <v/>
      </c>
      <c r="BI356" s="28" t="n"/>
      <c r="BJ356" s="28" t="n"/>
      <c r="BK356" s="29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1" t="n"/>
      <c r="BM356" s="21" t="n"/>
      <c r="BN356" s="27">
        <f>SUM(BL356:BM356)</f>
        <v/>
      </c>
      <c r="BO356" s="28" t="n"/>
      <c r="BP356" s="31" t="n"/>
      <c r="BQ356" s="29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1" t="n"/>
      <c r="BS356" s="21" t="n"/>
      <c r="BT356" s="27">
        <f>SUM(BR356:BS356)</f>
        <v/>
      </c>
      <c r="BU356" s="28" t="n"/>
      <c r="BV356" s="31" t="n"/>
      <c r="BW356" s="29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1" t="n"/>
      <c r="BY356" s="21" t="n"/>
      <c r="BZ356" s="27">
        <f>SUM(BX356:BY356)</f>
        <v/>
      </c>
      <c r="CA356" s="28" t="n"/>
      <c r="CB356" s="31" t="n"/>
      <c r="CC356" s="29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1" t="n"/>
      <c r="CE356" s="21" t="n"/>
      <c r="CF356" s="27">
        <f>SUM(CD356:CE356)</f>
        <v/>
      </c>
      <c r="CG356" s="28" t="n"/>
      <c r="CH356" s="31" t="n"/>
      <c r="CI356" s="29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1" t="n"/>
      <c r="CK356" s="21" t="n"/>
      <c r="CL356" s="27">
        <f>SUM(CJ356:CK356)</f>
        <v/>
      </c>
      <c r="CM356" s="28" t="n"/>
      <c r="CN356" s="31" t="n"/>
      <c r="CO356" s="29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1" t="n"/>
      <c r="CQ356" s="21" t="n"/>
      <c r="CR356" s="27">
        <f>SUM(CP356:CQ356)</f>
        <v/>
      </c>
      <c r="CS356" s="28" t="n"/>
      <c r="CT356" s="31" t="n"/>
      <c r="CU356" s="29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1" t="n"/>
      <c r="CW356" s="21" t="n"/>
      <c r="CX356" s="27">
        <f>SUM(CV356:CW356)</f>
        <v/>
      </c>
      <c r="CY356" s="28" t="n"/>
      <c r="CZ356" s="31" t="n"/>
      <c r="DA356" s="29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1" t="n"/>
      <c r="DC356" s="21" t="n"/>
      <c r="DD356" s="27">
        <f>SUM(DB356:DC356)</f>
        <v/>
      </c>
      <c r="DE356" s="28" t="n"/>
      <c r="DF356" s="31" t="n"/>
      <c r="DG356" s="29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34">
        <f>SUM(O356,U356,AA356,AG356,AM356,AS356,AY356,BE356,BK356,BQ356,BW356,CC356,CI356,CO356,CU356,DA356,DG356)</f>
        <v/>
      </c>
      <c r="DI356" s="39">
        <f>RANK(DH356,DH$4:DH$503)</f>
        <v/>
      </c>
      <c r="DJ356" s="40" t="inlineStr">
        <is>
          <t>CHOOSE RATING</t>
        </is>
      </c>
      <c r="DK356" s="40" t="inlineStr">
        <is>
          <t>CHOOSE RATING</t>
        </is>
      </c>
      <c r="DL356" s="40" t="inlineStr">
        <is>
          <t>CHOOSE RATING</t>
        </is>
      </c>
      <c r="DM356" s="40" t="inlineStr">
        <is>
          <t>CHOOSE RATING</t>
        </is>
      </c>
      <c r="DN356" s="40" t="inlineStr">
        <is>
          <t>CHOOSE RATING</t>
        </is>
      </c>
      <c r="DO356" s="40" t="inlineStr">
        <is>
          <t>CHOOSE RATING</t>
        </is>
      </c>
      <c r="DP356" s="40" t="inlineStr">
        <is>
          <t>CHOOSE RATING</t>
        </is>
      </c>
      <c r="DQ356" s="40" t="inlineStr">
        <is>
          <t>CHOOSE RATING</t>
        </is>
      </c>
      <c r="DR356" s="43" t="inlineStr">
        <is>
          <t>2024/2025</t>
        </is>
      </c>
      <c r="DS356" s="45" t="inlineStr">
        <is>
          <t>THIRD</t>
        </is>
      </c>
      <c r="DT356" s="40" t="inlineStr">
        <is>
          <t>CHOOSE RATING</t>
        </is>
      </c>
      <c r="DU356" s="40" t="inlineStr">
        <is>
          <t>CHOOSE RATING</t>
        </is>
      </c>
      <c r="DV356" s="40" t="inlineStr">
        <is>
          <t>CHOOSE RATING</t>
        </is>
      </c>
      <c r="DW356" s="40" t="inlineStr">
        <is>
          <t>CHOOSE RATING</t>
        </is>
      </c>
      <c r="DX356" s="40" t="inlineStr">
        <is>
          <t>CHOOSE RATING</t>
        </is>
      </c>
      <c r="DY356" s="40" t="inlineStr">
        <is>
          <t>CHOOSE RATING</t>
        </is>
      </c>
      <c r="DZ356" s="53" t="inlineStr">
        <is>
          <t>CHOOSE RATING</t>
        </is>
      </c>
      <c r="EA356" s="54" t="inlineStr">
        <is>
          <t>Add the Tutor's Comment . . .</t>
        </is>
      </c>
      <c r="EB356" s="55" t="inlineStr">
        <is>
          <t>Choose Principals comment</t>
        </is>
      </c>
      <c r="EC356" s="56" t="n"/>
      <c r="ED356" s="57" t="inlineStr">
        <is>
          <t>Next Term Begins on Monday, 22nd September, 2025</t>
        </is>
      </c>
    </row>
    <row r="357" ht="30.6" customHeight="1" s="6">
      <c r="A357" s="18" t="n">
        <v>354</v>
      </c>
      <c r="B357" s="19" t="n"/>
      <c r="C357" s="20" t="n"/>
      <c r="D357" s="128" t="n"/>
      <c r="E357" s="21" t="n"/>
      <c r="F357" s="22" t="n"/>
      <c r="G357" s="22" t="n"/>
      <c r="H357" s="22" t="n"/>
      <c r="I357" s="26">
        <f>G357-H357</f>
        <v/>
      </c>
      <c r="J357" s="21" t="n"/>
      <c r="K357" s="21" t="n"/>
      <c r="L357" s="27">
        <f>SUM(J357:K357)</f>
        <v/>
      </c>
      <c r="M357" s="28" t="n"/>
      <c r="N357" s="28" t="n"/>
      <c r="O357" s="29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1" t="n"/>
      <c r="Q357" s="21" t="n"/>
      <c r="R357" s="27">
        <f>SUM(P357:Q357)</f>
        <v/>
      </c>
      <c r="S357" s="28" t="n"/>
      <c r="T357" s="28" t="n"/>
      <c r="U357" s="29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1" t="n"/>
      <c r="W357" s="21" t="n"/>
      <c r="X357" s="27">
        <f>SUM(V357:W357)</f>
        <v/>
      </c>
      <c r="Y357" s="28" t="n"/>
      <c r="Z357" s="28" t="n"/>
      <c r="AA357" s="29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1" t="n"/>
      <c r="AC357" s="21" t="n"/>
      <c r="AD357" s="27">
        <f>SUM(AB357:AC357)</f>
        <v/>
      </c>
      <c r="AE357" s="28" t="n"/>
      <c r="AF357" s="28" t="n"/>
      <c r="AG357" s="29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1" t="n"/>
      <c r="AI357" s="21" t="n"/>
      <c r="AJ357" s="27">
        <f>SUM(AH357:AI357)</f>
        <v/>
      </c>
      <c r="AK357" s="28" t="n"/>
      <c r="AL357" s="28" t="n"/>
      <c r="AM357" s="29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1" t="n"/>
      <c r="AO357" s="21" t="n"/>
      <c r="AP357" s="27">
        <f>SUM(AN357:AO357)</f>
        <v/>
      </c>
      <c r="AQ357" s="28" t="n"/>
      <c r="AR357" s="30" t="n"/>
      <c r="AS357" s="29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1" t="n"/>
      <c r="AU357" s="21" t="n"/>
      <c r="AV357" s="27">
        <f>SUM(AT357:AU357)</f>
        <v/>
      </c>
      <c r="AW357" s="28" t="n"/>
      <c r="AX357" s="30" t="n"/>
      <c r="AY357" s="29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1" t="n"/>
      <c r="BA357" s="21" t="n"/>
      <c r="BB357" s="27">
        <f>SUM(AZ357:BA357)</f>
        <v/>
      </c>
      <c r="BC357" s="28" t="n"/>
      <c r="BD357" s="28" t="n"/>
      <c r="BE357" s="29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1" t="n"/>
      <c r="BG357" s="21" t="n"/>
      <c r="BH357" s="27">
        <f>SUM(BF357:BG357)</f>
        <v/>
      </c>
      <c r="BI357" s="28" t="n"/>
      <c r="BJ357" s="28" t="n"/>
      <c r="BK357" s="29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1" t="n"/>
      <c r="BM357" s="21" t="n"/>
      <c r="BN357" s="27">
        <f>SUM(BL357:BM357)</f>
        <v/>
      </c>
      <c r="BO357" s="28" t="n"/>
      <c r="BP357" s="31" t="n"/>
      <c r="BQ357" s="29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1" t="n"/>
      <c r="BS357" s="21" t="n"/>
      <c r="BT357" s="27">
        <f>SUM(BR357:BS357)</f>
        <v/>
      </c>
      <c r="BU357" s="28" t="n"/>
      <c r="BV357" s="31" t="n"/>
      <c r="BW357" s="29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1" t="n"/>
      <c r="BY357" s="21" t="n"/>
      <c r="BZ357" s="27">
        <f>SUM(BX357:BY357)</f>
        <v/>
      </c>
      <c r="CA357" s="28" t="n"/>
      <c r="CB357" s="31" t="n"/>
      <c r="CC357" s="29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1" t="n"/>
      <c r="CE357" s="21" t="n"/>
      <c r="CF357" s="27">
        <f>SUM(CD357:CE357)</f>
        <v/>
      </c>
      <c r="CG357" s="28" t="n"/>
      <c r="CH357" s="31" t="n"/>
      <c r="CI357" s="29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1" t="n"/>
      <c r="CK357" s="21" t="n"/>
      <c r="CL357" s="27">
        <f>SUM(CJ357:CK357)</f>
        <v/>
      </c>
      <c r="CM357" s="28" t="n"/>
      <c r="CN357" s="31" t="n"/>
      <c r="CO357" s="29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1" t="n"/>
      <c r="CQ357" s="21" t="n"/>
      <c r="CR357" s="27">
        <f>SUM(CP357:CQ357)</f>
        <v/>
      </c>
      <c r="CS357" s="28" t="n"/>
      <c r="CT357" s="31" t="n"/>
      <c r="CU357" s="29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1" t="n"/>
      <c r="CW357" s="21" t="n"/>
      <c r="CX357" s="27">
        <f>SUM(CV357:CW357)</f>
        <v/>
      </c>
      <c r="CY357" s="28" t="n"/>
      <c r="CZ357" s="31" t="n"/>
      <c r="DA357" s="29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1" t="n"/>
      <c r="DC357" s="21" t="n"/>
      <c r="DD357" s="27">
        <f>SUM(DB357:DC357)</f>
        <v/>
      </c>
      <c r="DE357" s="28" t="n"/>
      <c r="DF357" s="31" t="n"/>
      <c r="DG357" s="29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34">
        <f>SUM(O357,U357,AA357,AG357,AM357,AS357,AY357,BE357,BK357,BQ357,BW357,CC357,CI357,CO357,CU357,DA357,DG357)</f>
        <v/>
      </c>
      <c r="DI357" s="39">
        <f>RANK(DH357,DH$4:DH$503)</f>
        <v/>
      </c>
      <c r="DJ357" s="40" t="inlineStr">
        <is>
          <t>CHOOSE RATING</t>
        </is>
      </c>
      <c r="DK357" s="40" t="inlineStr">
        <is>
          <t>CHOOSE RATING</t>
        </is>
      </c>
      <c r="DL357" s="40" t="inlineStr">
        <is>
          <t>CHOOSE RATING</t>
        </is>
      </c>
      <c r="DM357" s="40" t="inlineStr">
        <is>
          <t>CHOOSE RATING</t>
        </is>
      </c>
      <c r="DN357" s="40" t="inlineStr">
        <is>
          <t>CHOOSE RATING</t>
        </is>
      </c>
      <c r="DO357" s="40" t="inlineStr">
        <is>
          <t>CHOOSE RATING</t>
        </is>
      </c>
      <c r="DP357" s="40" t="inlineStr">
        <is>
          <t>CHOOSE RATING</t>
        </is>
      </c>
      <c r="DQ357" s="40" t="inlineStr">
        <is>
          <t>CHOOSE RATING</t>
        </is>
      </c>
      <c r="DR357" s="43" t="inlineStr">
        <is>
          <t>2024/2025</t>
        </is>
      </c>
      <c r="DS357" s="45" t="inlineStr">
        <is>
          <t>THIRD</t>
        </is>
      </c>
      <c r="DT357" s="40" t="inlineStr">
        <is>
          <t>CHOOSE RATING</t>
        </is>
      </c>
      <c r="DU357" s="40" t="inlineStr">
        <is>
          <t>CHOOSE RATING</t>
        </is>
      </c>
      <c r="DV357" s="40" t="inlineStr">
        <is>
          <t>CHOOSE RATING</t>
        </is>
      </c>
      <c r="DW357" s="40" t="inlineStr">
        <is>
          <t>CHOOSE RATING</t>
        </is>
      </c>
      <c r="DX357" s="40" t="inlineStr">
        <is>
          <t>CHOOSE RATING</t>
        </is>
      </c>
      <c r="DY357" s="40" t="inlineStr">
        <is>
          <t>CHOOSE RATING</t>
        </is>
      </c>
      <c r="DZ357" s="53" t="inlineStr">
        <is>
          <t>CHOOSE RATING</t>
        </is>
      </c>
      <c r="EA357" s="54" t="inlineStr">
        <is>
          <t>Add the Tutor's Comment . . .</t>
        </is>
      </c>
      <c r="EB357" s="55" t="inlineStr">
        <is>
          <t>Choose Principals comment</t>
        </is>
      </c>
      <c r="EC357" s="56" t="n"/>
      <c r="ED357" s="57" t="inlineStr">
        <is>
          <t>Next Term Begins on Monday, 22nd September, 2025</t>
        </is>
      </c>
    </row>
    <row r="358" ht="30.6" customHeight="1" s="6">
      <c r="A358" s="18" t="n">
        <v>355</v>
      </c>
      <c r="B358" s="19" t="n"/>
      <c r="C358" s="20" t="n"/>
      <c r="D358" s="128" t="n"/>
      <c r="E358" s="21" t="n"/>
      <c r="F358" s="22" t="n"/>
      <c r="G358" s="22" t="n"/>
      <c r="H358" s="22" t="n"/>
      <c r="I358" s="26">
        <f>G358-H358</f>
        <v/>
      </c>
      <c r="J358" s="21" t="n"/>
      <c r="K358" s="21" t="n"/>
      <c r="L358" s="27">
        <f>SUM(J358:K358)</f>
        <v/>
      </c>
      <c r="M358" s="28" t="n"/>
      <c r="N358" s="28" t="n"/>
      <c r="O358" s="29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1" t="n"/>
      <c r="Q358" s="21" t="n"/>
      <c r="R358" s="27">
        <f>SUM(P358:Q358)</f>
        <v/>
      </c>
      <c r="S358" s="28" t="n"/>
      <c r="T358" s="28" t="n"/>
      <c r="U358" s="29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1" t="n"/>
      <c r="W358" s="21" t="n"/>
      <c r="X358" s="27">
        <f>SUM(V358:W358)</f>
        <v/>
      </c>
      <c r="Y358" s="28" t="n"/>
      <c r="Z358" s="28" t="n"/>
      <c r="AA358" s="29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1" t="n"/>
      <c r="AC358" s="21" t="n"/>
      <c r="AD358" s="27">
        <f>SUM(AB358:AC358)</f>
        <v/>
      </c>
      <c r="AE358" s="28" t="n"/>
      <c r="AF358" s="28" t="n"/>
      <c r="AG358" s="29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1" t="n"/>
      <c r="AI358" s="21" t="n"/>
      <c r="AJ358" s="27">
        <f>SUM(AH358:AI358)</f>
        <v/>
      </c>
      <c r="AK358" s="28" t="n"/>
      <c r="AL358" s="28" t="n"/>
      <c r="AM358" s="29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1" t="n"/>
      <c r="AO358" s="21" t="n"/>
      <c r="AP358" s="27">
        <f>SUM(AN358:AO358)</f>
        <v/>
      </c>
      <c r="AQ358" s="28" t="n"/>
      <c r="AR358" s="30" t="n"/>
      <c r="AS358" s="29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1" t="n"/>
      <c r="AU358" s="21" t="n"/>
      <c r="AV358" s="27">
        <f>SUM(AT358:AU358)</f>
        <v/>
      </c>
      <c r="AW358" s="28" t="n"/>
      <c r="AX358" s="30" t="n"/>
      <c r="AY358" s="29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1" t="n"/>
      <c r="BA358" s="21" t="n"/>
      <c r="BB358" s="27">
        <f>SUM(AZ358:BA358)</f>
        <v/>
      </c>
      <c r="BC358" s="28" t="n"/>
      <c r="BD358" s="28" t="n"/>
      <c r="BE358" s="29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1" t="n"/>
      <c r="BG358" s="21" t="n"/>
      <c r="BH358" s="27">
        <f>SUM(BF358:BG358)</f>
        <v/>
      </c>
      <c r="BI358" s="28" t="n"/>
      <c r="BJ358" s="28" t="n"/>
      <c r="BK358" s="29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1" t="n"/>
      <c r="BM358" s="21" t="n"/>
      <c r="BN358" s="27">
        <f>SUM(BL358:BM358)</f>
        <v/>
      </c>
      <c r="BO358" s="28" t="n"/>
      <c r="BP358" s="31" t="n"/>
      <c r="BQ358" s="29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1" t="n"/>
      <c r="BS358" s="21" t="n"/>
      <c r="BT358" s="27">
        <f>SUM(BR358:BS358)</f>
        <v/>
      </c>
      <c r="BU358" s="28" t="n"/>
      <c r="BV358" s="31" t="n"/>
      <c r="BW358" s="29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1" t="n"/>
      <c r="BY358" s="21" t="n"/>
      <c r="BZ358" s="27">
        <f>SUM(BX358:BY358)</f>
        <v/>
      </c>
      <c r="CA358" s="28" t="n"/>
      <c r="CB358" s="31" t="n"/>
      <c r="CC358" s="29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1" t="n"/>
      <c r="CE358" s="21" t="n"/>
      <c r="CF358" s="27">
        <f>SUM(CD358:CE358)</f>
        <v/>
      </c>
      <c r="CG358" s="28" t="n"/>
      <c r="CH358" s="31" t="n"/>
      <c r="CI358" s="29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1" t="n"/>
      <c r="CK358" s="21" t="n"/>
      <c r="CL358" s="27">
        <f>SUM(CJ358:CK358)</f>
        <v/>
      </c>
      <c r="CM358" s="28" t="n"/>
      <c r="CN358" s="31" t="n"/>
      <c r="CO358" s="29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1" t="n"/>
      <c r="CQ358" s="21" t="n"/>
      <c r="CR358" s="27">
        <f>SUM(CP358:CQ358)</f>
        <v/>
      </c>
      <c r="CS358" s="28" t="n"/>
      <c r="CT358" s="31" t="n"/>
      <c r="CU358" s="29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1" t="n"/>
      <c r="CW358" s="21" t="n"/>
      <c r="CX358" s="27">
        <f>SUM(CV358:CW358)</f>
        <v/>
      </c>
      <c r="CY358" s="28" t="n"/>
      <c r="CZ358" s="31" t="n"/>
      <c r="DA358" s="29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1" t="n"/>
      <c r="DC358" s="21" t="n"/>
      <c r="DD358" s="27">
        <f>SUM(DB358:DC358)</f>
        <v/>
      </c>
      <c r="DE358" s="28" t="n"/>
      <c r="DF358" s="31" t="n"/>
      <c r="DG358" s="29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34">
        <f>SUM(O358,U358,AA358,AG358,AM358,AS358,AY358,BE358,BK358,BQ358,BW358,CC358,CI358,CO358,CU358,DA358,DG358)</f>
        <v/>
      </c>
      <c r="DI358" s="39">
        <f>RANK(DH358,DH$4:DH$503)</f>
        <v/>
      </c>
      <c r="DJ358" s="40" t="inlineStr">
        <is>
          <t>CHOOSE RATING</t>
        </is>
      </c>
      <c r="DK358" s="40" t="inlineStr">
        <is>
          <t>CHOOSE RATING</t>
        </is>
      </c>
      <c r="DL358" s="40" t="inlineStr">
        <is>
          <t>CHOOSE RATING</t>
        </is>
      </c>
      <c r="DM358" s="40" t="inlineStr">
        <is>
          <t>CHOOSE RATING</t>
        </is>
      </c>
      <c r="DN358" s="40" t="inlineStr">
        <is>
          <t>CHOOSE RATING</t>
        </is>
      </c>
      <c r="DO358" s="40" t="inlineStr">
        <is>
          <t>CHOOSE RATING</t>
        </is>
      </c>
      <c r="DP358" s="40" t="inlineStr">
        <is>
          <t>CHOOSE RATING</t>
        </is>
      </c>
      <c r="DQ358" s="40" t="inlineStr">
        <is>
          <t>CHOOSE RATING</t>
        </is>
      </c>
      <c r="DR358" s="43" t="inlineStr">
        <is>
          <t>2024/2025</t>
        </is>
      </c>
      <c r="DS358" s="45" t="inlineStr">
        <is>
          <t>THIRD</t>
        </is>
      </c>
      <c r="DT358" s="40" t="inlineStr">
        <is>
          <t>CHOOSE RATING</t>
        </is>
      </c>
      <c r="DU358" s="40" t="inlineStr">
        <is>
          <t>CHOOSE RATING</t>
        </is>
      </c>
      <c r="DV358" s="40" t="inlineStr">
        <is>
          <t>CHOOSE RATING</t>
        </is>
      </c>
      <c r="DW358" s="40" t="inlineStr">
        <is>
          <t>CHOOSE RATING</t>
        </is>
      </c>
      <c r="DX358" s="40" t="inlineStr">
        <is>
          <t>CHOOSE RATING</t>
        </is>
      </c>
      <c r="DY358" s="40" t="inlineStr">
        <is>
          <t>CHOOSE RATING</t>
        </is>
      </c>
      <c r="DZ358" s="53" t="inlineStr">
        <is>
          <t>CHOOSE RATING</t>
        </is>
      </c>
      <c r="EA358" s="54" t="inlineStr">
        <is>
          <t>Add the Tutor's Comment . . .</t>
        </is>
      </c>
      <c r="EB358" s="55" t="inlineStr">
        <is>
          <t>Choose Principals comment</t>
        </is>
      </c>
      <c r="EC358" s="56" t="n"/>
      <c r="ED358" s="57" t="inlineStr">
        <is>
          <t>Next Term Begins on Monday, 22nd September, 2025</t>
        </is>
      </c>
    </row>
    <row r="359" ht="30.6" customHeight="1" s="6">
      <c r="A359" s="18" t="n">
        <v>356</v>
      </c>
      <c r="B359" s="19" t="n"/>
      <c r="C359" s="20" t="n"/>
      <c r="D359" s="128" t="n"/>
      <c r="E359" s="21" t="n"/>
      <c r="F359" s="22" t="n"/>
      <c r="G359" s="22" t="n"/>
      <c r="H359" s="22" t="n"/>
      <c r="I359" s="26">
        <f>G359-H359</f>
        <v/>
      </c>
      <c r="J359" s="21" t="n"/>
      <c r="K359" s="21" t="n"/>
      <c r="L359" s="27">
        <f>SUM(J359:K359)</f>
        <v/>
      </c>
      <c r="M359" s="28" t="n"/>
      <c r="N359" s="28" t="n"/>
      <c r="O359" s="29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1" t="n"/>
      <c r="Q359" s="21" t="n"/>
      <c r="R359" s="27">
        <f>SUM(P359:Q359)</f>
        <v/>
      </c>
      <c r="S359" s="28" t="n"/>
      <c r="T359" s="28" t="n"/>
      <c r="U359" s="29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1" t="n"/>
      <c r="W359" s="21" t="n"/>
      <c r="X359" s="27">
        <f>SUM(V359:W359)</f>
        <v/>
      </c>
      <c r="Y359" s="28" t="n"/>
      <c r="Z359" s="28" t="n"/>
      <c r="AA359" s="29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1" t="n"/>
      <c r="AC359" s="21" t="n"/>
      <c r="AD359" s="27">
        <f>SUM(AB359:AC359)</f>
        <v/>
      </c>
      <c r="AE359" s="28" t="n"/>
      <c r="AF359" s="28" t="n"/>
      <c r="AG359" s="29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1" t="n"/>
      <c r="AI359" s="21" t="n"/>
      <c r="AJ359" s="27">
        <f>SUM(AH359:AI359)</f>
        <v/>
      </c>
      <c r="AK359" s="28" t="n"/>
      <c r="AL359" s="28" t="n"/>
      <c r="AM359" s="29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1" t="n"/>
      <c r="AO359" s="21" t="n"/>
      <c r="AP359" s="27">
        <f>SUM(AN359:AO359)</f>
        <v/>
      </c>
      <c r="AQ359" s="28" t="n"/>
      <c r="AR359" s="30" t="n"/>
      <c r="AS359" s="29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1" t="n"/>
      <c r="AU359" s="21" t="n"/>
      <c r="AV359" s="27">
        <f>SUM(AT359:AU359)</f>
        <v/>
      </c>
      <c r="AW359" s="28" t="n"/>
      <c r="AX359" s="30" t="n"/>
      <c r="AY359" s="29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1" t="n"/>
      <c r="BA359" s="21" t="n"/>
      <c r="BB359" s="27">
        <f>SUM(AZ359:BA359)</f>
        <v/>
      </c>
      <c r="BC359" s="28" t="n"/>
      <c r="BD359" s="28" t="n"/>
      <c r="BE359" s="29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1" t="n"/>
      <c r="BG359" s="21" t="n"/>
      <c r="BH359" s="27">
        <f>SUM(BF359:BG359)</f>
        <v/>
      </c>
      <c r="BI359" s="28" t="n"/>
      <c r="BJ359" s="28" t="n"/>
      <c r="BK359" s="29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1" t="n"/>
      <c r="BM359" s="21" t="n"/>
      <c r="BN359" s="27">
        <f>SUM(BL359:BM359)</f>
        <v/>
      </c>
      <c r="BO359" s="28" t="n"/>
      <c r="BP359" s="31" t="n"/>
      <c r="BQ359" s="29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1" t="n"/>
      <c r="BS359" s="21" t="n"/>
      <c r="BT359" s="27">
        <f>SUM(BR359:BS359)</f>
        <v/>
      </c>
      <c r="BU359" s="28" t="n"/>
      <c r="BV359" s="31" t="n"/>
      <c r="BW359" s="29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1" t="n"/>
      <c r="BY359" s="21" t="n"/>
      <c r="BZ359" s="27">
        <f>SUM(BX359:BY359)</f>
        <v/>
      </c>
      <c r="CA359" s="28" t="n"/>
      <c r="CB359" s="31" t="n"/>
      <c r="CC359" s="29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1" t="n"/>
      <c r="CE359" s="21" t="n"/>
      <c r="CF359" s="27">
        <f>SUM(CD359:CE359)</f>
        <v/>
      </c>
      <c r="CG359" s="28" t="n"/>
      <c r="CH359" s="31" t="n"/>
      <c r="CI359" s="29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1" t="n"/>
      <c r="CK359" s="21" t="n"/>
      <c r="CL359" s="27">
        <f>SUM(CJ359:CK359)</f>
        <v/>
      </c>
      <c r="CM359" s="28" t="n"/>
      <c r="CN359" s="31" t="n"/>
      <c r="CO359" s="29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1" t="n"/>
      <c r="CQ359" s="21" t="n"/>
      <c r="CR359" s="27">
        <f>SUM(CP359:CQ359)</f>
        <v/>
      </c>
      <c r="CS359" s="28" t="n"/>
      <c r="CT359" s="31" t="n"/>
      <c r="CU359" s="29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1" t="n"/>
      <c r="CW359" s="21" t="n"/>
      <c r="CX359" s="27">
        <f>SUM(CV359:CW359)</f>
        <v/>
      </c>
      <c r="CY359" s="28" t="n"/>
      <c r="CZ359" s="31" t="n"/>
      <c r="DA359" s="29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1" t="n"/>
      <c r="DC359" s="21" t="n"/>
      <c r="DD359" s="27">
        <f>SUM(DB359:DC359)</f>
        <v/>
      </c>
      <c r="DE359" s="28" t="n"/>
      <c r="DF359" s="31" t="n"/>
      <c r="DG359" s="29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34">
        <f>SUM(O359,U359,AA359,AG359,AM359,AS359,AY359,BE359,BK359,BQ359,BW359,CC359,CI359,CO359,CU359,DA359,DG359)</f>
        <v/>
      </c>
      <c r="DI359" s="39">
        <f>RANK(DH359,DH$4:DH$503)</f>
        <v/>
      </c>
      <c r="DJ359" s="40" t="inlineStr">
        <is>
          <t>CHOOSE RATING</t>
        </is>
      </c>
      <c r="DK359" s="40" t="inlineStr">
        <is>
          <t>CHOOSE RATING</t>
        </is>
      </c>
      <c r="DL359" s="40" t="inlineStr">
        <is>
          <t>CHOOSE RATING</t>
        </is>
      </c>
      <c r="DM359" s="40" t="inlineStr">
        <is>
          <t>CHOOSE RATING</t>
        </is>
      </c>
      <c r="DN359" s="40" t="inlineStr">
        <is>
          <t>CHOOSE RATING</t>
        </is>
      </c>
      <c r="DO359" s="40" t="inlineStr">
        <is>
          <t>CHOOSE RATING</t>
        </is>
      </c>
      <c r="DP359" s="40" t="inlineStr">
        <is>
          <t>CHOOSE RATING</t>
        </is>
      </c>
      <c r="DQ359" s="40" t="inlineStr">
        <is>
          <t>CHOOSE RATING</t>
        </is>
      </c>
      <c r="DR359" s="43" t="inlineStr">
        <is>
          <t>2024/2025</t>
        </is>
      </c>
      <c r="DS359" s="45" t="inlineStr">
        <is>
          <t>THIRD</t>
        </is>
      </c>
      <c r="DT359" s="40" t="inlineStr">
        <is>
          <t>CHOOSE RATING</t>
        </is>
      </c>
      <c r="DU359" s="40" t="inlineStr">
        <is>
          <t>CHOOSE RATING</t>
        </is>
      </c>
      <c r="DV359" s="40" t="inlineStr">
        <is>
          <t>CHOOSE RATING</t>
        </is>
      </c>
      <c r="DW359" s="40" t="inlineStr">
        <is>
          <t>CHOOSE RATING</t>
        </is>
      </c>
      <c r="DX359" s="40" t="inlineStr">
        <is>
          <t>CHOOSE RATING</t>
        </is>
      </c>
      <c r="DY359" s="40" t="inlineStr">
        <is>
          <t>CHOOSE RATING</t>
        </is>
      </c>
      <c r="DZ359" s="53" t="inlineStr">
        <is>
          <t>CHOOSE RATING</t>
        </is>
      </c>
      <c r="EA359" s="54" t="inlineStr">
        <is>
          <t>Add the Tutor's Comment . . .</t>
        </is>
      </c>
      <c r="EB359" s="55" t="inlineStr">
        <is>
          <t>Choose Principals comment</t>
        </is>
      </c>
      <c r="EC359" s="56" t="n"/>
      <c r="ED359" s="57" t="inlineStr">
        <is>
          <t>Next Term Begins on Monday, 22nd September, 2025</t>
        </is>
      </c>
    </row>
    <row r="360" ht="30.6" customHeight="1" s="6">
      <c r="A360" s="18" t="n">
        <v>357</v>
      </c>
      <c r="B360" s="19" t="n"/>
      <c r="C360" s="20" t="n"/>
      <c r="D360" s="128" t="n"/>
      <c r="E360" s="21" t="n"/>
      <c r="F360" s="22" t="n"/>
      <c r="G360" s="22" t="n"/>
      <c r="H360" s="22" t="n"/>
      <c r="I360" s="26">
        <f>G360-H360</f>
        <v/>
      </c>
      <c r="J360" s="21" t="n"/>
      <c r="K360" s="21" t="n"/>
      <c r="L360" s="27">
        <f>SUM(J360:K360)</f>
        <v/>
      </c>
      <c r="M360" s="28" t="n"/>
      <c r="N360" s="28" t="n"/>
      <c r="O360" s="29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1" t="n"/>
      <c r="Q360" s="21" t="n"/>
      <c r="R360" s="27">
        <f>SUM(P360:Q360)</f>
        <v/>
      </c>
      <c r="S360" s="28" t="n"/>
      <c r="T360" s="28" t="n"/>
      <c r="U360" s="29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1" t="n"/>
      <c r="W360" s="21" t="n"/>
      <c r="X360" s="27">
        <f>SUM(V360:W360)</f>
        <v/>
      </c>
      <c r="Y360" s="28" t="n"/>
      <c r="Z360" s="28" t="n"/>
      <c r="AA360" s="29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1" t="n"/>
      <c r="AC360" s="21" t="n"/>
      <c r="AD360" s="27">
        <f>SUM(AB360:AC360)</f>
        <v/>
      </c>
      <c r="AE360" s="28" t="n"/>
      <c r="AF360" s="28" t="n"/>
      <c r="AG360" s="29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1" t="n"/>
      <c r="AI360" s="21" t="n"/>
      <c r="AJ360" s="27">
        <f>SUM(AH360:AI360)</f>
        <v/>
      </c>
      <c r="AK360" s="28" t="n"/>
      <c r="AL360" s="28" t="n"/>
      <c r="AM360" s="29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1" t="n"/>
      <c r="AO360" s="21" t="n"/>
      <c r="AP360" s="27">
        <f>SUM(AN360:AO360)</f>
        <v/>
      </c>
      <c r="AQ360" s="28" t="n"/>
      <c r="AR360" s="30" t="n"/>
      <c r="AS360" s="29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1" t="n"/>
      <c r="AU360" s="21" t="n"/>
      <c r="AV360" s="27">
        <f>SUM(AT360:AU360)</f>
        <v/>
      </c>
      <c r="AW360" s="28" t="n"/>
      <c r="AX360" s="30" t="n"/>
      <c r="AY360" s="29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1" t="n"/>
      <c r="BA360" s="21" t="n"/>
      <c r="BB360" s="27">
        <f>SUM(AZ360:BA360)</f>
        <v/>
      </c>
      <c r="BC360" s="28" t="n"/>
      <c r="BD360" s="28" t="n"/>
      <c r="BE360" s="29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1" t="n"/>
      <c r="BG360" s="21" t="n"/>
      <c r="BH360" s="27">
        <f>SUM(BF360:BG360)</f>
        <v/>
      </c>
      <c r="BI360" s="28" t="n"/>
      <c r="BJ360" s="28" t="n"/>
      <c r="BK360" s="29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1" t="n"/>
      <c r="BM360" s="21" t="n"/>
      <c r="BN360" s="27">
        <f>SUM(BL360:BM360)</f>
        <v/>
      </c>
      <c r="BO360" s="28" t="n"/>
      <c r="BP360" s="31" t="n"/>
      <c r="BQ360" s="29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1" t="n"/>
      <c r="BS360" s="21" t="n"/>
      <c r="BT360" s="27">
        <f>SUM(BR360:BS360)</f>
        <v/>
      </c>
      <c r="BU360" s="28" t="n"/>
      <c r="BV360" s="31" t="n"/>
      <c r="BW360" s="29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1" t="n"/>
      <c r="BY360" s="21" t="n"/>
      <c r="BZ360" s="27">
        <f>SUM(BX360:BY360)</f>
        <v/>
      </c>
      <c r="CA360" s="28" t="n"/>
      <c r="CB360" s="31" t="n"/>
      <c r="CC360" s="29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1" t="n"/>
      <c r="CE360" s="21" t="n"/>
      <c r="CF360" s="27">
        <f>SUM(CD360:CE360)</f>
        <v/>
      </c>
      <c r="CG360" s="28" t="n"/>
      <c r="CH360" s="31" t="n"/>
      <c r="CI360" s="29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1" t="n"/>
      <c r="CK360" s="21" t="n"/>
      <c r="CL360" s="27">
        <f>SUM(CJ360:CK360)</f>
        <v/>
      </c>
      <c r="CM360" s="28" t="n"/>
      <c r="CN360" s="31" t="n"/>
      <c r="CO360" s="29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1" t="n"/>
      <c r="CQ360" s="21" t="n"/>
      <c r="CR360" s="27">
        <f>SUM(CP360:CQ360)</f>
        <v/>
      </c>
      <c r="CS360" s="28" t="n"/>
      <c r="CT360" s="31" t="n"/>
      <c r="CU360" s="29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1" t="n"/>
      <c r="CW360" s="21" t="n"/>
      <c r="CX360" s="27">
        <f>SUM(CV360:CW360)</f>
        <v/>
      </c>
      <c r="CY360" s="28" t="n"/>
      <c r="CZ360" s="31" t="n"/>
      <c r="DA360" s="29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1" t="n"/>
      <c r="DC360" s="21" t="n"/>
      <c r="DD360" s="27">
        <f>SUM(DB360:DC360)</f>
        <v/>
      </c>
      <c r="DE360" s="28" t="n"/>
      <c r="DF360" s="31" t="n"/>
      <c r="DG360" s="29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34">
        <f>SUM(O360,U360,AA360,AG360,AM360,AS360,AY360,BE360,BK360,BQ360,BW360,CC360,CI360,CO360,CU360,DA360,DG360)</f>
        <v/>
      </c>
      <c r="DI360" s="39">
        <f>RANK(DH360,DH$4:DH$503)</f>
        <v/>
      </c>
      <c r="DJ360" s="40" t="inlineStr">
        <is>
          <t>CHOOSE RATING</t>
        </is>
      </c>
      <c r="DK360" s="40" t="inlineStr">
        <is>
          <t>CHOOSE RATING</t>
        </is>
      </c>
      <c r="DL360" s="40" t="inlineStr">
        <is>
          <t>CHOOSE RATING</t>
        </is>
      </c>
      <c r="DM360" s="40" t="inlineStr">
        <is>
          <t>CHOOSE RATING</t>
        </is>
      </c>
      <c r="DN360" s="40" t="inlineStr">
        <is>
          <t>CHOOSE RATING</t>
        </is>
      </c>
      <c r="DO360" s="40" t="inlineStr">
        <is>
          <t>CHOOSE RATING</t>
        </is>
      </c>
      <c r="DP360" s="40" t="inlineStr">
        <is>
          <t>CHOOSE RATING</t>
        </is>
      </c>
      <c r="DQ360" s="40" t="inlineStr">
        <is>
          <t>CHOOSE RATING</t>
        </is>
      </c>
      <c r="DR360" s="43" t="inlineStr">
        <is>
          <t>2024/2025</t>
        </is>
      </c>
      <c r="DS360" s="45" t="inlineStr">
        <is>
          <t>THIRD</t>
        </is>
      </c>
      <c r="DT360" s="40" t="inlineStr">
        <is>
          <t>CHOOSE RATING</t>
        </is>
      </c>
      <c r="DU360" s="40" t="inlineStr">
        <is>
          <t>CHOOSE RATING</t>
        </is>
      </c>
      <c r="DV360" s="40" t="inlineStr">
        <is>
          <t>CHOOSE RATING</t>
        </is>
      </c>
      <c r="DW360" s="40" t="inlineStr">
        <is>
          <t>CHOOSE RATING</t>
        </is>
      </c>
      <c r="DX360" s="40" t="inlineStr">
        <is>
          <t>CHOOSE RATING</t>
        </is>
      </c>
      <c r="DY360" s="40" t="inlineStr">
        <is>
          <t>CHOOSE RATING</t>
        </is>
      </c>
      <c r="DZ360" s="53" t="inlineStr">
        <is>
          <t>CHOOSE RATING</t>
        </is>
      </c>
      <c r="EA360" s="54" t="inlineStr">
        <is>
          <t>Add the Tutor's Comment . . .</t>
        </is>
      </c>
      <c r="EB360" s="55" t="inlineStr">
        <is>
          <t>Choose Principals comment</t>
        </is>
      </c>
      <c r="EC360" s="56" t="n"/>
      <c r="ED360" s="57" t="inlineStr">
        <is>
          <t>Next Term Begins on Monday, 22nd September, 2025</t>
        </is>
      </c>
    </row>
    <row r="361" ht="30.6" customHeight="1" s="6">
      <c r="A361" s="18" t="n">
        <v>358</v>
      </c>
      <c r="B361" s="19" t="n"/>
      <c r="C361" s="20" t="n"/>
      <c r="D361" s="128" t="n"/>
      <c r="E361" s="21" t="n"/>
      <c r="F361" s="22" t="n"/>
      <c r="G361" s="22" t="n"/>
      <c r="H361" s="22" t="n"/>
      <c r="I361" s="26">
        <f>G361-H361</f>
        <v/>
      </c>
      <c r="J361" s="21" t="n"/>
      <c r="K361" s="21" t="n"/>
      <c r="L361" s="27">
        <f>SUM(J361:K361)</f>
        <v/>
      </c>
      <c r="M361" s="28" t="n"/>
      <c r="N361" s="28" t="n"/>
      <c r="O361" s="29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1" t="n"/>
      <c r="Q361" s="21" t="n"/>
      <c r="R361" s="27">
        <f>SUM(P361:Q361)</f>
        <v/>
      </c>
      <c r="S361" s="28" t="n"/>
      <c r="T361" s="28" t="n"/>
      <c r="U361" s="29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1" t="n"/>
      <c r="W361" s="21" t="n"/>
      <c r="X361" s="27">
        <f>SUM(V361:W361)</f>
        <v/>
      </c>
      <c r="Y361" s="28" t="n"/>
      <c r="Z361" s="28" t="n"/>
      <c r="AA361" s="29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1" t="n"/>
      <c r="AC361" s="21" t="n"/>
      <c r="AD361" s="27">
        <f>SUM(AB361:AC361)</f>
        <v/>
      </c>
      <c r="AE361" s="28" t="n"/>
      <c r="AF361" s="28" t="n"/>
      <c r="AG361" s="29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1" t="n"/>
      <c r="AI361" s="21" t="n"/>
      <c r="AJ361" s="27">
        <f>SUM(AH361:AI361)</f>
        <v/>
      </c>
      <c r="AK361" s="28" t="n"/>
      <c r="AL361" s="28" t="n"/>
      <c r="AM361" s="29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1" t="n"/>
      <c r="AO361" s="21" t="n"/>
      <c r="AP361" s="27">
        <f>SUM(AN361:AO361)</f>
        <v/>
      </c>
      <c r="AQ361" s="28" t="n"/>
      <c r="AR361" s="30" t="n"/>
      <c r="AS361" s="29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1" t="n"/>
      <c r="AU361" s="21" t="n"/>
      <c r="AV361" s="27">
        <f>SUM(AT361:AU361)</f>
        <v/>
      </c>
      <c r="AW361" s="28" t="n"/>
      <c r="AX361" s="30" t="n"/>
      <c r="AY361" s="29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1" t="n"/>
      <c r="BA361" s="21" t="n"/>
      <c r="BB361" s="27">
        <f>SUM(AZ361:BA361)</f>
        <v/>
      </c>
      <c r="BC361" s="28" t="n"/>
      <c r="BD361" s="28" t="n"/>
      <c r="BE361" s="29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1" t="n"/>
      <c r="BG361" s="21" t="n"/>
      <c r="BH361" s="27">
        <f>SUM(BF361:BG361)</f>
        <v/>
      </c>
      <c r="BI361" s="28" t="n"/>
      <c r="BJ361" s="28" t="n"/>
      <c r="BK361" s="29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1" t="n"/>
      <c r="BM361" s="21" t="n"/>
      <c r="BN361" s="27">
        <f>SUM(BL361:BM361)</f>
        <v/>
      </c>
      <c r="BO361" s="28" t="n"/>
      <c r="BP361" s="31" t="n"/>
      <c r="BQ361" s="29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1" t="n"/>
      <c r="BS361" s="21" t="n"/>
      <c r="BT361" s="27">
        <f>SUM(BR361:BS361)</f>
        <v/>
      </c>
      <c r="BU361" s="28" t="n"/>
      <c r="BV361" s="31" t="n"/>
      <c r="BW361" s="29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1" t="n"/>
      <c r="BY361" s="21" t="n"/>
      <c r="BZ361" s="27">
        <f>SUM(BX361:BY361)</f>
        <v/>
      </c>
      <c r="CA361" s="28" t="n"/>
      <c r="CB361" s="31" t="n"/>
      <c r="CC361" s="29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1" t="n"/>
      <c r="CE361" s="21" t="n"/>
      <c r="CF361" s="27">
        <f>SUM(CD361:CE361)</f>
        <v/>
      </c>
      <c r="CG361" s="28" t="n"/>
      <c r="CH361" s="31" t="n"/>
      <c r="CI361" s="29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1" t="n"/>
      <c r="CK361" s="21" t="n"/>
      <c r="CL361" s="27">
        <f>SUM(CJ361:CK361)</f>
        <v/>
      </c>
      <c r="CM361" s="28" t="n"/>
      <c r="CN361" s="31" t="n"/>
      <c r="CO361" s="29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1" t="n"/>
      <c r="CQ361" s="21" t="n"/>
      <c r="CR361" s="27">
        <f>SUM(CP361:CQ361)</f>
        <v/>
      </c>
      <c r="CS361" s="28" t="n"/>
      <c r="CT361" s="31" t="n"/>
      <c r="CU361" s="29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1" t="n"/>
      <c r="CW361" s="21" t="n"/>
      <c r="CX361" s="27">
        <f>SUM(CV361:CW361)</f>
        <v/>
      </c>
      <c r="CY361" s="28" t="n"/>
      <c r="CZ361" s="31" t="n"/>
      <c r="DA361" s="29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1" t="n"/>
      <c r="DC361" s="21" t="n"/>
      <c r="DD361" s="27">
        <f>SUM(DB361:DC361)</f>
        <v/>
      </c>
      <c r="DE361" s="28" t="n"/>
      <c r="DF361" s="31" t="n"/>
      <c r="DG361" s="29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34">
        <f>SUM(O361,U361,AA361,AG361,AM361,AS361,AY361,BE361,BK361,BQ361,BW361,CC361,CI361,CO361,CU361,DA361,DG361)</f>
        <v/>
      </c>
      <c r="DI361" s="39">
        <f>RANK(DH361,DH$4:DH$503)</f>
        <v/>
      </c>
      <c r="DJ361" s="40" t="inlineStr">
        <is>
          <t>CHOOSE RATING</t>
        </is>
      </c>
      <c r="DK361" s="40" t="inlineStr">
        <is>
          <t>CHOOSE RATING</t>
        </is>
      </c>
      <c r="DL361" s="40" t="inlineStr">
        <is>
          <t>CHOOSE RATING</t>
        </is>
      </c>
      <c r="DM361" s="40" t="inlineStr">
        <is>
          <t>CHOOSE RATING</t>
        </is>
      </c>
      <c r="DN361" s="40" t="inlineStr">
        <is>
          <t>CHOOSE RATING</t>
        </is>
      </c>
      <c r="DO361" s="40" t="inlineStr">
        <is>
          <t>CHOOSE RATING</t>
        </is>
      </c>
      <c r="DP361" s="40" t="inlineStr">
        <is>
          <t>CHOOSE RATING</t>
        </is>
      </c>
      <c r="DQ361" s="40" t="inlineStr">
        <is>
          <t>CHOOSE RATING</t>
        </is>
      </c>
      <c r="DR361" s="43" t="inlineStr">
        <is>
          <t>2024/2025</t>
        </is>
      </c>
      <c r="DS361" s="45" t="inlineStr">
        <is>
          <t>THIRD</t>
        </is>
      </c>
      <c r="DT361" s="40" t="inlineStr">
        <is>
          <t>CHOOSE RATING</t>
        </is>
      </c>
      <c r="DU361" s="40" t="inlineStr">
        <is>
          <t>CHOOSE RATING</t>
        </is>
      </c>
      <c r="DV361" s="40" t="inlineStr">
        <is>
          <t>CHOOSE RATING</t>
        </is>
      </c>
      <c r="DW361" s="40" t="inlineStr">
        <is>
          <t>CHOOSE RATING</t>
        </is>
      </c>
      <c r="DX361" s="40" t="inlineStr">
        <is>
          <t>CHOOSE RATING</t>
        </is>
      </c>
      <c r="DY361" s="40" t="inlineStr">
        <is>
          <t>CHOOSE RATING</t>
        </is>
      </c>
      <c r="DZ361" s="53" t="inlineStr">
        <is>
          <t>CHOOSE RATING</t>
        </is>
      </c>
      <c r="EA361" s="54" t="inlineStr">
        <is>
          <t>Add the Tutor's Comment . . .</t>
        </is>
      </c>
      <c r="EB361" s="55" t="inlineStr">
        <is>
          <t>Choose Principals comment</t>
        </is>
      </c>
      <c r="EC361" s="56" t="n"/>
      <c r="ED361" s="57" t="inlineStr">
        <is>
          <t>Next Term Begins on Monday, 22nd September, 2025</t>
        </is>
      </c>
    </row>
    <row r="362" ht="30.6" customHeight="1" s="6">
      <c r="A362" s="18" t="n">
        <v>359</v>
      </c>
      <c r="B362" s="19" t="n"/>
      <c r="C362" s="20" t="n"/>
      <c r="D362" s="128" t="n"/>
      <c r="E362" s="21" t="n"/>
      <c r="F362" s="22" t="n"/>
      <c r="G362" s="22" t="n"/>
      <c r="H362" s="22" t="n"/>
      <c r="I362" s="26">
        <f>G362-H362</f>
        <v/>
      </c>
      <c r="J362" s="21" t="n"/>
      <c r="K362" s="21" t="n"/>
      <c r="L362" s="27">
        <f>SUM(J362:K362)</f>
        <v/>
      </c>
      <c r="M362" s="28" t="n"/>
      <c r="N362" s="28" t="n"/>
      <c r="O362" s="29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1" t="n"/>
      <c r="Q362" s="21" t="n"/>
      <c r="R362" s="27">
        <f>SUM(P362:Q362)</f>
        <v/>
      </c>
      <c r="S362" s="28" t="n"/>
      <c r="T362" s="28" t="n"/>
      <c r="U362" s="29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1" t="n"/>
      <c r="W362" s="21" t="n"/>
      <c r="X362" s="27">
        <f>SUM(V362:W362)</f>
        <v/>
      </c>
      <c r="Y362" s="28" t="n"/>
      <c r="Z362" s="28" t="n"/>
      <c r="AA362" s="29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1" t="n"/>
      <c r="AC362" s="21" t="n"/>
      <c r="AD362" s="27">
        <f>SUM(AB362:AC362)</f>
        <v/>
      </c>
      <c r="AE362" s="28" t="n"/>
      <c r="AF362" s="28" t="n"/>
      <c r="AG362" s="29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1" t="n"/>
      <c r="AI362" s="21" t="n"/>
      <c r="AJ362" s="27">
        <f>SUM(AH362:AI362)</f>
        <v/>
      </c>
      <c r="AK362" s="28" t="n"/>
      <c r="AL362" s="28" t="n"/>
      <c r="AM362" s="29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1" t="n"/>
      <c r="AO362" s="21" t="n"/>
      <c r="AP362" s="27">
        <f>SUM(AN362:AO362)</f>
        <v/>
      </c>
      <c r="AQ362" s="28" t="n"/>
      <c r="AR362" s="30" t="n"/>
      <c r="AS362" s="29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1" t="n"/>
      <c r="AU362" s="21" t="n"/>
      <c r="AV362" s="27">
        <f>SUM(AT362:AU362)</f>
        <v/>
      </c>
      <c r="AW362" s="28" t="n"/>
      <c r="AX362" s="30" t="n"/>
      <c r="AY362" s="29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1" t="n"/>
      <c r="BA362" s="21" t="n"/>
      <c r="BB362" s="27">
        <f>SUM(AZ362:BA362)</f>
        <v/>
      </c>
      <c r="BC362" s="28" t="n"/>
      <c r="BD362" s="28" t="n"/>
      <c r="BE362" s="29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1" t="n"/>
      <c r="BG362" s="21" t="n"/>
      <c r="BH362" s="27">
        <f>SUM(BF362:BG362)</f>
        <v/>
      </c>
      <c r="BI362" s="28" t="n"/>
      <c r="BJ362" s="28" t="n"/>
      <c r="BK362" s="29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1" t="n"/>
      <c r="BM362" s="21" t="n"/>
      <c r="BN362" s="27">
        <f>SUM(BL362:BM362)</f>
        <v/>
      </c>
      <c r="BO362" s="28" t="n"/>
      <c r="BP362" s="31" t="n"/>
      <c r="BQ362" s="29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1" t="n"/>
      <c r="BS362" s="21" t="n"/>
      <c r="BT362" s="27">
        <f>SUM(BR362:BS362)</f>
        <v/>
      </c>
      <c r="BU362" s="28" t="n"/>
      <c r="BV362" s="31" t="n"/>
      <c r="BW362" s="29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1" t="n"/>
      <c r="BY362" s="21" t="n"/>
      <c r="BZ362" s="27">
        <f>SUM(BX362:BY362)</f>
        <v/>
      </c>
      <c r="CA362" s="28" t="n"/>
      <c r="CB362" s="31" t="n"/>
      <c r="CC362" s="29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1" t="n"/>
      <c r="CE362" s="21" t="n"/>
      <c r="CF362" s="27">
        <f>SUM(CD362:CE362)</f>
        <v/>
      </c>
      <c r="CG362" s="28" t="n"/>
      <c r="CH362" s="31" t="n"/>
      <c r="CI362" s="29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1" t="n"/>
      <c r="CK362" s="21" t="n"/>
      <c r="CL362" s="27">
        <f>SUM(CJ362:CK362)</f>
        <v/>
      </c>
      <c r="CM362" s="28" t="n"/>
      <c r="CN362" s="31" t="n"/>
      <c r="CO362" s="29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1" t="n"/>
      <c r="CQ362" s="21" t="n"/>
      <c r="CR362" s="27">
        <f>SUM(CP362:CQ362)</f>
        <v/>
      </c>
      <c r="CS362" s="28" t="n"/>
      <c r="CT362" s="31" t="n"/>
      <c r="CU362" s="29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1" t="n"/>
      <c r="CW362" s="21" t="n"/>
      <c r="CX362" s="27">
        <f>SUM(CV362:CW362)</f>
        <v/>
      </c>
      <c r="CY362" s="28" t="n"/>
      <c r="CZ362" s="31" t="n"/>
      <c r="DA362" s="29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1" t="n"/>
      <c r="DC362" s="21" t="n"/>
      <c r="DD362" s="27">
        <f>SUM(DB362:DC362)</f>
        <v/>
      </c>
      <c r="DE362" s="28" t="n"/>
      <c r="DF362" s="31" t="n"/>
      <c r="DG362" s="29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34">
        <f>SUM(O362,U362,AA362,AG362,AM362,AS362,AY362,BE362,BK362,BQ362,BW362,CC362,CI362,CO362,CU362,DA362,DG362)</f>
        <v/>
      </c>
      <c r="DI362" s="39">
        <f>RANK(DH362,DH$4:DH$503)</f>
        <v/>
      </c>
      <c r="DJ362" s="40" t="inlineStr">
        <is>
          <t>CHOOSE RATING</t>
        </is>
      </c>
      <c r="DK362" s="40" t="inlineStr">
        <is>
          <t>CHOOSE RATING</t>
        </is>
      </c>
      <c r="DL362" s="40" t="inlineStr">
        <is>
          <t>CHOOSE RATING</t>
        </is>
      </c>
      <c r="DM362" s="40" t="inlineStr">
        <is>
          <t>CHOOSE RATING</t>
        </is>
      </c>
      <c r="DN362" s="40" t="inlineStr">
        <is>
          <t>CHOOSE RATING</t>
        </is>
      </c>
      <c r="DO362" s="40" t="inlineStr">
        <is>
          <t>CHOOSE RATING</t>
        </is>
      </c>
      <c r="DP362" s="40" t="inlineStr">
        <is>
          <t>CHOOSE RATING</t>
        </is>
      </c>
      <c r="DQ362" s="40" t="inlineStr">
        <is>
          <t>CHOOSE RATING</t>
        </is>
      </c>
      <c r="DR362" s="43" t="inlineStr">
        <is>
          <t>2024/2025</t>
        </is>
      </c>
      <c r="DS362" s="45" t="inlineStr">
        <is>
          <t>THIRD</t>
        </is>
      </c>
      <c r="DT362" s="40" t="inlineStr">
        <is>
          <t>CHOOSE RATING</t>
        </is>
      </c>
      <c r="DU362" s="40" t="inlineStr">
        <is>
          <t>CHOOSE RATING</t>
        </is>
      </c>
      <c r="DV362" s="40" t="inlineStr">
        <is>
          <t>CHOOSE RATING</t>
        </is>
      </c>
      <c r="DW362" s="40" t="inlineStr">
        <is>
          <t>CHOOSE RATING</t>
        </is>
      </c>
      <c r="DX362" s="40" t="inlineStr">
        <is>
          <t>CHOOSE RATING</t>
        </is>
      </c>
      <c r="DY362" s="40" t="inlineStr">
        <is>
          <t>CHOOSE RATING</t>
        </is>
      </c>
      <c r="DZ362" s="53" t="inlineStr">
        <is>
          <t>CHOOSE RATING</t>
        </is>
      </c>
      <c r="EA362" s="54" t="inlineStr">
        <is>
          <t>Add the Tutor's Comment . . .</t>
        </is>
      </c>
      <c r="EB362" s="55" t="inlineStr">
        <is>
          <t>Choose Principals comment</t>
        </is>
      </c>
      <c r="EC362" s="56" t="n"/>
      <c r="ED362" s="57" t="inlineStr">
        <is>
          <t>Next Term Begins on Monday, 22nd September, 2025</t>
        </is>
      </c>
    </row>
    <row r="363" ht="30.6" customHeight="1" s="6">
      <c r="A363" s="18" t="n">
        <v>360</v>
      </c>
      <c r="B363" s="19" t="n"/>
      <c r="C363" s="20" t="n"/>
      <c r="D363" s="128" t="n"/>
      <c r="E363" s="21" t="n"/>
      <c r="F363" s="22" t="n"/>
      <c r="G363" s="22" t="n"/>
      <c r="H363" s="22" t="n"/>
      <c r="I363" s="26">
        <f>G363-H363</f>
        <v/>
      </c>
      <c r="J363" s="21" t="n"/>
      <c r="K363" s="21" t="n"/>
      <c r="L363" s="27">
        <f>SUM(J363:K363)</f>
        <v/>
      </c>
      <c r="M363" s="28" t="n"/>
      <c r="N363" s="28" t="n"/>
      <c r="O363" s="29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1" t="n"/>
      <c r="Q363" s="21" t="n"/>
      <c r="R363" s="27">
        <f>SUM(P363:Q363)</f>
        <v/>
      </c>
      <c r="S363" s="28" t="n"/>
      <c r="T363" s="28" t="n"/>
      <c r="U363" s="29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1" t="n"/>
      <c r="W363" s="21" t="n"/>
      <c r="X363" s="27">
        <f>SUM(V363:W363)</f>
        <v/>
      </c>
      <c r="Y363" s="28" t="n"/>
      <c r="Z363" s="28" t="n"/>
      <c r="AA363" s="29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1" t="n"/>
      <c r="AC363" s="21" t="n"/>
      <c r="AD363" s="27">
        <f>SUM(AB363:AC363)</f>
        <v/>
      </c>
      <c r="AE363" s="28" t="n"/>
      <c r="AF363" s="28" t="n"/>
      <c r="AG363" s="29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1" t="n"/>
      <c r="AI363" s="21" t="n"/>
      <c r="AJ363" s="27">
        <f>SUM(AH363:AI363)</f>
        <v/>
      </c>
      <c r="AK363" s="28" t="n"/>
      <c r="AL363" s="28" t="n"/>
      <c r="AM363" s="29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1" t="n"/>
      <c r="AO363" s="21" t="n"/>
      <c r="AP363" s="27">
        <f>SUM(AN363:AO363)</f>
        <v/>
      </c>
      <c r="AQ363" s="28" t="n"/>
      <c r="AR363" s="30" t="n"/>
      <c r="AS363" s="29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1" t="n"/>
      <c r="AU363" s="21" t="n"/>
      <c r="AV363" s="27">
        <f>SUM(AT363:AU363)</f>
        <v/>
      </c>
      <c r="AW363" s="28" t="n"/>
      <c r="AX363" s="30" t="n"/>
      <c r="AY363" s="29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1" t="n"/>
      <c r="BA363" s="21" t="n"/>
      <c r="BB363" s="27">
        <f>SUM(AZ363:BA363)</f>
        <v/>
      </c>
      <c r="BC363" s="28" t="n"/>
      <c r="BD363" s="28" t="n"/>
      <c r="BE363" s="29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1" t="n"/>
      <c r="BG363" s="21" t="n"/>
      <c r="BH363" s="27">
        <f>SUM(BF363:BG363)</f>
        <v/>
      </c>
      <c r="BI363" s="28" t="n"/>
      <c r="BJ363" s="28" t="n"/>
      <c r="BK363" s="29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1" t="n"/>
      <c r="BM363" s="21" t="n"/>
      <c r="BN363" s="27">
        <f>SUM(BL363:BM363)</f>
        <v/>
      </c>
      <c r="BO363" s="28" t="n"/>
      <c r="BP363" s="31" t="n"/>
      <c r="BQ363" s="29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1" t="n"/>
      <c r="BS363" s="21" t="n"/>
      <c r="BT363" s="27">
        <f>SUM(BR363:BS363)</f>
        <v/>
      </c>
      <c r="BU363" s="28" t="n"/>
      <c r="BV363" s="31" t="n"/>
      <c r="BW363" s="29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1" t="n"/>
      <c r="BY363" s="21" t="n"/>
      <c r="BZ363" s="27">
        <f>SUM(BX363:BY363)</f>
        <v/>
      </c>
      <c r="CA363" s="28" t="n"/>
      <c r="CB363" s="31" t="n"/>
      <c r="CC363" s="29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1" t="n"/>
      <c r="CE363" s="21" t="n"/>
      <c r="CF363" s="27">
        <f>SUM(CD363:CE363)</f>
        <v/>
      </c>
      <c r="CG363" s="28" t="n"/>
      <c r="CH363" s="31" t="n"/>
      <c r="CI363" s="29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1" t="n"/>
      <c r="CK363" s="21" t="n"/>
      <c r="CL363" s="27">
        <f>SUM(CJ363:CK363)</f>
        <v/>
      </c>
      <c r="CM363" s="28" t="n"/>
      <c r="CN363" s="31" t="n"/>
      <c r="CO363" s="29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1" t="n"/>
      <c r="CQ363" s="21" t="n"/>
      <c r="CR363" s="27">
        <f>SUM(CP363:CQ363)</f>
        <v/>
      </c>
      <c r="CS363" s="28" t="n"/>
      <c r="CT363" s="31" t="n"/>
      <c r="CU363" s="29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1" t="n"/>
      <c r="CW363" s="21" t="n"/>
      <c r="CX363" s="27">
        <f>SUM(CV363:CW363)</f>
        <v/>
      </c>
      <c r="CY363" s="28" t="n"/>
      <c r="CZ363" s="31" t="n"/>
      <c r="DA363" s="29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1" t="n"/>
      <c r="DC363" s="21" t="n"/>
      <c r="DD363" s="27">
        <f>SUM(DB363:DC363)</f>
        <v/>
      </c>
      <c r="DE363" s="28" t="n"/>
      <c r="DF363" s="31" t="n"/>
      <c r="DG363" s="29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34">
        <f>SUM(O363,U363,AA363,AG363,AM363,AS363,AY363,BE363,BK363,BQ363,BW363,CC363,CI363,CO363,CU363,DA363,DG363)</f>
        <v/>
      </c>
      <c r="DI363" s="39">
        <f>RANK(DH363,DH$4:DH$503)</f>
        <v/>
      </c>
      <c r="DJ363" s="40" t="inlineStr">
        <is>
          <t>CHOOSE RATING</t>
        </is>
      </c>
      <c r="DK363" s="40" t="inlineStr">
        <is>
          <t>CHOOSE RATING</t>
        </is>
      </c>
      <c r="DL363" s="40" t="inlineStr">
        <is>
          <t>CHOOSE RATING</t>
        </is>
      </c>
      <c r="DM363" s="40" t="inlineStr">
        <is>
          <t>CHOOSE RATING</t>
        </is>
      </c>
      <c r="DN363" s="40" t="inlineStr">
        <is>
          <t>CHOOSE RATING</t>
        </is>
      </c>
      <c r="DO363" s="40" t="inlineStr">
        <is>
          <t>CHOOSE RATING</t>
        </is>
      </c>
      <c r="DP363" s="40" t="inlineStr">
        <is>
          <t>CHOOSE RATING</t>
        </is>
      </c>
      <c r="DQ363" s="40" t="inlineStr">
        <is>
          <t>CHOOSE RATING</t>
        </is>
      </c>
      <c r="DR363" s="43" t="inlineStr">
        <is>
          <t>2024/2025</t>
        </is>
      </c>
      <c r="DS363" s="45" t="inlineStr">
        <is>
          <t>THIRD</t>
        </is>
      </c>
      <c r="DT363" s="40" t="inlineStr">
        <is>
          <t>CHOOSE RATING</t>
        </is>
      </c>
      <c r="DU363" s="40" t="inlineStr">
        <is>
          <t>CHOOSE RATING</t>
        </is>
      </c>
      <c r="DV363" s="40" t="inlineStr">
        <is>
          <t>CHOOSE RATING</t>
        </is>
      </c>
      <c r="DW363" s="40" t="inlineStr">
        <is>
          <t>CHOOSE RATING</t>
        </is>
      </c>
      <c r="DX363" s="40" t="inlineStr">
        <is>
          <t>CHOOSE RATING</t>
        </is>
      </c>
      <c r="DY363" s="40" t="inlineStr">
        <is>
          <t>CHOOSE RATING</t>
        </is>
      </c>
      <c r="DZ363" s="53" t="inlineStr">
        <is>
          <t>CHOOSE RATING</t>
        </is>
      </c>
      <c r="EA363" s="54" t="inlineStr">
        <is>
          <t>Add the Tutor's Comment . . .</t>
        </is>
      </c>
      <c r="EB363" s="55" t="inlineStr">
        <is>
          <t>Choose Principals comment</t>
        </is>
      </c>
      <c r="EC363" s="56" t="n"/>
      <c r="ED363" s="57" t="inlineStr">
        <is>
          <t>Next Term Begins on Monday, 22nd September, 2025</t>
        </is>
      </c>
    </row>
    <row r="364" ht="30.6" customHeight="1" s="6">
      <c r="A364" s="18" t="n">
        <v>361</v>
      </c>
      <c r="B364" s="19" t="n"/>
      <c r="C364" s="20" t="n"/>
      <c r="D364" s="128" t="n"/>
      <c r="E364" s="21" t="n"/>
      <c r="F364" s="22" t="n"/>
      <c r="G364" s="22" t="n"/>
      <c r="H364" s="22" t="n"/>
      <c r="I364" s="26">
        <f>G364-H364</f>
        <v/>
      </c>
      <c r="J364" s="21" t="n"/>
      <c r="K364" s="21" t="n"/>
      <c r="L364" s="27">
        <f>SUM(J364:K364)</f>
        <v/>
      </c>
      <c r="M364" s="28" t="n"/>
      <c r="N364" s="28" t="n"/>
      <c r="O364" s="29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1" t="n"/>
      <c r="Q364" s="21" t="n"/>
      <c r="R364" s="27">
        <f>SUM(P364:Q364)</f>
        <v/>
      </c>
      <c r="S364" s="28" t="n"/>
      <c r="T364" s="28" t="n"/>
      <c r="U364" s="29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1" t="n"/>
      <c r="W364" s="21" t="n"/>
      <c r="X364" s="27">
        <f>SUM(V364:W364)</f>
        <v/>
      </c>
      <c r="Y364" s="28" t="n"/>
      <c r="Z364" s="28" t="n"/>
      <c r="AA364" s="29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1" t="n"/>
      <c r="AC364" s="21" t="n"/>
      <c r="AD364" s="27">
        <f>SUM(AB364:AC364)</f>
        <v/>
      </c>
      <c r="AE364" s="28" t="n"/>
      <c r="AF364" s="28" t="n"/>
      <c r="AG364" s="29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1" t="n"/>
      <c r="AI364" s="21" t="n"/>
      <c r="AJ364" s="27">
        <f>SUM(AH364:AI364)</f>
        <v/>
      </c>
      <c r="AK364" s="28" t="n"/>
      <c r="AL364" s="28" t="n"/>
      <c r="AM364" s="29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1" t="n"/>
      <c r="AO364" s="21" t="n"/>
      <c r="AP364" s="27">
        <f>SUM(AN364:AO364)</f>
        <v/>
      </c>
      <c r="AQ364" s="28" t="n"/>
      <c r="AR364" s="30" t="n"/>
      <c r="AS364" s="29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1" t="n"/>
      <c r="AU364" s="21" t="n"/>
      <c r="AV364" s="27">
        <f>SUM(AT364:AU364)</f>
        <v/>
      </c>
      <c r="AW364" s="28" t="n"/>
      <c r="AX364" s="30" t="n"/>
      <c r="AY364" s="29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1" t="n"/>
      <c r="BA364" s="21" t="n"/>
      <c r="BB364" s="27">
        <f>SUM(AZ364:BA364)</f>
        <v/>
      </c>
      <c r="BC364" s="28" t="n"/>
      <c r="BD364" s="28" t="n"/>
      <c r="BE364" s="29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1" t="n"/>
      <c r="BG364" s="21" t="n"/>
      <c r="BH364" s="27">
        <f>SUM(BF364:BG364)</f>
        <v/>
      </c>
      <c r="BI364" s="28" t="n"/>
      <c r="BJ364" s="28" t="n"/>
      <c r="BK364" s="29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1" t="n"/>
      <c r="BM364" s="21" t="n"/>
      <c r="BN364" s="27">
        <f>SUM(BL364:BM364)</f>
        <v/>
      </c>
      <c r="BO364" s="28" t="n"/>
      <c r="BP364" s="31" t="n"/>
      <c r="BQ364" s="29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1" t="n"/>
      <c r="BS364" s="21" t="n"/>
      <c r="BT364" s="27">
        <f>SUM(BR364:BS364)</f>
        <v/>
      </c>
      <c r="BU364" s="28" t="n"/>
      <c r="BV364" s="31" t="n"/>
      <c r="BW364" s="29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1" t="n"/>
      <c r="BY364" s="21" t="n"/>
      <c r="BZ364" s="27">
        <f>SUM(BX364:BY364)</f>
        <v/>
      </c>
      <c r="CA364" s="28" t="n"/>
      <c r="CB364" s="31" t="n"/>
      <c r="CC364" s="29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1" t="n"/>
      <c r="CE364" s="21" t="n"/>
      <c r="CF364" s="27">
        <f>SUM(CD364:CE364)</f>
        <v/>
      </c>
      <c r="CG364" s="28" t="n"/>
      <c r="CH364" s="31" t="n"/>
      <c r="CI364" s="29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1" t="n"/>
      <c r="CK364" s="21" t="n"/>
      <c r="CL364" s="27">
        <f>SUM(CJ364:CK364)</f>
        <v/>
      </c>
      <c r="CM364" s="28" t="n"/>
      <c r="CN364" s="31" t="n"/>
      <c r="CO364" s="29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1" t="n"/>
      <c r="CQ364" s="21" t="n"/>
      <c r="CR364" s="27">
        <f>SUM(CP364:CQ364)</f>
        <v/>
      </c>
      <c r="CS364" s="28" t="n"/>
      <c r="CT364" s="31" t="n"/>
      <c r="CU364" s="29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1" t="n"/>
      <c r="CW364" s="21" t="n"/>
      <c r="CX364" s="27">
        <f>SUM(CV364:CW364)</f>
        <v/>
      </c>
      <c r="CY364" s="28" t="n"/>
      <c r="CZ364" s="31" t="n"/>
      <c r="DA364" s="29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1" t="n"/>
      <c r="DC364" s="21" t="n"/>
      <c r="DD364" s="27">
        <f>SUM(DB364:DC364)</f>
        <v/>
      </c>
      <c r="DE364" s="28" t="n"/>
      <c r="DF364" s="31" t="n"/>
      <c r="DG364" s="29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34">
        <f>SUM(O364,U364,AA364,AG364,AM364,AS364,AY364,BE364,BK364,BQ364,BW364,CC364,CI364,CO364,CU364,DA364,DG364)</f>
        <v/>
      </c>
      <c r="DI364" s="39">
        <f>RANK(DH364,DH$4:DH$503)</f>
        <v/>
      </c>
      <c r="DJ364" s="40" t="inlineStr">
        <is>
          <t>CHOOSE RATING</t>
        </is>
      </c>
      <c r="DK364" s="40" t="inlineStr">
        <is>
          <t>CHOOSE RATING</t>
        </is>
      </c>
      <c r="DL364" s="40" t="inlineStr">
        <is>
          <t>CHOOSE RATING</t>
        </is>
      </c>
      <c r="DM364" s="40" t="inlineStr">
        <is>
          <t>CHOOSE RATING</t>
        </is>
      </c>
      <c r="DN364" s="40" t="inlineStr">
        <is>
          <t>CHOOSE RATING</t>
        </is>
      </c>
      <c r="DO364" s="40" t="inlineStr">
        <is>
          <t>CHOOSE RATING</t>
        </is>
      </c>
      <c r="DP364" s="40" t="inlineStr">
        <is>
          <t>CHOOSE RATING</t>
        </is>
      </c>
      <c r="DQ364" s="40" t="inlineStr">
        <is>
          <t>CHOOSE RATING</t>
        </is>
      </c>
      <c r="DR364" s="43" t="inlineStr">
        <is>
          <t>2024/2025</t>
        </is>
      </c>
      <c r="DS364" s="45" t="inlineStr">
        <is>
          <t>THIRD</t>
        </is>
      </c>
      <c r="DT364" s="40" t="inlineStr">
        <is>
          <t>CHOOSE RATING</t>
        </is>
      </c>
      <c r="DU364" s="40" t="inlineStr">
        <is>
          <t>CHOOSE RATING</t>
        </is>
      </c>
      <c r="DV364" s="40" t="inlineStr">
        <is>
          <t>CHOOSE RATING</t>
        </is>
      </c>
      <c r="DW364" s="40" t="inlineStr">
        <is>
          <t>CHOOSE RATING</t>
        </is>
      </c>
      <c r="DX364" s="40" t="inlineStr">
        <is>
          <t>CHOOSE RATING</t>
        </is>
      </c>
      <c r="DY364" s="40" t="inlineStr">
        <is>
          <t>CHOOSE RATING</t>
        </is>
      </c>
      <c r="DZ364" s="53" t="inlineStr">
        <is>
          <t>CHOOSE RATING</t>
        </is>
      </c>
      <c r="EA364" s="54" t="inlineStr">
        <is>
          <t>Add the Tutor's Comment . . .</t>
        </is>
      </c>
      <c r="EB364" s="55" t="inlineStr">
        <is>
          <t>Choose Principals comment</t>
        </is>
      </c>
      <c r="EC364" s="56" t="n"/>
      <c r="ED364" s="57" t="inlineStr">
        <is>
          <t>Next Term Begins on Monday, 22nd September, 2025</t>
        </is>
      </c>
    </row>
    <row r="365" ht="30.6" customHeight="1" s="6">
      <c r="A365" s="18" t="n">
        <v>362</v>
      </c>
      <c r="B365" s="19" t="n"/>
      <c r="C365" s="20" t="n"/>
      <c r="D365" s="128" t="n"/>
      <c r="E365" s="21" t="n"/>
      <c r="F365" s="22" t="n"/>
      <c r="G365" s="22" t="n"/>
      <c r="H365" s="22" t="n"/>
      <c r="I365" s="26">
        <f>G365-H365</f>
        <v/>
      </c>
      <c r="J365" s="21" t="n"/>
      <c r="K365" s="21" t="n"/>
      <c r="L365" s="27">
        <f>SUM(J365:K365)</f>
        <v/>
      </c>
      <c r="M365" s="28" t="n"/>
      <c r="N365" s="28" t="n"/>
      <c r="O365" s="29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1" t="n"/>
      <c r="Q365" s="21" t="n"/>
      <c r="R365" s="27">
        <f>SUM(P365:Q365)</f>
        <v/>
      </c>
      <c r="S365" s="28" t="n"/>
      <c r="T365" s="28" t="n"/>
      <c r="U365" s="29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1" t="n"/>
      <c r="W365" s="21" t="n"/>
      <c r="X365" s="27">
        <f>SUM(V365:W365)</f>
        <v/>
      </c>
      <c r="Y365" s="28" t="n"/>
      <c r="Z365" s="28" t="n"/>
      <c r="AA365" s="29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1" t="n"/>
      <c r="AC365" s="21" t="n"/>
      <c r="AD365" s="27">
        <f>SUM(AB365:AC365)</f>
        <v/>
      </c>
      <c r="AE365" s="28" t="n"/>
      <c r="AF365" s="28" t="n"/>
      <c r="AG365" s="29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1" t="n"/>
      <c r="AI365" s="21" t="n"/>
      <c r="AJ365" s="27">
        <f>SUM(AH365:AI365)</f>
        <v/>
      </c>
      <c r="AK365" s="28" t="n"/>
      <c r="AL365" s="28" t="n"/>
      <c r="AM365" s="29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1" t="n"/>
      <c r="AO365" s="21" t="n"/>
      <c r="AP365" s="27">
        <f>SUM(AN365:AO365)</f>
        <v/>
      </c>
      <c r="AQ365" s="28" t="n"/>
      <c r="AR365" s="30" t="n"/>
      <c r="AS365" s="29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1" t="n"/>
      <c r="AU365" s="21" t="n"/>
      <c r="AV365" s="27">
        <f>SUM(AT365:AU365)</f>
        <v/>
      </c>
      <c r="AW365" s="28" t="n"/>
      <c r="AX365" s="30" t="n"/>
      <c r="AY365" s="29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1" t="n"/>
      <c r="BA365" s="21" t="n"/>
      <c r="BB365" s="27">
        <f>SUM(AZ365:BA365)</f>
        <v/>
      </c>
      <c r="BC365" s="28" t="n"/>
      <c r="BD365" s="28" t="n"/>
      <c r="BE365" s="29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1" t="n"/>
      <c r="BG365" s="21" t="n"/>
      <c r="BH365" s="27">
        <f>SUM(BF365:BG365)</f>
        <v/>
      </c>
      <c r="BI365" s="28" t="n"/>
      <c r="BJ365" s="28" t="n"/>
      <c r="BK365" s="29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1" t="n"/>
      <c r="BM365" s="21" t="n"/>
      <c r="BN365" s="27">
        <f>SUM(BL365:BM365)</f>
        <v/>
      </c>
      <c r="BO365" s="28" t="n"/>
      <c r="BP365" s="31" t="n"/>
      <c r="BQ365" s="29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1" t="n"/>
      <c r="BS365" s="21" t="n"/>
      <c r="BT365" s="27">
        <f>SUM(BR365:BS365)</f>
        <v/>
      </c>
      <c r="BU365" s="28" t="n"/>
      <c r="BV365" s="31" t="n"/>
      <c r="BW365" s="29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1" t="n"/>
      <c r="BY365" s="21" t="n"/>
      <c r="BZ365" s="27">
        <f>SUM(BX365:BY365)</f>
        <v/>
      </c>
      <c r="CA365" s="28" t="n"/>
      <c r="CB365" s="31" t="n"/>
      <c r="CC365" s="29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1" t="n"/>
      <c r="CE365" s="21" t="n"/>
      <c r="CF365" s="27">
        <f>SUM(CD365:CE365)</f>
        <v/>
      </c>
      <c r="CG365" s="28" t="n"/>
      <c r="CH365" s="31" t="n"/>
      <c r="CI365" s="29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1" t="n"/>
      <c r="CK365" s="21" t="n"/>
      <c r="CL365" s="27">
        <f>SUM(CJ365:CK365)</f>
        <v/>
      </c>
      <c r="CM365" s="28" t="n"/>
      <c r="CN365" s="31" t="n"/>
      <c r="CO365" s="29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1" t="n"/>
      <c r="CQ365" s="21" t="n"/>
      <c r="CR365" s="27">
        <f>SUM(CP365:CQ365)</f>
        <v/>
      </c>
      <c r="CS365" s="28" t="n"/>
      <c r="CT365" s="31" t="n"/>
      <c r="CU365" s="29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1" t="n"/>
      <c r="CW365" s="21" t="n"/>
      <c r="CX365" s="27">
        <f>SUM(CV365:CW365)</f>
        <v/>
      </c>
      <c r="CY365" s="28" t="n"/>
      <c r="CZ365" s="31" t="n"/>
      <c r="DA365" s="29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1" t="n"/>
      <c r="DC365" s="21" t="n"/>
      <c r="DD365" s="27">
        <f>SUM(DB365:DC365)</f>
        <v/>
      </c>
      <c r="DE365" s="28" t="n"/>
      <c r="DF365" s="31" t="n"/>
      <c r="DG365" s="29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34">
        <f>SUM(O365,U365,AA365,AG365,AM365,AS365,AY365,BE365,BK365,BQ365,BW365,CC365,CI365,CO365,CU365,DA365,DG365)</f>
        <v/>
      </c>
      <c r="DI365" s="39">
        <f>RANK(DH365,DH$4:DH$503)</f>
        <v/>
      </c>
      <c r="DJ365" s="40" t="inlineStr">
        <is>
          <t>CHOOSE RATING</t>
        </is>
      </c>
      <c r="DK365" s="40" t="inlineStr">
        <is>
          <t>CHOOSE RATING</t>
        </is>
      </c>
      <c r="DL365" s="40" t="inlineStr">
        <is>
          <t>CHOOSE RATING</t>
        </is>
      </c>
      <c r="DM365" s="40" t="inlineStr">
        <is>
          <t>CHOOSE RATING</t>
        </is>
      </c>
      <c r="DN365" s="40" t="inlineStr">
        <is>
          <t>CHOOSE RATING</t>
        </is>
      </c>
      <c r="DO365" s="40" t="inlineStr">
        <is>
          <t>CHOOSE RATING</t>
        </is>
      </c>
      <c r="DP365" s="40" t="inlineStr">
        <is>
          <t>CHOOSE RATING</t>
        </is>
      </c>
      <c r="DQ365" s="40" t="inlineStr">
        <is>
          <t>CHOOSE RATING</t>
        </is>
      </c>
      <c r="DR365" s="43" t="inlineStr">
        <is>
          <t>2024/2025</t>
        </is>
      </c>
      <c r="DS365" s="45" t="inlineStr">
        <is>
          <t>THIRD</t>
        </is>
      </c>
      <c r="DT365" s="40" t="inlineStr">
        <is>
          <t>CHOOSE RATING</t>
        </is>
      </c>
      <c r="DU365" s="40" t="inlineStr">
        <is>
          <t>CHOOSE RATING</t>
        </is>
      </c>
      <c r="DV365" s="40" t="inlineStr">
        <is>
          <t>CHOOSE RATING</t>
        </is>
      </c>
      <c r="DW365" s="40" t="inlineStr">
        <is>
          <t>CHOOSE RATING</t>
        </is>
      </c>
      <c r="DX365" s="40" t="inlineStr">
        <is>
          <t>CHOOSE RATING</t>
        </is>
      </c>
      <c r="DY365" s="40" t="inlineStr">
        <is>
          <t>CHOOSE RATING</t>
        </is>
      </c>
      <c r="DZ365" s="53" t="inlineStr">
        <is>
          <t>CHOOSE RATING</t>
        </is>
      </c>
      <c r="EA365" s="54" t="inlineStr">
        <is>
          <t>Add the Tutor's Comment . . .</t>
        </is>
      </c>
      <c r="EB365" s="55" t="inlineStr">
        <is>
          <t>Choose Principals comment</t>
        </is>
      </c>
      <c r="EC365" s="56" t="n"/>
      <c r="ED365" s="57" t="inlineStr">
        <is>
          <t>Next Term Begins on Monday, 22nd September, 2025</t>
        </is>
      </c>
    </row>
    <row r="366" ht="30.6" customHeight="1" s="6">
      <c r="A366" s="18" t="n">
        <v>363</v>
      </c>
      <c r="B366" s="19" t="n"/>
      <c r="C366" s="20" t="n"/>
      <c r="D366" s="128" t="n"/>
      <c r="E366" s="21" t="n"/>
      <c r="F366" s="22" t="n"/>
      <c r="G366" s="22" t="n"/>
      <c r="H366" s="22" t="n"/>
      <c r="I366" s="26">
        <f>G366-H366</f>
        <v/>
      </c>
      <c r="J366" s="21" t="n"/>
      <c r="K366" s="21" t="n"/>
      <c r="L366" s="27">
        <f>SUM(J366:K366)</f>
        <v/>
      </c>
      <c r="M366" s="28" t="n"/>
      <c r="N366" s="28" t="n"/>
      <c r="O366" s="29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1" t="n"/>
      <c r="Q366" s="21" t="n"/>
      <c r="R366" s="27">
        <f>SUM(P366:Q366)</f>
        <v/>
      </c>
      <c r="S366" s="28" t="n"/>
      <c r="T366" s="28" t="n"/>
      <c r="U366" s="29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1" t="n"/>
      <c r="W366" s="21" t="n"/>
      <c r="X366" s="27">
        <f>SUM(V366:W366)</f>
        <v/>
      </c>
      <c r="Y366" s="28" t="n"/>
      <c r="Z366" s="28" t="n"/>
      <c r="AA366" s="29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1" t="n"/>
      <c r="AC366" s="21" t="n"/>
      <c r="AD366" s="27">
        <f>SUM(AB366:AC366)</f>
        <v/>
      </c>
      <c r="AE366" s="28" t="n"/>
      <c r="AF366" s="28" t="n"/>
      <c r="AG366" s="29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1" t="n"/>
      <c r="AI366" s="21" t="n"/>
      <c r="AJ366" s="27">
        <f>SUM(AH366:AI366)</f>
        <v/>
      </c>
      <c r="AK366" s="28" t="n"/>
      <c r="AL366" s="28" t="n"/>
      <c r="AM366" s="29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1" t="n"/>
      <c r="AO366" s="21" t="n"/>
      <c r="AP366" s="27">
        <f>SUM(AN366:AO366)</f>
        <v/>
      </c>
      <c r="AQ366" s="28" t="n"/>
      <c r="AR366" s="30" t="n"/>
      <c r="AS366" s="29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1" t="n"/>
      <c r="AU366" s="21" t="n"/>
      <c r="AV366" s="27">
        <f>SUM(AT366:AU366)</f>
        <v/>
      </c>
      <c r="AW366" s="28" t="n"/>
      <c r="AX366" s="30" t="n"/>
      <c r="AY366" s="29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1" t="n"/>
      <c r="BA366" s="21" t="n"/>
      <c r="BB366" s="27">
        <f>SUM(AZ366:BA366)</f>
        <v/>
      </c>
      <c r="BC366" s="28" t="n"/>
      <c r="BD366" s="28" t="n"/>
      <c r="BE366" s="29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1" t="n"/>
      <c r="BG366" s="21" t="n"/>
      <c r="BH366" s="27">
        <f>SUM(BF366:BG366)</f>
        <v/>
      </c>
      <c r="BI366" s="28" t="n"/>
      <c r="BJ366" s="28" t="n"/>
      <c r="BK366" s="29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1" t="n"/>
      <c r="BM366" s="21" t="n"/>
      <c r="BN366" s="27">
        <f>SUM(BL366:BM366)</f>
        <v/>
      </c>
      <c r="BO366" s="28" t="n"/>
      <c r="BP366" s="31" t="n"/>
      <c r="BQ366" s="29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1" t="n"/>
      <c r="BS366" s="21" t="n"/>
      <c r="BT366" s="27">
        <f>SUM(BR366:BS366)</f>
        <v/>
      </c>
      <c r="BU366" s="28" t="n"/>
      <c r="BV366" s="31" t="n"/>
      <c r="BW366" s="29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1" t="n"/>
      <c r="BY366" s="21" t="n"/>
      <c r="BZ366" s="27">
        <f>SUM(BX366:BY366)</f>
        <v/>
      </c>
      <c r="CA366" s="28" t="n"/>
      <c r="CB366" s="31" t="n"/>
      <c r="CC366" s="29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1" t="n"/>
      <c r="CE366" s="21" t="n"/>
      <c r="CF366" s="27">
        <f>SUM(CD366:CE366)</f>
        <v/>
      </c>
      <c r="CG366" s="28" t="n"/>
      <c r="CH366" s="31" t="n"/>
      <c r="CI366" s="29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1" t="n"/>
      <c r="CK366" s="21" t="n"/>
      <c r="CL366" s="27">
        <f>SUM(CJ366:CK366)</f>
        <v/>
      </c>
      <c r="CM366" s="28" t="n"/>
      <c r="CN366" s="31" t="n"/>
      <c r="CO366" s="29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1" t="n"/>
      <c r="CQ366" s="21" t="n"/>
      <c r="CR366" s="27">
        <f>SUM(CP366:CQ366)</f>
        <v/>
      </c>
      <c r="CS366" s="28" t="n"/>
      <c r="CT366" s="31" t="n"/>
      <c r="CU366" s="29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1" t="n"/>
      <c r="CW366" s="21" t="n"/>
      <c r="CX366" s="27">
        <f>SUM(CV366:CW366)</f>
        <v/>
      </c>
      <c r="CY366" s="28" t="n"/>
      <c r="CZ366" s="31" t="n"/>
      <c r="DA366" s="29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1" t="n"/>
      <c r="DC366" s="21" t="n"/>
      <c r="DD366" s="27">
        <f>SUM(DB366:DC366)</f>
        <v/>
      </c>
      <c r="DE366" s="28" t="n"/>
      <c r="DF366" s="31" t="n"/>
      <c r="DG366" s="29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34">
        <f>SUM(O366,U366,AA366,AG366,AM366,AS366,AY366,BE366,BK366,BQ366,BW366,CC366,CI366,CO366,CU366,DA366,DG366)</f>
        <v/>
      </c>
      <c r="DI366" s="39">
        <f>RANK(DH366,DH$4:DH$503)</f>
        <v/>
      </c>
      <c r="DJ366" s="40" t="inlineStr">
        <is>
          <t>CHOOSE RATING</t>
        </is>
      </c>
      <c r="DK366" s="40" t="inlineStr">
        <is>
          <t>CHOOSE RATING</t>
        </is>
      </c>
      <c r="DL366" s="40" t="inlineStr">
        <is>
          <t>CHOOSE RATING</t>
        </is>
      </c>
      <c r="DM366" s="40" t="inlineStr">
        <is>
          <t>CHOOSE RATING</t>
        </is>
      </c>
      <c r="DN366" s="40" t="inlineStr">
        <is>
          <t>CHOOSE RATING</t>
        </is>
      </c>
      <c r="DO366" s="40" t="inlineStr">
        <is>
          <t>CHOOSE RATING</t>
        </is>
      </c>
      <c r="DP366" s="40" t="inlineStr">
        <is>
          <t>CHOOSE RATING</t>
        </is>
      </c>
      <c r="DQ366" s="40" t="inlineStr">
        <is>
          <t>CHOOSE RATING</t>
        </is>
      </c>
      <c r="DR366" s="43" t="inlineStr">
        <is>
          <t>2024/2025</t>
        </is>
      </c>
      <c r="DS366" s="45" t="inlineStr">
        <is>
          <t>THIRD</t>
        </is>
      </c>
      <c r="DT366" s="40" t="inlineStr">
        <is>
          <t>CHOOSE RATING</t>
        </is>
      </c>
      <c r="DU366" s="40" t="inlineStr">
        <is>
          <t>CHOOSE RATING</t>
        </is>
      </c>
      <c r="DV366" s="40" t="inlineStr">
        <is>
          <t>CHOOSE RATING</t>
        </is>
      </c>
      <c r="DW366" s="40" t="inlineStr">
        <is>
          <t>CHOOSE RATING</t>
        </is>
      </c>
      <c r="DX366" s="40" t="inlineStr">
        <is>
          <t>CHOOSE RATING</t>
        </is>
      </c>
      <c r="DY366" s="40" t="inlineStr">
        <is>
          <t>CHOOSE RATING</t>
        </is>
      </c>
      <c r="DZ366" s="53" t="inlineStr">
        <is>
          <t>CHOOSE RATING</t>
        </is>
      </c>
      <c r="EA366" s="54" t="inlineStr">
        <is>
          <t>Add the Tutor's Comment . . .</t>
        </is>
      </c>
      <c r="EB366" s="55" t="inlineStr">
        <is>
          <t>Choose Principals comment</t>
        </is>
      </c>
      <c r="EC366" s="56" t="n"/>
      <c r="ED366" s="57" t="inlineStr">
        <is>
          <t>Next Term Begins on Monday, 22nd September, 2025</t>
        </is>
      </c>
    </row>
    <row r="367" ht="30.6" customHeight="1" s="6">
      <c r="A367" s="18" t="n">
        <v>364</v>
      </c>
      <c r="B367" s="19" t="n"/>
      <c r="C367" s="20" t="n"/>
      <c r="D367" s="128" t="n"/>
      <c r="E367" s="21" t="n"/>
      <c r="F367" s="22" t="n"/>
      <c r="G367" s="22" t="n"/>
      <c r="H367" s="22" t="n"/>
      <c r="I367" s="26">
        <f>G367-H367</f>
        <v/>
      </c>
      <c r="J367" s="21" t="n"/>
      <c r="K367" s="21" t="n"/>
      <c r="L367" s="27">
        <f>SUM(J367:K367)</f>
        <v/>
      </c>
      <c r="M367" s="28" t="n"/>
      <c r="N367" s="28" t="n"/>
      <c r="O367" s="29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1" t="n"/>
      <c r="Q367" s="21" t="n"/>
      <c r="R367" s="27">
        <f>SUM(P367:Q367)</f>
        <v/>
      </c>
      <c r="S367" s="28" t="n"/>
      <c r="T367" s="28" t="n"/>
      <c r="U367" s="29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1" t="n"/>
      <c r="W367" s="21" t="n"/>
      <c r="X367" s="27">
        <f>SUM(V367:W367)</f>
        <v/>
      </c>
      <c r="Y367" s="28" t="n"/>
      <c r="Z367" s="28" t="n"/>
      <c r="AA367" s="29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1" t="n"/>
      <c r="AC367" s="21" t="n"/>
      <c r="AD367" s="27">
        <f>SUM(AB367:AC367)</f>
        <v/>
      </c>
      <c r="AE367" s="28" t="n"/>
      <c r="AF367" s="28" t="n"/>
      <c r="AG367" s="29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1" t="n"/>
      <c r="AI367" s="21" t="n"/>
      <c r="AJ367" s="27">
        <f>SUM(AH367:AI367)</f>
        <v/>
      </c>
      <c r="AK367" s="28" t="n"/>
      <c r="AL367" s="28" t="n"/>
      <c r="AM367" s="29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1" t="n"/>
      <c r="AO367" s="21" t="n"/>
      <c r="AP367" s="27">
        <f>SUM(AN367:AO367)</f>
        <v/>
      </c>
      <c r="AQ367" s="28" t="n"/>
      <c r="AR367" s="30" t="n"/>
      <c r="AS367" s="29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1" t="n"/>
      <c r="AU367" s="21" t="n"/>
      <c r="AV367" s="27">
        <f>SUM(AT367:AU367)</f>
        <v/>
      </c>
      <c r="AW367" s="28" t="n"/>
      <c r="AX367" s="30" t="n"/>
      <c r="AY367" s="29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1" t="n"/>
      <c r="BA367" s="21" t="n"/>
      <c r="BB367" s="27">
        <f>SUM(AZ367:BA367)</f>
        <v/>
      </c>
      <c r="BC367" s="28" t="n"/>
      <c r="BD367" s="28" t="n"/>
      <c r="BE367" s="29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1" t="n"/>
      <c r="BG367" s="21" t="n"/>
      <c r="BH367" s="27">
        <f>SUM(BF367:BG367)</f>
        <v/>
      </c>
      <c r="BI367" s="28" t="n"/>
      <c r="BJ367" s="28" t="n"/>
      <c r="BK367" s="29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1" t="n"/>
      <c r="BM367" s="21" t="n"/>
      <c r="BN367" s="27">
        <f>SUM(BL367:BM367)</f>
        <v/>
      </c>
      <c r="BO367" s="28" t="n"/>
      <c r="BP367" s="31" t="n"/>
      <c r="BQ367" s="29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1" t="n"/>
      <c r="BS367" s="21" t="n"/>
      <c r="BT367" s="27">
        <f>SUM(BR367:BS367)</f>
        <v/>
      </c>
      <c r="BU367" s="28" t="n"/>
      <c r="BV367" s="31" t="n"/>
      <c r="BW367" s="29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1" t="n"/>
      <c r="BY367" s="21" t="n"/>
      <c r="BZ367" s="27">
        <f>SUM(BX367:BY367)</f>
        <v/>
      </c>
      <c r="CA367" s="28" t="n"/>
      <c r="CB367" s="31" t="n"/>
      <c r="CC367" s="29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1" t="n"/>
      <c r="CE367" s="21" t="n"/>
      <c r="CF367" s="27">
        <f>SUM(CD367:CE367)</f>
        <v/>
      </c>
      <c r="CG367" s="28" t="n"/>
      <c r="CH367" s="31" t="n"/>
      <c r="CI367" s="29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1" t="n"/>
      <c r="CK367" s="21" t="n"/>
      <c r="CL367" s="27">
        <f>SUM(CJ367:CK367)</f>
        <v/>
      </c>
      <c r="CM367" s="28" t="n"/>
      <c r="CN367" s="31" t="n"/>
      <c r="CO367" s="29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1" t="n"/>
      <c r="CQ367" s="21" t="n"/>
      <c r="CR367" s="27">
        <f>SUM(CP367:CQ367)</f>
        <v/>
      </c>
      <c r="CS367" s="28" t="n"/>
      <c r="CT367" s="31" t="n"/>
      <c r="CU367" s="29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1" t="n"/>
      <c r="CW367" s="21" t="n"/>
      <c r="CX367" s="27">
        <f>SUM(CV367:CW367)</f>
        <v/>
      </c>
      <c r="CY367" s="28" t="n"/>
      <c r="CZ367" s="31" t="n"/>
      <c r="DA367" s="29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1" t="n"/>
      <c r="DC367" s="21" t="n"/>
      <c r="DD367" s="27">
        <f>SUM(DB367:DC367)</f>
        <v/>
      </c>
      <c r="DE367" s="28" t="n"/>
      <c r="DF367" s="31" t="n"/>
      <c r="DG367" s="29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34">
        <f>SUM(O367,U367,AA367,AG367,AM367,AS367,AY367,BE367,BK367,BQ367,BW367,CC367,CI367,CO367,CU367,DA367,DG367)</f>
        <v/>
      </c>
      <c r="DI367" s="39">
        <f>RANK(DH367,DH$4:DH$503)</f>
        <v/>
      </c>
      <c r="DJ367" s="40" t="inlineStr">
        <is>
          <t>CHOOSE RATING</t>
        </is>
      </c>
      <c r="DK367" s="40" t="inlineStr">
        <is>
          <t>CHOOSE RATING</t>
        </is>
      </c>
      <c r="DL367" s="40" t="inlineStr">
        <is>
          <t>CHOOSE RATING</t>
        </is>
      </c>
      <c r="DM367" s="40" t="inlineStr">
        <is>
          <t>CHOOSE RATING</t>
        </is>
      </c>
      <c r="DN367" s="40" t="inlineStr">
        <is>
          <t>CHOOSE RATING</t>
        </is>
      </c>
      <c r="DO367" s="40" t="inlineStr">
        <is>
          <t>CHOOSE RATING</t>
        </is>
      </c>
      <c r="DP367" s="40" t="inlineStr">
        <is>
          <t>CHOOSE RATING</t>
        </is>
      </c>
      <c r="DQ367" s="40" t="inlineStr">
        <is>
          <t>CHOOSE RATING</t>
        </is>
      </c>
      <c r="DR367" s="43" t="inlineStr">
        <is>
          <t>2024/2025</t>
        </is>
      </c>
      <c r="DS367" s="45" t="inlineStr">
        <is>
          <t>THIRD</t>
        </is>
      </c>
      <c r="DT367" s="40" t="inlineStr">
        <is>
          <t>CHOOSE RATING</t>
        </is>
      </c>
      <c r="DU367" s="40" t="inlineStr">
        <is>
          <t>CHOOSE RATING</t>
        </is>
      </c>
      <c r="DV367" s="40" t="inlineStr">
        <is>
          <t>CHOOSE RATING</t>
        </is>
      </c>
      <c r="DW367" s="40" t="inlineStr">
        <is>
          <t>CHOOSE RATING</t>
        </is>
      </c>
      <c r="DX367" s="40" t="inlineStr">
        <is>
          <t>CHOOSE RATING</t>
        </is>
      </c>
      <c r="DY367" s="40" t="inlineStr">
        <is>
          <t>CHOOSE RATING</t>
        </is>
      </c>
      <c r="DZ367" s="53" t="inlineStr">
        <is>
          <t>CHOOSE RATING</t>
        </is>
      </c>
      <c r="EA367" s="54" t="inlineStr">
        <is>
          <t>Add the Tutor's Comment . . .</t>
        </is>
      </c>
      <c r="EB367" s="55" t="inlineStr">
        <is>
          <t>Choose Principals comment</t>
        </is>
      </c>
      <c r="EC367" s="56" t="n"/>
      <c r="ED367" s="57" t="inlineStr">
        <is>
          <t>Next Term Begins on Monday, 22nd September, 2025</t>
        </is>
      </c>
    </row>
    <row r="368" ht="30.6" customHeight="1" s="6">
      <c r="A368" s="18" t="n">
        <v>365</v>
      </c>
      <c r="B368" s="19" t="n"/>
      <c r="C368" s="20" t="n"/>
      <c r="D368" s="128" t="n"/>
      <c r="E368" s="21" t="n"/>
      <c r="F368" s="22" t="n"/>
      <c r="G368" s="22" t="n"/>
      <c r="H368" s="22" t="n"/>
      <c r="I368" s="26">
        <f>G368-H368</f>
        <v/>
      </c>
      <c r="J368" s="21" t="n"/>
      <c r="K368" s="21" t="n"/>
      <c r="L368" s="27">
        <f>SUM(J368:K368)</f>
        <v/>
      </c>
      <c r="M368" s="28" t="n"/>
      <c r="N368" s="28" t="n"/>
      <c r="O368" s="29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1" t="n"/>
      <c r="Q368" s="21" t="n"/>
      <c r="R368" s="27">
        <f>SUM(P368:Q368)</f>
        <v/>
      </c>
      <c r="S368" s="28" t="n"/>
      <c r="T368" s="28" t="n"/>
      <c r="U368" s="29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1" t="n"/>
      <c r="W368" s="21" t="n"/>
      <c r="X368" s="27">
        <f>SUM(V368:W368)</f>
        <v/>
      </c>
      <c r="Y368" s="28" t="n"/>
      <c r="Z368" s="28" t="n"/>
      <c r="AA368" s="29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1" t="n"/>
      <c r="AC368" s="21" t="n"/>
      <c r="AD368" s="27">
        <f>SUM(AB368:AC368)</f>
        <v/>
      </c>
      <c r="AE368" s="28" t="n"/>
      <c r="AF368" s="28" t="n"/>
      <c r="AG368" s="29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1" t="n"/>
      <c r="AI368" s="21" t="n"/>
      <c r="AJ368" s="27">
        <f>SUM(AH368:AI368)</f>
        <v/>
      </c>
      <c r="AK368" s="28" t="n"/>
      <c r="AL368" s="28" t="n"/>
      <c r="AM368" s="29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1" t="n"/>
      <c r="AO368" s="21" t="n"/>
      <c r="AP368" s="27">
        <f>SUM(AN368:AO368)</f>
        <v/>
      </c>
      <c r="AQ368" s="28" t="n"/>
      <c r="AR368" s="30" t="n"/>
      <c r="AS368" s="29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1" t="n"/>
      <c r="AU368" s="21" t="n"/>
      <c r="AV368" s="27">
        <f>SUM(AT368:AU368)</f>
        <v/>
      </c>
      <c r="AW368" s="28" t="n"/>
      <c r="AX368" s="30" t="n"/>
      <c r="AY368" s="29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1" t="n"/>
      <c r="BA368" s="21" t="n"/>
      <c r="BB368" s="27">
        <f>SUM(AZ368:BA368)</f>
        <v/>
      </c>
      <c r="BC368" s="28" t="n"/>
      <c r="BD368" s="28" t="n"/>
      <c r="BE368" s="29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1" t="n"/>
      <c r="BG368" s="21" t="n"/>
      <c r="BH368" s="27">
        <f>SUM(BF368:BG368)</f>
        <v/>
      </c>
      <c r="BI368" s="28" t="n"/>
      <c r="BJ368" s="28" t="n"/>
      <c r="BK368" s="29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1" t="n"/>
      <c r="BM368" s="21" t="n"/>
      <c r="BN368" s="27">
        <f>SUM(BL368:BM368)</f>
        <v/>
      </c>
      <c r="BO368" s="28" t="n"/>
      <c r="BP368" s="31" t="n"/>
      <c r="BQ368" s="29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1" t="n"/>
      <c r="BS368" s="21" t="n"/>
      <c r="BT368" s="27">
        <f>SUM(BR368:BS368)</f>
        <v/>
      </c>
      <c r="BU368" s="28" t="n"/>
      <c r="BV368" s="31" t="n"/>
      <c r="BW368" s="29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1" t="n"/>
      <c r="BY368" s="21" t="n"/>
      <c r="BZ368" s="27">
        <f>SUM(BX368:BY368)</f>
        <v/>
      </c>
      <c r="CA368" s="28" t="n"/>
      <c r="CB368" s="31" t="n"/>
      <c r="CC368" s="29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1" t="n"/>
      <c r="CE368" s="21" t="n"/>
      <c r="CF368" s="27">
        <f>SUM(CD368:CE368)</f>
        <v/>
      </c>
      <c r="CG368" s="28" t="n"/>
      <c r="CH368" s="31" t="n"/>
      <c r="CI368" s="29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1" t="n"/>
      <c r="CK368" s="21" t="n"/>
      <c r="CL368" s="27">
        <f>SUM(CJ368:CK368)</f>
        <v/>
      </c>
      <c r="CM368" s="28" t="n"/>
      <c r="CN368" s="31" t="n"/>
      <c r="CO368" s="29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1" t="n"/>
      <c r="CQ368" s="21" t="n"/>
      <c r="CR368" s="27">
        <f>SUM(CP368:CQ368)</f>
        <v/>
      </c>
      <c r="CS368" s="28" t="n"/>
      <c r="CT368" s="31" t="n"/>
      <c r="CU368" s="29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1" t="n"/>
      <c r="CW368" s="21" t="n"/>
      <c r="CX368" s="27">
        <f>SUM(CV368:CW368)</f>
        <v/>
      </c>
      <c r="CY368" s="28" t="n"/>
      <c r="CZ368" s="31" t="n"/>
      <c r="DA368" s="29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1" t="n"/>
      <c r="DC368" s="21" t="n"/>
      <c r="DD368" s="27">
        <f>SUM(DB368:DC368)</f>
        <v/>
      </c>
      <c r="DE368" s="28" t="n"/>
      <c r="DF368" s="31" t="n"/>
      <c r="DG368" s="29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34">
        <f>SUM(O368,U368,AA368,AG368,AM368,AS368,AY368,BE368,BK368,BQ368,BW368,CC368,CI368,CO368,CU368,DA368,DG368)</f>
        <v/>
      </c>
      <c r="DI368" s="39">
        <f>RANK(DH368,DH$4:DH$503)</f>
        <v/>
      </c>
      <c r="DJ368" s="40" t="inlineStr">
        <is>
          <t>CHOOSE RATING</t>
        </is>
      </c>
      <c r="DK368" s="40" t="inlineStr">
        <is>
          <t>CHOOSE RATING</t>
        </is>
      </c>
      <c r="DL368" s="40" t="inlineStr">
        <is>
          <t>CHOOSE RATING</t>
        </is>
      </c>
      <c r="DM368" s="40" t="inlineStr">
        <is>
          <t>CHOOSE RATING</t>
        </is>
      </c>
      <c r="DN368" s="40" t="inlineStr">
        <is>
          <t>CHOOSE RATING</t>
        </is>
      </c>
      <c r="DO368" s="40" t="inlineStr">
        <is>
          <t>CHOOSE RATING</t>
        </is>
      </c>
      <c r="DP368" s="40" t="inlineStr">
        <is>
          <t>CHOOSE RATING</t>
        </is>
      </c>
      <c r="DQ368" s="40" t="inlineStr">
        <is>
          <t>CHOOSE RATING</t>
        </is>
      </c>
      <c r="DR368" s="43" t="inlineStr">
        <is>
          <t>2024/2025</t>
        </is>
      </c>
      <c r="DS368" s="45" t="inlineStr">
        <is>
          <t>THIRD</t>
        </is>
      </c>
      <c r="DT368" s="40" t="inlineStr">
        <is>
          <t>CHOOSE RATING</t>
        </is>
      </c>
      <c r="DU368" s="40" t="inlineStr">
        <is>
          <t>CHOOSE RATING</t>
        </is>
      </c>
      <c r="DV368" s="40" t="inlineStr">
        <is>
          <t>CHOOSE RATING</t>
        </is>
      </c>
      <c r="DW368" s="40" t="inlineStr">
        <is>
          <t>CHOOSE RATING</t>
        </is>
      </c>
      <c r="DX368" s="40" t="inlineStr">
        <is>
          <t>CHOOSE RATING</t>
        </is>
      </c>
      <c r="DY368" s="40" t="inlineStr">
        <is>
          <t>CHOOSE RATING</t>
        </is>
      </c>
      <c r="DZ368" s="53" t="inlineStr">
        <is>
          <t>CHOOSE RATING</t>
        </is>
      </c>
      <c r="EA368" s="54" t="inlineStr">
        <is>
          <t>Add the Tutor's Comment . . .</t>
        </is>
      </c>
      <c r="EB368" s="55" t="inlineStr">
        <is>
          <t>Choose Principals comment</t>
        </is>
      </c>
      <c r="EC368" s="56" t="n"/>
      <c r="ED368" s="57" t="inlineStr">
        <is>
          <t>Next Term Begins on Monday, 22nd September, 2025</t>
        </is>
      </c>
    </row>
    <row r="369" ht="30.6" customHeight="1" s="6">
      <c r="A369" s="18" t="n">
        <v>366</v>
      </c>
      <c r="B369" s="19" t="n"/>
      <c r="C369" s="20" t="n"/>
      <c r="D369" s="128" t="n"/>
      <c r="E369" s="21" t="n"/>
      <c r="F369" s="22" t="n"/>
      <c r="G369" s="22" t="n"/>
      <c r="H369" s="22" t="n"/>
      <c r="I369" s="26">
        <f>G369-H369</f>
        <v/>
      </c>
      <c r="J369" s="21" t="n"/>
      <c r="K369" s="21" t="n"/>
      <c r="L369" s="27">
        <f>SUM(J369:K369)</f>
        <v/>
      </c>
      <c r="M369" s="28" t="n"/>
      <c r="N369" s="28" t="n"/>
      <c r="O369" s="29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1" t="n"/>
      <c r="Q369" s="21" t="n"/>
      <c r="R369" s="27">
        <f>SUM(P369:Q369)</f>
        <v/>
      </c>
      <c r="S369" s="28" t="n"/>
      <c r="T369" s="28" t="n"/>
      <c r="U369" s="29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1" t="n"/>
      <c r="W369" s="21" t="n"/>
      <c r="X369" s="27">
        <f>SUM(V369:W369)</f>
        <v/>
      </c>
      <c r="Y369" s="28" t="n"/>
      <c r="Z369" s="28" t="n"/>
      <c r="AA369" s="29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1" t="n"/>
      <c r="AC369" s="21" t="n"/>
      <c r="AD369" s="27">
        <f>SUM(AB369:AC369)</f>
        <v/>
      </c>
      <c r="AE369" s="28" t="n"/>
      <c r="AF369" s="28" t="n"/>
      <c r="AG369" s="29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1" t="n"/>
      <c r="AI369" s="21" t="n"/>
      <c r="AJ369" s="27">
        <f>SUM(AH369:AI369)</f>
        <v/>
      </c>
      <c r="AK369" s="28" t="n"/>
      <c r="AL369" s="28" t="n"/>
      <c r="AM369" s="29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1" t="n"/>
      <c r="AO369" s="21" t="n"/>
      <c r="AP369" s="27">
        <f>SUM(AN369:AO369)</f>
        <v/>
      </c>
      <c r="AQ369" s="28" t="n"/>
      <c r="AR369" s="30" t="n"/>
      <c r="AS369" s="29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1" t="n"/>
      <c r="AU369" s="21" t="n"/>
      <c r="AV369" s="27">
        <f>SUM(AT369:AU369)</f>
        <v/>
      </c>
      <c r="AW369" s="28" t="n"/>
      <c r="AX369" s="30" t="n"/>
      <c r="AY369" s="29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1" t="n"/>
      <c r="BA369" s="21" t="n"/>
      <c r="BB369" s="27">
        <f>SUM(AZ369:BA369)</f>
        <v/>
      </c>
      <c r="BC369" s="28" t="n"/>
      <c r="BD369" s="28" t="n"/>
      <c r="BE369" s="29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1" t="n"/>
      <c r="BG369" s="21" t="n"/>
      <c r="BH369" s="27">
        <f>SUM(BF369:BG369)</f>
        <v/>
      </c>
      <c r="BI369" s="28" t="n"/>
      <c r="BJ369" s="28" t="n"/>
      <c r="BK369" s="29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1" t="n"/>
      <c r="BM369" s="21" t="n"/>
      <c r="BN369" s="27">
        <f>SUM(BL369:BM369)</f>
        <v/>
      </c>
      <c r="BO369" s="28" t="n"/>
      <c r="BP369" s="31" t="n"/>
      <c r="BQ369" s="29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1" t="n"/>
      <c r="BS369" s="21" t="n"/>
      <c r="BT369" s="27">
        <f>SUM(BR369:BS369)</f>
        <v/>
      </c>
      <c r="BU369" s="28" t="n"/>
      <c r="BV369" s="31" t="n"/>
      <c r="BW369" s="29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1" t="n"/>
      <c r="BY369" s="21" t="n"/>
      <c r="BZ369" s="27">
        <f>SUM(BX369:BY369)</f>
        <v/>
      </c>
      <c r="CA369" s="28" t="n"/>
      <c r="CB369" s="31" t="n"/>
      <c r="CC369" s="29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1" t="n"/>
      <c r="CE369" s="21" t="n"/>
      <c r="CF369" s="27">
        <f>SUM(CD369:CE369)</f>
        <v/>
      </c>
      <c r="CG369" s="28" t="n"/>
      <c r="CH369" s="31" t="n"/>
      <c r="CI369" s="29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1" t="n"/>
      <c r="CK369" s="21" t="n"/>
      <c r="CL369" s="27">
        <f>SUM(CJ369:CK369)</f>
        <v/>
      </c>
      <c r="CM369" s="28" t="n"/>
      <c r="CN369" s="31" t="n"/>
      <c r="CO369" s="29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1" t="n"/>
      <c r="CQ369" s="21" t="n"/>
      <c r="CR369" s="27">
        <f>SUM(CP369:CQ369)</f>
        <v/>
      </c>
      <c r="CS369" s="28" t="n"/>
      <c r="CT369" s="31" t="n"/>
      <c r="CU369" s="29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1" t="n"/>
      <c r="CW369" s="21" t="n"/>
      <c r="CX369" s="27">
        <f>SUM(CV369:CW369)</f>
        <v/>
      </c>
      <c r="CY369" s="28" t="n"/>
      <c r="CZ369" s="31" t="n"/>
      <c r="DA369" s="29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1" t="n"/>
      <c r="DC369" s="21" t="n"/>
      <c r="DD369" s="27">
        <f>SUM(DB369:DC369)</f>
        <v/>
      </c>
      <c r="DE369" s="28" t="n"/>
      <c r="DF369" s="31" t="n"/>
      <c r="DG369" s="29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34">
        <f>SUM(O369,U369,AA369,AG369,AM369,AS369,AY369,BE369,BK369,BQ369,BW369,CC369,CI369,CO369,CU369,DA369,DG369)</f>
        <v/>
      </c>
      <c r="DI369" s="39">
        <f>RANK(DH369,DH$4:DH$503)</f>
        <v/>
      </c>
      <c r="DJ369" s="40" t="inlineStr">
        <is>
          <t>CHOOSE RATING</t>
        </is>
      </c>
      <c r="DK369" s="40" t="inlineStr">
        <is>
          <t>CHOOSE RATING</t>
        </is>
      </c>
      <c r="DL369" s="40" t="inlineStr">
        <is>
          <t>CHOOSE RATING</t>
        </is>
      </c>
      <c r="DM369" s="40" t="inlineStr">
        <is>
          <t>CHOOSE RATING</t>
        </is>
      </c>
      <c r="DN369" s="40" t="inlineStr">
        <is>
          <t>CHOOSE RATING</t>
        </is>
      </c>
      <c r="DO369" s="40" t="inlineStr">
        <is>
          <t>CHOOSE RATING</t>
        </is>
      </c>
      <c r="DP369" s="40" t="inlineStr">
        <is>
          <t>CHOOSE RATING</t>
        </is>
      </c>
      <c r="DQ369" s="40" t="inlineStr">
        <is>
          <t>CHOOSE RATING</t>
        </is>
      </c>
      <c r="DR369" s="43" t="inlineStr">
        <is>
          <t>2024/2025</t>
        </is>
      </c>
      <c r="DS369" s="45" t="inlineStr">
        <is>
          <t>THIRD</t>
        </is>
      </c>
      <c r="DT369" s="40" t="inlineStr">
        <is>
          <t>CHOOSE RATING</t>
        </is>
      </c>
      <c r="DU369" s="40" t="inlineStr">
        <is>
          <t>CHOOSE RATING</t>
        </is>
      </c>
      <c r="DV369" s="40" t="inlineStr">
        <is>
          <t>CHOOSE RATING</t>
        </is>
      </c>
      <c r="DW369" s="40" t="inlineStr">
        <is>
          <t>CHOOSE RATING</t>
        </is>
      </c>
      <c r="DX369" s="40" t="inlineStr">
        <is>
          <t>CHOOSE RATING</t>
        </is>
      </c>
      <c r="DY369" s="40" t="inlineStr">
        <is>
          <t>CHOOSE RATING</t>
        </is>
      </c>
      <c r="DZ369" s="53" t="inlineStr">
        <is>
          <t>CHOOSE RATING</t>
        </is>
      </c>
      <c r="EA369" s="54" t="inlineStr">
        <is>
          <t>Add the Tutor's Comment . . .</t>
        </is>
      </c>
      <c r="EB369" s="55" t="inlineStr">
        <is>
          <t>Choose Principals comment</t>
        </is>
      </c>
      <c r="EC369" s="56" t="n"/>
      <c r="ED369" s="57" t="inlineStr">
        <is>
          <t>Next Term Begins on Monday, 22nd September, 2025</t>
        </is>
      </c>
    </row>
    <row r="370" ht="30.6" customHeight="1" s="6">
      <c r="A370" s="18" t="n">
        <v>367</v>
      </c>
      <c r="B370" s="19" t="n"/>
      <c r="C370" s="20" t="n"/>
      <c r="D370" s="128" t="n"/>
      <c r="E370" s="21" t="n"/>
      <c r="F370" s="22" t="n"/>
      <c r="G370" s="22" t="n"/>
      <c r="H370" s="22" t="n"/>
      <c r="I370" s="26">
        <f>G370-H370</f>
        <v/>
      </c>
      <c r="J370" s="21" t="n"/>
      <c r="K370" s="21" t="n"/>
      <c r="L370" s="27">
        <f>SUM(J370:K370)</f>
        <v/>
      </c>
      <c r="M370" s="28" t="n"/>
      <c r="N370" s="28" t="n"/>
      <c r="O370" s="29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1" t="n"/>
      <c r="Q370" s="21" t="n"/>
      <c r="R370" s="27">
        <f>SUM(P370:Q370)</f>
        <v/>
      </c>
      <c r="S370" s="28" t="n"/>
      <c r="T370" s="28" t="n"/>
      <c r="U370" s="29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1" t="n"/>
      <c r="W370" s="21" t="n"/>
      <c r="X370" s="27">
        <f>SUM(V370:W370)</f>
        <v/>
      </c>
      <c r="Y370" s="28" t="n"/>
      <c r="Z370" s="28" t="n"/>
      <c r="AA370" s="29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1" t="n"/>
      <c r="AC370" s="21" t="n"/>
      <c r="AD370" s="27">
        <f>SUM(AB370:AC370)</f>
        <v/>
      </c>
      <c r="AE370" s="28" t="n"/>
      <c r="AF370" s="28" t="n"/>
      <c r="AG370" s="29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1" t="n"/>
      <c r="AI370" s="21" t="n"/>
      <c r="AJ370" s="27">
        <f>SUM(AH370:AI370)</f>
        <v/>
      </c>
      <c r="AK370" s="28" t="n"/>
      <c r="AL370" s="28" t="n"/>
      <c r="AM370" s="29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1" t="n"/>
      <c r="AO370" s="21" t="n"/>
      <c r="AP370" s="27">
        <f>SUM(AN370:AO370)</f>
        <v/>
      </c>
      <c r="AQ370" s="28" t="n"/>
      <c r="AR370" s="30" t="n"/>
      <c r="AS370" s="29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1" t="n"/>
      <c r="AU370" s="21" t="n"/>
      <c r="AV370" s="27">
        <f>SUM(AT370:AU370)</f>
        <v/>
      </c>
      <c r="AW370" s="28" t="n"/>
      <c r="AX370" s="30" t="n"/>
      <c r="AY370" s="29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1" t="n"/>
      <c r="BA370" s="21" t="n"/>
      <c r="BB370" s="27">
        <f>SUM(AZ370:BA370)</f>
        <v/>
      </c>
      <c r="BC370" s="28" t="n"/>
      <c r="BD370" s="28" t="n"/>
      <c r="BE370" s="29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1" t="n"/>
      <c r="BG370" s="21" t="n"/>
      <c r="BH370" s="27">
        <f>SUM(BF370:BG370)</f>
        <v/>
      </c>
      <c r="BI370" s="28" t="n"/>
      <c r="BJ370" s="28" t="n"/>
      <c r="BK370" s="29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1" t="n"/>
      <c r="BM370" s="21" t="n"/>
      <c r="BN370" s="27">
        <f>SUM(BL370:BM370)</f>
        <v/>
      </c>
      <c r="BO370" s="28" t="n"/>
      <c r="BP370" s="31" t="n"/>
      <c r="BQ370" s="29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1" t="n"/>
      <c r="BS370" s="21" t="n"/>
      <c r="BT370" s="27">
        <f>SUM(BR370:BS370)</f>
        <v/>
      </c>
      <c r="BU370" s="28" t="n"/>
      <c r="BV370" s="31" t="n"/>
      <c r="BW370" s="29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1" t="n"/>
      <c r="BY370" s="21" t="n"/>
      <c r="BZ370" s="27">
        <f>SUM(BX370:BY370)</f>
        <v/>
      </c>
      <c r="CA370" s="28" t="n"/>
      <c r="CB370" s="31" t="n"/>
      <c r="CC370" s="29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1" t="n"/>
      <c r="CE370" s="21" t="n"/>
      <c r="CF370" s="27">
        <f>SUM(CD370:CE370)</f>
        <v/>
      </c>
      <c r="CG370" s="28" t="n"/>
      <c r="CH370" s="31" t="n"/>
      <c r="CI370" s="29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1" t="n"/>
      <c r="CK370" s="21" t="n"/>
      <c r="CL370" s="27">
        <f>SUM(CJ370:CK370)</f>
        <v/>
      </c>
      <c r="CM370" s="28" t="n"/>
      <c r="CN370" s="31" t="n"/>
      <c r="CO370" s="29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1" t="n"/>
      <c r="CQ370" s="21" t="n"/>
      <c r="CR370" s="27">
        <f>SUM(CP370:CQ370)</f>
        <v/>
      </c>
      <c r="CS370" s="28" t="n"/>
      <c r="CT370" s="31" t="n"/>
      <c r="CU370" s="29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1" t="n"/>
      <c r="CW370" s="21" t="n"/>
      <c r="CX370" s="27">
        <f>SUM(CV370:CW370)</f>
        <v/>
      </c>
      <c r="CY370" s="28" t="n"/>
      <c r="CZ370" s="31" t="n"/>
      <c r="DA370" s="29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1" t="n"/>
      <c r="DC370" s="21" t="n"/>
      <c r="DD370" s="27">
        <f>SUM(DB370:DC370)</f>
        <v/>
      </c>
      <c r="DE370" s="28" t="n"/>
      <c r="DF370" s="31" t="n"/>
      <c r="DG370" s="29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34">
        <f>SUM(O370,U370,AA370,AG370,AM370,AS370,AY370,BE370,BK370,BQ370,BW370,CC370,CI370,CO370,CU370,DA370,DG370)</f>
        <v/>
      </c>
      <c r="DI370" s="39">
        <f>RANK(DH370,DH$4:DH$503)</f>
        <v/>
      </c>
      <c r="DJ370" s="40" t="inlineStr">
        <is>
          <t>CHOOSE RATING</t>
        </is>
      </c>
      <c r="DK370" s="40" t="inlineStr">
        <is>
          <t>CHOOSE RATING</t>
        </is>
      </c>
      <c r="DL370" s="40" t="inlineStr">
        <is>
          <t>CHOOSE RATING</t>
        </is>
      </c>
      <c r="DM370" s="40" t="inlineStr">
        <is>
          <t>CHOOSE RATING</t>
        </is>
      </c>
      <c r="DN370" s="40" t="inlineStr">
        <is>
          <t>CHOOSE RATING</t>
        </is>
      </c>
      <c r="DO370" s="40" t="inlineStr">
        <is>
          <t>CHOOSE RATING</t>
        </is>
      </c>
      <c r="DP370" s="40" t="inlineStr">
        <is>
          <t>CHOOSE RATING</t>
        </is>
      </c>
      <c r="DQ370" s="40" t="inlineStr">
        <is>
          <t>CHOOSE RATING</t>
        </is>
      </c>
      <c r="DR370" s="43" t="inlineStr">
        <is>
          <t>2024/2025</t>
        </is>
      </c>
      <c r="DS370" s="45" t="inlineStr">
        <is>
          <t>THIRD</t>
        </is>
      </c>
      <c r="DT370" s="40" t="inlineStr">
        <is>
          <t>CHOOSE RATING</t>
        </is>
      </c>
      <c r="DU370" s="40" t="inlineStr">
        <is>
          <t>CHOOSE RATING</t>
        </is>
      </c>
      <c r="DV370" s="40" t="inlineStr">
        <is>
          <t>CHOOSE RATING</t>
        </is>
      </c>
      <c r="DW370" s="40" t="inlineStr">
        <is>
          <t>CHOOSE RATING</t>
        </is>
      </c>
      <c r="DX370" s="40" t="inlineStr">
        <is>
          <t>CHOOSE RATING</t>
        </is>
      </c>
      <c r="DY370" s="40" t="inlineStr">
        <is>
          <t>CHOOSE RATING</t>
        </is>
      </c>
      <c r="DZ370" s="53" t="inlineStr">
        <is>
          <t>CHOOSE RATING</t>
        </is>
      </c>
      <c r="EA370" s="54" t="inlineStr">
        <is>
          <t>Add the Tutor's Comment . . .</t>
        </is>
      </c>
      <c r="EB370" s="55" t="inlineStr">
        <is>
          <t>Choose Principals comment</t>
        </is>
      </c>
      <c r="EC370" s="56" t="n"/>
      <c r="ED370" s="57" t="inlineStr">
        <is>
          <t>Next Term Begins on Monday, 22nd September, 2025</t>
        </is>
      </c>
    </row>
    <row r="371" ht="30.6" customHeight="1" s="6">
      <c r="A371" s="18" t="n">
        <v>368</v>
      </c>
      <c r="B371" s="19" t="n"/>
      <c r="C371" s="20" t="n"/>
      <c r="D371" s="128" t="n"/>
      <c r="E371" s="21" t="n"/>
      <c r="F371" s="22" t="n"/>
      <c r="G371" s="22" t="n"/>
      <c r="H371" s="22" t="n"/>
      <c r="I371" s="26">
        <f>G371-H371</f>
        <v/>
      </c>
      <c r="J371" s="21" t="n"/>
      <c r="K371" s="21" t="n"/>
      <c r="L371" s="27">
        <f>SUM(J371:K371)</f>
        <v/>
      </c>
      <c r="M371" s="28" t="n"/>
      <c r="N371" s="28" t="n"/>
      <c r="O371" s="29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1" t="n"/>
      <c r="Q371" s="21" t="n"/>
      <c r="R371" s="27">
        <f>SUM(P371:Q371)</f>
        <v/>
      </c>
      <c r="S371" s="28" t="n"/>
      <c r="T371" s="28" t="n"/>
      <c r="U371" s="29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1" t="n"/>
      <c r="W371" s="21" t="n"/>
      <c r="X371" s="27">
        <f>SUM(V371:W371)</f>
        <v/>
      </c>
      <c r="Y371" s="28" t="n"/>
      <c r="Z371" s="28" t="n"/>
      <c r="AA371" s="29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1" t="n"/>
      <c r="AC371" s="21" t="n"/>
      <c r="AD371" s="27">
        <f>SUM(AB371:AC371)</f>
        <v/>
      </c>
      <c r="AE371" s="28" t="n"/>
      <c r="AF371" s="28" t="n"/>
      <c r="AG371" s="29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1" t="n"/>
      <c r="AI371" s="21" t="n"/>
      <c r="AJ371" s="27">
        <f>SUM(AH371:AI371)</f>
        <v/>
      </c>
      <c r="AK371" s="28" t="n"/>
      <c r="AL371" s="28" t="n"/>
      <c r="AM371" s="29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1" t="n"/>
      <c r="AO371" s="21" t="n"/>
      <c r="AP371" s="27">
        <f>SUM(AN371:AO371)</f>
        <v/>
      </c>
      <c r="AQ371" s="28" t="n"/>
      <c r="AR371" s="30" t="n"/>
      <c r="AS371" s="29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1" t="n"/>
      <c r="AU371" s="21" t="n"/>
      <c r="AV371" s="27">
        <f>SUM(AT371:AU371)</f>
        <v/>
      </c>
      <c r="AW371" s="28" t="n"/>
      <c r="AX371" s="30" t="n"/>
      <c r="AY371" s="29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1" t="n"/>
      <c r="BA371" s="21" t="n"/>
      <c r="BB371" s="27">
        <f>SUM(AZ371:BA371)</f>
        <v/>
      </c>
      <c r="BC371" s="28" t="n"/>
      <c r="BD371" s="28" t="n"/>
      <c r="BE371" s="29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1" t="n"/>
      <c r="BG371" s="21" t="n"/>
      <c r="BH371" s="27">
        <f>SUM(BF371:BG371)</f>
        <v/>
      </c>
      <c r="BI371" s="28" t="n"/>
      <c r="BJ371" s="28" t="n"/>
      <c r="BK371" s="29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1" t="n"/>
      <c r="BM371" s="21" t="n"/>
      <c r="BN371" s="27">
        <f>SUM(BL371:BM371)</f>
        <v/>
      </c>
      <c r="BO371" s="28" t="n"/>
      <c r="BP371" s="31" t="n"/>
      <c r="BQ371" s="29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1" t="n"/>
      <c r="BS371" s="21" t="n"/>
      <c r="BT371" s="27">
        <f>SUM(BR371:BS371)</f>
        <v/>
      </c>
      <c r="BU371" s="28" t="n"/>
      <c r="BV371" s="31" t="n"/>
      <c r="BW371" s="29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1" t="n"/>
      <c r="BY371" s="21" t="n"/>
      <c r="BZ371" s="27">
        <f>SUM(BX371:BY371)</f>
        <v/>
      </c>
      <c r="CA371" s="28" t="n"/>
      <c r="CB371" s="31" t="n"/>
      <c r="CC371" s="29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1" t="n"/>
      <c r="CE371" s="21" t="n"/>
      <c r="CF371" s="27">
        <f>SUM(CD371:CE371)</f>
        <v/>
      </c>
      <c r="CG371" s="28" t="n"/>
      <c r="CH371" s="31" t="n"/>
      <c r="CI371" s="29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1" t="n"/>
      <c r="CK371" s="21" t="n"/>
      <c r="CL371" s="27">
        <f>SUM(CJ371:CK371)</f>
        <v/>
      </c>
      <c r="CM371" s="28" t="n"/>
      <c r="CN371" s="31" t="n"/>
      <c r="CO371" s="29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1" t="n"/>
      <c r="CQ371" s="21" t="n"/>
      <c r="CR371" s="27">
        <f>SUM(CP371:CQ371)</f>
        <v/>
      </c>
      <c r="CS371" s="28" t="n"/>
      <c r="CT371" s="31" t="n"/>
      <c r="CU371" s="29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1" t="n"/>
      <c r="CW371" s="21" t="n"/>
      <c r="CX371" s="27">
        <f>SUM(CV371:CW371)</f>
        <v/>
      </c>
      <c r="CY371" s="28" t="n"/>
      <c r="CZ371" s="31" t="n"/>
      <c r="DA371" s="29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1" t="n"/>
      <c r="DC371" s="21" t="n"/>
      <c r="DD371" s="27">
        <f>SUM(DB371:DC371)</f>
        <v/>
      </c>
      <c r="DE371" s="28" t="n"/>
      <c r="DF371" s="31" t="n"/>
      <c r="DG371" s="29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34">
        <f>SUM(O371,U371,AA371,AG371,AM371,AS371,AY371,BE371,BK371,BQ371,BW371,CC371,CI371,CO371,CU371,DA371,DG371)</f>
        <v/>
      </c>
      <c r="DI371" s="39">
        <f>RANK(DH371,DH$4:DH$503)</f>
        <v/>
      </c>
      <c r="DJ371" s="40" t="inlineStr">
        <is>
          <t>CHOOSE RATING</t>
        </is>
      </c>
      <c r="DK371" s="40" t="inlineStr">
        <is>
          <t>CHOOSE RATING</t>
        </is>
      </c>
      <c r="DL371" s="40" t="inlineStr">
        <is>
          <t>CHOOSE RATING</t>
        </is>
      </c>
      <c r="DM371" s="40" t="inlineStr">
        <is>
          <t>CHOOSE RATING</t>
        </is>
      </c>
      <c r="DN371" s="40" t="inlineStr">
        <is>
          <t>CHOOSE RATING</t>
        </is>
      </c>
      <c r="DO371" s="40" t="inlineStr">
        <is>
          <t>CHOOSE RATING</t>
        </is>
      </c>
      <c r="DP371" s="40" t="inlineStr">
        <is>
          <t>CHOOSE RATING</t>
        </is>
      </c>
      <c r="DQ371" s="40" t="inlineStr">
        <is>
          <t>CHOOSE RATING</t>
        </is>
      </c>
      <c r="DR371" s="43" t="inlineStr">
        <is>
          <t>2024/2025</t>
        </is>
      </c>
      <c r="DS371" s="45" t="inlineStr">
        <is>
          <t>THIRD</t>
        </is>
      </c>
      <c r="DT371" s="40" t="inlineStr">
        <is>
          <t>CHOOSE RATING</t>
        </is>
      </c>
      <c r="DU371" s="40" t="inlineStr">
        <is>
          <t>CHOOSE RATING</t>
        </is>
      </c>
      <c r="DV371" s="40" t="inlineStr">
        <is>
          <t>CHOOSE RATING</t>
        </is>
      </c>
      <c r="DW371" s="40" t="inlineStr">
        <is>
          <t>CHOOSE RATING</t>
        </is>
      </c>
      <c r="DX371" s="40" t="inlineStr">
        <is>
          <t>CHOOSE RATING</t>
        </is>
      </c>
      <c r="DY371" s="40" t="inlineStr">
        <is>
          <t>CHOOSE RATING</t>
        </is>
      </c>
      <c r="DZ371" s="53" t="inlineStr">
        <is>
          <t>CHOOSE RATING</t>
        </is>
      </c>
      <c r="EA371" s="54" t="inlineStr">
        <is>
          <t>Add the Tutor's Comment . . .</t>
        </is>
      </c>
      <c r="EB371" s="55" t="inlineStr">
        <is>
          <t>Choose Principals comment</t>
        </is>
      </c>
      <c r="EC371" s="56" t="n"/>
      <c r="ED371" s="57" t="inlineStr">
        <is>
          <t>Next Term Begins on Monday, 22nd September, 2025</t>
        </is>
      </c>
    </row>
    <row r="372" ht="30.6" customHeight="1" s="6">
      <c r="A372" s="18" t="n">
        <v>369</v>
      </c>
      <c r="B372" s="19" t="n"/>
      <c r="C372" s="20" t="n"/>
      <c r="D372" s="128" t="n"/>
      <c r="E372" s="21" t="n"/>
      <c r="F372" s="22" t="n"/>
      <c r="G372" s="22" t="n"/>
      <c r="H372" s="22" t="n"/>
      <c r="I372" s="26">
        <f>G372-H372</f>
        <v/>
      </c>
      <c r="J372" s="21" t="n"/>
      <c r="K372" s="21" t="n"/>
      <c r="L372" s="27">
        <f>SUM(J372:K372)</f>
        <v/>
      </c>
      <c r="M372" s="28" t="n"/>
      <c r="N372" s="28" t="n"/>
      <c r="O372" s="29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1" t="n"/>
      <c r="Q372" s="21" t="n"/>
      <c r="R372" s="27">
        <f>SUM(P372:Q372)</f>
        <v/>
      </c>
      <c r="S372" s="28" t="n"/>
      <c r="T372" s="28" t="n"/>
      <c r="U372" s="29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1" t="n"/>
      <c r="W372" s="21" t="n"/>
      <c r="X372" s="27">
        <f>SUM(V372:W372)</f>
        <v/>
      </c>
      <c r="Y372" s="28" t="n"/>
      <c r="Z372" s="28" t="n"/>
      <c r="AA372" s="29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1" t="n"/>
      <c r="AC372" s="21" t="n"/>
      <c r="AD372" s="27">
        <f>SUM(AB372:AC372)</f>
        <v/>
      </c>
      <c r="AE372" s="28" t="n"/>
      <c r="AF372" s="28" t="n"/>
      <c r="AG372" s="29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1" t="n"/>
      <c r="AI372" s="21" t="n"/>
      <c r="AJ372" s="27">
        <f>SUM(AH372:AI372)</f>
        <v/>
      </c>
      <c r="AK372" s="28" t="n"/>
      <c r="AL372" s="28" t="n"/>
      <c r="AM372" s="29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1" t="n"/>
      <c r="AO372" s="21" t="n"/>
      <c r="AP372" s="27">
        <f>SUM(AN372:AO372)</f>
        <v/>
      </c>
      <c r="AQ372" s="28" t="n"/>
      <c r="AR372" s="30" t="n"/>
      <c r="AS372" s="29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1" t="n"/>
      <c r="AU372" s="21" t="n"/>
      <c r="AV372" s="27">
        <f>SUM(AT372:AU372)</f>
        <v/>
      </c>
      <c r="AW372" s="28" t="n"/>
      <c r="AX372" s="30" t="n"/>
      <c r="AY372" s="29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1" t="n"/>
      <c r="BA372" s="21" t="n"/>
      <c r="BB372" s="27">
        <f>SUM(AZ372:BA372)</f>
        <v/>
      </c>
      <c r="BC372" s="28" t="n"/>
      <c r="BD372" s="28" t="n"/>
      <c r="BE372" s="29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1" t="n"/>
      <c r="BG372" s="21" t="n"/>
      <c r="BH372" s="27">
        <f>SUM(BF372:BG372)</f>
        <v/>
      </c>
      <c r="BI372" s="28" t="n"/>
      <c r="BJ372" s="28" t="n"/>
      <c r="BK372" s="29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1" t="n"/>
      <c r="BM372" s="21" t="n"/>
      <c r="BN372" s="27">
        <f>SUM(BL372:BM372)</f>
        <v/>
      </c>
      <c r="BO372" s="28" t="n"/>
      <c r="BP372" s="31" t="n"/>
      <c r="BQ372" s="29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1" t="n"/>
      <c r="BS372" s="21" t="n"/>
      <c r="BT372" s="27">
        <f>SUM(BR372:BS372)</f>
        <v/>
      </c>
      <c r="BU372" s="28" t="n"/>
      <c r="BV372" s="31" t="n"/>
      <c r="BW372" s="29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1" t="n"/>
      <c r="BY372" s="21" t="n"/>
      <c r="BZ372" s="27">
        <f>SUM(BX372:BY372)</f>
        <v/>
      </c>
      <c r="CA372" s="28" t="n"/>
      <c r="CB372" s="31" t="n"/>
      <c r="CC372" s="29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1" t="n"/>
      <c r="CE372" s="21" t="n"/>
      <c r="CF372" s="27">
        <f>SUM(CD372:CE372)</f>
        <v/>
      </c>
      <c r="CG372" s="28" t="n"/>
      <c r="CH372" s="31" t="n"/>
      <c r="CI372" s="29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1" t="n"/>
      <c r="CK372" s="21" t="n"/>
      <c r="CL372" s="27">
        <f>SUM(CJ372:CK372)</f>
        <v/>
      </c>
      <c r="CM372" s="28" t="n"/>
      <c r="CN372" s="31" t="n"/>
      <c r="CO372" s="29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1" t="n"/>
      <c r="CQ372" s="21" t="n"/>
      <c r="CR372" s="27">
        <f>SUM(CP372:CQ372)</f>
        <v/>
      </c>
      <c r="CS372" s="28" t="n"/>
      <c r="CT372" s="31" t="n"/>
      <c r="CU372" s="29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1" t="n"/>
      <c r="CW372" s="21" t="n"/>
      <c r="CX372" s="27">
        <f>SUM(CV372:CW372)</f>
        <v/>
      </c>
      <c r="CY372" s="28" t="n"/>
      <c r="CZ372" s="31" t="n"/>
      <c r="DA372" s="29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1" t="n"/>
      <c r="DC372" s="21" t="n"/>
      <c r="DD372" s="27">
        <f>SUM(DB372:DC372)</f>
        <v/>
      </c>
      <c r="DE372" s="28" t="n"/>
      <c r="DF372" s="31" t="n"/>
      <c r="DG372" s="29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34">
        <f>SUM(O372,U372,AA372,AG372,AM372,AS372,AY372,BE372,BK372,BQ372,BW372,CC372,CI372,CO372,CU372,DA372,DG372)</f>
        <v/>
      </c>
      <c r="DI372" s="39">
        <f>RANK(DH372,DH$4:DH$503)</f>
        <v/>
      </c>
      <c r="DJ372" s="40" t="inlineStr">
        <is>
          <t>CHOOSE RATING</t>
        </is>
      </c>
      <c r="DK372" s="40" t="inlineStr">
        <is>
          <t>CHOOSE RATING</t>
        </is>
      </c>
      <c r="DL372" s="40" t="inlineStr">
        <is>
          <t>CHOOSE RATING</t>
        </is>
      </c>
      <c r="DM372" s="40" t="inlineStr">
        <is>
          <t>CHOOSE RATING</t>
        </is>
      </c>
      <c r="DN372" s="40" t="inlineStr">
        <is>
          <t>CHOOSE RATING</t>
        </is>
      </c>
      <c r="DO372" s="40" t="inlineStr">
        <is>
          <t>CHOOSE RATING</t>
        </is>
      </c>
      <c r="DP372" s="40" t="inlineStr">
        <is>
          <t>CHOOSE RATING</t>
        </is>
      </c>
      <c r="DQ372" s="40" t="inlineStr">
        <is>
          <t>CHOOSE RATING</t>
        </is>
      </c>
      <c r="DR372" s="43" t="inlineStr">
        <is>
          <t>2024/2025</t>
        </is>
      </c>
      <c r="DS372" s="45" t="inlineStr">
        <is>
          <t>THIRD</t>
        </is>
      </c>
      <c r="DT372" s="40" t="inlineStr">
        <is>
          <t>CHOOSE RATING</t>
        </is>
      </c>
      <c r="DU372" s="40" t="inlineStr">
        <is>
          <t>CHOOSE RATING</t>
        </is>
      </c>
      <c r="DV372" s="40" t="inlineStr">
        <is>
          <t>CHOOSE RATING</t>
        </is>
      </c>
      <c r="DW372" s="40" t="inlineStr">
        <is>
          <t>CHOOSE RATING</t>
        </is>
      </c>
      <c r="DX372" s="40" t="inlineStr">
        <is>
          <t>CHOOSE RATING</t>
        </is>
      </c>
      <c r="DY372" s="40" t="inlineStr">
        <is>
          <t>CHOOSE RATING</t>
        </is>
      </c>
      <c r="DZ372" s="53" t="inlineStr">
        <is>
          <t>CHOOSE RATING</t>
        </is>
      </c>
      <c r="EA372" s="54" t="inlineStr">
        <is>
          <t>Add the Tutor's Comment . . .</t>
        </is>
      </c>
      <c r="EB372" s="55" t="inlineStr">
        <is>
          <t>Choose Principals comment</t>
        </is>
      </c>
      <c r="EC372" s="56" t="n"/>
      <c r="ED372" s="57" t="inlineStr">
        <is>
          <t>Next Term Begins on Monday, 22nd September, 2025</t>
        </is>
      </c>
    </row>
    <row r="373" ht="30.6" customHeight="1" s="6">
      <c r="A373" s="18" t="n">
        <v>370</v>
      </c>
      <c r="B373" s="19" t="n"/>
      <c r="C373" s="20" t="n"/>
      <c r="D373" s="128" t="n"/>
      <c r="E373" s="21" t="n"/>
      <c r="F373" s="22" t="n"/>
      <c r="G373" s="22" t="n"/>
      <c r="H373" s="22" t="n"/>
      <c r="I373" s="26">
        <f>G373-H373</f>
        <v/>
      </c>
      <c r="J373" s="21" t="n"/>
      <c r="K373" s="21" t="n"/>
      <c r="L373" s="27">
        <f>SUM(J373:K373)</f>
        <v/>
      </c>
      <c r="M373" s="28" t="n"/>
      <c r="N373" s="28" t="n"/>
      <c r="O373" s="29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1" t="n"/>
      <c r="Q373" s="21" t="n"/>
      <c r="R373" s="27">
        <f>SUM(P373:Q373)</f>
        <v/>
      </c>
      <c r="S373" s="28" t="n"/>
      <c r="T373" s="28" t="n"/>
      <c r="U373" s="29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1" t="n"/>
      <c r="W373" s="21" t="n"/>
      <c r="X373" s="27">
        <f>SUM(V373:W373)</f>
        <v/>
      </c>
      <c r="Y373" s="28" t="n"/>
      <c r="Z373" s="28" t="n"/>
      <c r="AA373" s="29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1" t="n"/>
      <c r="AC373" s="21" t="n"/>
      <c r="AD373" s="27">
        <f>SUM(AB373:AC373)</f>
        <v/>
      </c>
      <c r="AE373" s="28" t="n"/>
      <c r="AF373" s="28" t="n"/>
      <c r="AG373" s="29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1" t="n"/>
      <c r="AI373" s="21" t="n"/>
      <c r="AJ373" s="27">
        <f>SUM(AH373:AI373)</f>
        <v/>
      </c>
      <c r="AK373" s="28" t="n"/>
      <c r="AL373" s="28" t="n"/>
      <c r="AM373" s="29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1" t="n"/>
      <c r="AO373" s="21" t="n"/>
      <c r="AP373" s="27">
        <f>SUM(AN373:AO373)</f>
        <v/>
      </c>
      <c r="AQ373" s="28" t="n"/>
      <c r="AR373" s="30" t="n"/>
      <c r="AS373" s="29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1" t="n"/>
      <c r="AU373" s="21" t="n"/>
      <c r="AV373" s="27">
        <f>SUM(AT373:AU373)</f>
        <v/>
      </c>
      <c r="AW373" s="28" t="n"/>
      <c r="AX373" s="30" t="n"/>
      <c r="AY373" s="29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1" t="n"/>
      <c r="BA373" s="21" t="n"/>
      <c r="BB373" s="27">
        <f>SUM(AZ373:BA373)</f>
        <v/>
      </c>
      <c r="BC373" s="28" t="n"/>
      <c r="BD373" s="28" t="n"/>
      <c r="BE373" s="29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1" t="n"/>
      <c r="BG373" s="21" t="n"/>
      <c r="BH373" s="27">
        <f>SUM(BF373:BG373)</f>
        <v/>
      </c>
      <c r="BI373" s="28" t="n"/>
      <c r="BJ373" s="28" t="n"/>
      <c r="BK373" s="29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1" t="n"/>
      <c r="BM373" s="21" t="n"/>
      <c r="BN373" s="27">
        <f>SUM(BL373:BM373)</f>
        <v/>
      </c>
      <c r="BO373" s="28" t="n"/>
      <c r="BP373" s="31" t="n"/>
      <c r="BQ373" s="29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1" t="n"/>
      <c r="BS373" s="21" t="n"/>
      <c r="BT373" s="27">
        <f>SUM(BR373:BS373)</f>
        <v/>
      </c>
      <c r="BU373" s="28" t="n"/>
      <c r="BV373" s="31" t="n"/>
      <c r="BW373" s="29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1" t="n"/>
      <c r="BY373" s="21" t="n"/>
      <c r="BZ373" s="27">
        <f>SUM(BX373:BY373)</f>
        <v/>
      </c>
      <c r="CA373" s="28" t="n"/>
      <c r="CB373" s="31" t="n"/>
      <c r="CC373" s="29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1" t="n"/>
      <c r="CE373" s="21" t="n"/>
      <c r="CF373" s="27">
        <f>SUM(CD373:CE373)</f>
        <v/>
      </c>
      <c r="CG373" s="28" t="n"/>
      <c r="CH373" s="31" t="n"/>
      <c r="CI373" s="29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1" t="n"/>
      <c r="CK373" s="21" t="n"/>
      <c r="CL373" s="27">
        <f>SUM(CJ373:CK373)</f>
        <v/>
      </c>
      <c r="CM373" s="28" t="n"/>
      <c r="CN373" s="31" t="n"/>
      <c r="CO373" s="29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1" t="n"/>
      <c r="CQ373" s="21" t="n"/>
      <c r="CR373" s="27">
        <f>SUM(CP373:CQ373)</f>
        <v/>
      </c>
      <c r="CS373" s="28" t="n"/>
      <c r="CT373" s="31" t="n"/>
      <c r="CU373" s="29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1" t="n"/>
      <c r="CW373" s="21" t="n"/>
      <c r="CX373" s="27">
        <f>SUM(CV373:CW373)</f>
        <v/>
      </c>
      <c r="CY373" s="28" t="n"/>
      <c r="CZ373" s="31" t="n"/>
      <c r="DA373" s="29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1" t="n"/>
      <c r="DC373" s="21" t="n"/>
      <c r="DD373" s="27">
        <f>SUM(DB373:DC373)</f>
        <v/>
      </c>
      <c r="DE373" s="28" t="n"/>
      <c r="DF373" s="31" t="n"/>
      <c r="DG373" s="29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34">
        <f>SUM(O373,U373,AA373,AG373,AM373,AS373,AY373,BE373,BK373,BQ373,BW373,CC373,CI373,CO373,CU373,DA373,DG373)</f>
        <v/>
      </c>
      <c r="DI373" s="39">
        <f>RANK(DH373,DH$4:DH$503)</f>
        <v/>
      </c>
      <c r="DJ373" s="40" t="inlineStr">
        <is>
          <t>CHOOSE RATING</t>
        </is>
      </c>
      <c r="DK373" s="40" t="inlineStr">
        <is>
          <t>CHOOSE RATING</t>
        </is>
      </c>
      <c r="DL373" s="40" t="inlineStr">
        <is>
          <t>CHOOSE RATING</t>
        </is>
      </c>
      <c r="DM373" s="40" t="inlineStr">
        <is>
          <t>CHOOSE RATING</t>
        </is>
      </c>
      <c r="DN373" s="40" t="inlineStr">
        <is>
          <t>CHOOSE RATING</t>
        </is>
      </c>
      <c r="DO373" s="40" t="inlineStr">
        <is>
          <t>CHOOSE RATING</t>
        </is>
      </c>
      <c r="DP373" s="40" t="inlineStr">
        <is>
          <t>CHOOSE RATING</t>
        </is>
      </c>
      <c r="DQ373" s="40" t="inlineStr">
        <is>
          <t>CHOOSE RATING</t>
        </is>
      </c>
      <c r="DR373" s="43" t="inlineStr">
        <is>
          <t>2024/2025</t>
        </is>
      </c>
      <c r="DS373" s="45" t="inlineStr">
        <is>
          <t>THIRD</t>
        </is>
      </c>
      <c r="DT373" s="40" t="inlineStr">
        <is>
          <t>CHOOSE RATING</t>
        </is>
      </c>
      <c r="DU373" s="40" t="inlineStr">
        <is>
          <t>CHOOSE RATING</t>
        </is>
      </c>
      <c r="DV373" s="40" t="inlineStr">
        <is>
          <t>CHOOSE RATING</t>
        </is>
      </c>
      <c r="DW373" s="40" t="inlineStr">
        <is>
          <t>CHOOSE RATING</t>
        </is>
      </c>
      <c r="DX373" s="40" t="inlineStr">
        <is>
          <t>CHOOSE RATING</t>
        </is>
      </c>
      <c r="DY373" s="40" t="inlineStr">
        <is>
          <t>CHOOSE RATING</t>
        </is>
      </c>
      <c r="DZ373" s="53" t="inlineStr">
        <is>
          <t>CHOOSE RATING</t>
        </is>
      </c>
      <c r="EA373" s="54" t="inlineStr">
        <is>
          <t>Add the Tutor's Comment . . .</t>
        </is>
      </c>
      <c r="EB373" s="55" t="inlineStr">
        <is>
          <t>Choose Principals comment</t>
        </is>
      </c>
      <c r="EC373" s="56" t="n"/>
      <c r="ED373" s="57" t="inlineStr">
        <is>
          <t>Next Term Begins on Monday, 22nd September, 2025</t>
        </is>
      </c>
    </row>
    <row r="374" ht="30.6" customHeight="1" s="6">
      <c r="A374" s="18" t="n">
        <v>371</v>
      </c>
      <c r="B374" s="19" t="n"/>
      <c r="C374" s="20" t="n"/>
      <c r="D374" s="128" t="n"/>
      <c r="E374" s="21" t="n"/>
      <c r="F374" s="22" t="n"/>
      <c r="G374" s="22" t="n"/>
      <c r="H374" s="22" t="n"/>
      <c r="I374" s="26">
        <f>G374-H374</f>
        <v/>
      </c>
      <c r="J374" s="21" t="n"/>
      <c r="K374" s="21" t="n"/>
      <c r="L374" s="27">
        <f>SUM(J374:K374)</f>
        <v/>
      </c>
      <c r="M374" s="28" t="n"/>
      <c r="N374" s="28" t="n"/>
      <c r="O374" s="29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1" t="n"/>
      <c r="Q374" s="21" t="n"/>
      <c r="R374" s="27">
        <f>SUM(P374:Q374)</f>
        <v/>
      </c>
      <c r="S374" s="28" t="n"/>
      <c r="T374" s="28" t="n"/>
      <c r="U374" s="29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1" t="n"/>
      <c r="W374" s="21" t="n"/>
      <c r="X374" s="27">
        <f>SUM(V374:W374)</f>
        <v/>
      </c>
      <c r="Y374" s="28" t="n"/>
      <c r="Z374" s="28" t="n"/>
      <c r="AA374" s="29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1" t="n"/>
      <c r="AC374" s="21" t="n"/>
      <c r="AD374" s="27">
        <f>SUM(AB374:AC374)</f>
        <v/>
      </c>
      <c r="AE374" s="28" t="n"/>
      <c r="AF374" s="28" t="n"/>
      <c r="AG374" s="29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1" t="n"/>
      <c r="AI374" s="21" t="n"/>
      <c r="AJ374" s="27">
        <f>SUM(AH374:AI374)</f>
        <v/>
      </c>
      <c r="AK374" s="28" t="n"/>
      <c r="AL374" s="28" t="n"/>
      <c r="AM374" s="29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1" t="n"/>
      <c r="AO374" s="21" t="n"/>
      <c r="AP374" s="27">
        <f>SUM(AN374:AO374)</f>
        <v/>
      </c>
      <c r="AQ374" s="28" t="n"/>
      <c r="AR374" s="30" t="n"/>
      <c r="AS374" s="29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1" t="n"/>
      <c r="AU374" s="21" t="n"/>
      <c r="AV374" s="27">
        <f>SUM(AT374:AU374)</f>
        <v/>
      </c>
      <c r="AW374" s="28" t="n"/>
      <c r="AX374" s="30" t="n"/>
      <c r="AY374" s="29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1" t="n"/>
      <c r="BA374" s="21" t="n"/>
      <c r="BB374" s="27">
        <f>SUM(AZ374:BA374)</f>
        <v/>
      </c>
      <c r="BC374" s="28" t="n"/>
      <c r="BD374" s="28" t="n"/>
      <c r="BE374" s="29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1" t="n"/>
      <c r="BG374" s="21" t="n"/>
      <c r="BH374" s="27">
        <f>SUM(BF374:BG374)</f>
        <v/>
      </c>
      <c r="BI374" s="28" t="n"/>
      <c r="BJ374" s="28" t="n"/>
      <c r="BK374" s="29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1" t="n"/>
      <c r="BM374" s="21" t="n"/>
      <c r="BN374" s="27">
        <f>SUM(BL374:BM374)</f>
        <v/>
      </c>
      <c r="BO374" s="28" t="n"/>
      <c r="BP374" s="31" t="n"/>
      <c r="BQ374" s="29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1" t="n"/>
      <c r="BS374" s="21" t="n"/>
      <c r="BT374" s="27">
        <f>SUM(BR374:BS374)</f>
        <v/>
      </c>
      <c r="BU374" s="28" t="n"/>
      <c r="BV374" s="31" t="n"/>
      <c r="BW374" s="29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1" t="n"/>
      <c r="BY374" s="21" t="n"/>
      <c r="BZ374" s="27">
        <f>SUM(BX374:BY374)</f>
        <v/>
      </c>
      <c r="CA374" s="28" t="n"/>
      <c r="CB374" s="31" t="n"/>
      <c r="CC374" s="29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1" t="n"/>
      <c r="CE374" s="21" t="n"/>
      <c r="CF374" s="27">
        <f>SUM(CD374:CE374)</f>
        <v/>
      </c>
      <c r="CG374" s="28" t="n"/>
      <c r="CH374" s="31" t="n"/>
      <c r="CI374" s="29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1" t="n"/>
      <c r="CK374" s="21" t="n"/>
      <c r="CL374" s="27">
        <f>SUM(CJ374:CK374)</f>
        <v/>
      </c>
      <c r="CM374" s="28" t="n"/>
      <c r="CN374" s="31" t="n"/>
      <c r="CO374" s="29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1" t="n"/>
      <c r="CQ374" s="21" t="n"/>
      <c r="CR374" s="27">
        <f>SUM(CP374:CQ374)</f>
        <v/>
      </c>
      <c r="CS374" s="28" t="n"/>
      <c r="CT374" s="31" t="n"/>
      <c r="CU374" s="29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1" t="n"/>
      <c r="CW374" s="21" t="n"/>
      <c r="CX374" s="27">
        <f>SUM(CV374:CW374)</f>
        <v/>
      </c>
      <c r="CY374" s="28" t="n"/>
      <c r="CZ374" s="31" t="n"/>
      <c r="DA374" s="29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1" t="n"/>
      <c r="DC374" s="21" t="n"/>
      <c r="DD374" s="27">
        <f>SUM(DB374:DC374)</f>
        <v/>
      </c>
      <c r="DE374" s="28" t="n"/>
      <c r="DF374" s="31" t="n"/>
      <c r="DG374" s="29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34">
        <f>SUM(O374,U374,AA374,AG374,AM374,AS374,AY374,BE374,BK374,BQ374,BW374,CC374,CI374,CO374,CU374,DA374,DG374)</f>
        <v/>
      </c>
      <c r="DI374" s="39">
        <f>RANK(DH374,DH$4:DH$503)</f>
        <v/>
      </c>
      <c r="DJ374" s="40" t="inlineStr">
        <is>
          <t>CHOOSE RATING</t>
        </is>
      </c>
      <c r="DK374" s="40" t="inlineStr">
        <is>
          <t>CHOOSE RATING</t>
        </is>
      </c>
      <c r="DL374" s="40" t="inlineStr">
        <is>
          <t>CHOOSE RATING</t>
        </is>
      </c>
      <c r="DM374" s="40" t="inlineStr">
        <is>
          <t>CHOOSE RATING</t>
        </is>
      </c>
      <c r="DN374" s="40" t="inlineStr">
        <is>
          <t>CHOOSE RATING</t>
        </is>
      </c>
      <c r="DO374" s="40" t="inlineStr">
        <is>
          <t>CHOOSE RATING</t>
        </is>
      </c>
      <c r="DP374" s="40" t="inlineStr">
        <is>
          <t>CHOOSE RATING</t>
        </is>
      </c>
      <c r="DQ374" s="40" t="inlineStr">
        <is>
          <t>CHOOSE RATING</t>
        </is>
      </c>
      <c r="DR374" s="43" t="inlineStr">
        <is>
          <t>2024/2025</t>
        </is>
      </c>
      <c r="DS374" s="45" t="inlineStr">
        <is>
          <t>THIRD</t>
        </is>
      </c>
      <c r="DT374" s="40" t="inlineStr">
        <is>
          <t>CHOOSE RATING</t>
        </is>
      </c>
      <c r="DU374" s="40" t="inlineStr">
        <is>
          <t>CHOOSE RATING</t>
        </is>
      </c>
      <c r="DV374" s="40" t="inlineStr">
        <is>
          <t>CHOOSE RATING</t>
        </is>
      </c>
      <c r="DW374" s="40" t="inlineStr">
        <is>
          <t>CHOOSE RATING</t>
        </is>
      </c>
      <c r="DX374" s="40" t="inlineStr">
        <is>
          <t>CHOOSE RATING</t>
        </is>
      </c>
      <c r="DY374" s="40" t="inlineStr">
        <is>
          <t>CHOOSE RATING</t>
        </is>
      </c>
      <c r="DZ374" s="53" t="inlineStr">
        <is>
          <t>CHOOSE RATING</t>
        </is>
      </c>
      <c r="EA374" s="54" t="inlineStr">
        <is>
          <t>Add the Tutor's Comment . . .</t>
        </is>
      </c>
      <c r="EB374" s="55" t="inlineStr">
        <is>
          <t>Choose Principals comment</t>
        </is>
      </c>
      <c r="EC374" s="56" t="n"/>
      <c r="ED374" s="57" t="inlineStr">
        <is>
          <t>Next Term Begins on Monday, 22nd September, 2025</t>
        </is>
      </c>
    </row>
    <row r="375" ht="30.6" customHeight="1" s="6">
      <c r="A375" s="18" t="n">
        <v>372</v>
      </c>
      <c r="B375" s="19" t="n"/>
      <c r="C375" s="20" t="n"/>
      <c r="D375" s="128" t="n"/>
      <c r="E375" s="21" t="n"/>
      <c r="F375" s="22" t="n"/>
      <c r="G375" s="22" t="n"/>
      <c r="H375" s="22" t="n"/>
      <c r="I375" s="26">
        <f>G375-H375</f>
        <v/>
      </c>
      <c r="J375" s="21" t="n"/>
      <c r="K375" s="21" t="n"/>
      <c r="L375" s="27">
        <f>SUM(J375:K375)</f>
        <v/>
      </c>
      <c r="M375" s="28" t="n"/>
      <c r="N375" s="28" t="n"/>
      <c r="O375" s="29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1" t="n"/>
      <c r="Q375" s="21" t="n"/>
      <c r="R375" s="27">
        <f>SUM(P375:Q375)</f>
        <v/>
      </c>
      <c r="S375" s="28" t="n"/>
      <c r="T375" s="28" t="n"/>
      <c r="U375" s="29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1" t="n"/>
      <c r="W375" s="21" t="n"/>
      <c r="X375" s="27">
        <f>SUM(V375:W375)</f>
        <v/>
      </c>
      <c r="Y375" s="28" t="n"/>
      <c r="Z375" s="28" t="n"/>
      <c r="AA375" s="29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1" t="n"/>
      <c r="AC375" s="21" t="n"/>
      <c r="AD375" s="27">
        <f>SUM(AB375:AC375)</f>
        <v/>
      </c>
      <c r="AE375" s="28" t="n"/>
      <c r="AF375" s="28" t="n"/>
      <c r="AG375" s="29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1" t="n"/>
      <c r="AI375" s="21" t="n"/>
      <c r="AJ375" s="27">
        <f>SUM(AH375:AI375)</f>
        <v/>
      </c>
      <c r="AK375" s="28" t="n"/>
      <c r="AL375" s="28" t="n"/>
      <c r="AM375" s="29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1" t="n"/>
      <c r="AO375" s="21" t="n"/>
      <c r="AP375" s="27">
        <f>SUM(AN375:AO375)</f>
        <v/>
      </c>
      <c r="AQ375" s="28" t="n"/>
      <c r="AR375" s="30" t="n"/>
      <c r="AS375" s="29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1" t="n"/>
      <c r="AU375" s="21" t="n"/>
      <c r="AV375" s="27">
        <f>SUM(AT375:AU375)</f>
        <v/>
      </c>
      <c r="AW375" s="28" t="n"/>
      <c r="AX375" s="30" t="n"/>
      <c r="AY375" s="29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1" t="n"/>
      <c r="BA375" s="21" t="n"/>
      <c r="BB375" s="27">
        <f>SUM(AZ375:BA375)</f>
        <v/>
      </c>
      <c r="BC375" s="28" t="n"/>
      <c r="BD375" s="28" t="n"/>
      <c r="BE375" s="29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1" t="n"/>
      <c r="BG375" s="21" t="n"/>
      <c r="BH375" s="27">
        <f>SUM(BF375:BG375)</f>
        <v/>
      </c>
      <c r="BI375" s="28" t="n"/>
      <c r="BJ375" s="28" t="n"/>
      <c r="BK375" s="29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1" t="n"/>
      <c r="BM375" s="21" t="n"/>
      <c r="BN375" s="27">
        <f>SUM(BL375:BM375)</f>
        <v/>
      </c>
      <c r="BO375" s="28" t="n"/>
      <c r="BP375" s="31" t="n"/>
      <c r="BQ375" s="29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1" t="n"/>
      <c r="BS375" s="21" t="n"/>
      <c r="BT375" s="27">
        <f>SUM(BR375:BS375)</f>
        <v/>
      </c>
      <c r="BU375" s="28" t="n"/>
      <c r="BV375" s="31" t="n"/>
      <c r="BW375" s="29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1" t="n"/>
      <c r="BY375" s="21" t="n"/>
      <c r="BZ375" s="27">
        <f>SUM(BX375:BY375)</f>
        <v/>
      </c>
      <c r="CA375" s="28" t="n"/>
      <c r="CB375" s="31" t="n"/>
      <c r="CC375" s="29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1" t="n"/>
      <c r="CE375" s="21" t="n"/>
      <c r="CF375" s="27">
        <f>SUM(CD375:CE375)</f>
        <v/>
      </c>
      <c r="CG375" s="28" t="n"/>
      <c r="CH375" s="31" t="n"/>
      <c r="CI375" s="29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1" t="n"/>
      <c r="CK375" s="21" t="n"/>
      <c r="CL375" s="27">
        <f>SUM(CJ375:CK375)</f>
        <v/>
      </c>
      <c r="CM375" s="28" t="n"/>
      <c r="CN375" s="31" t="n"/>
      <c r="CO375" s="29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1" t="n"/>
      <c r="CQ375" s="21" t="n"/>
      <c r="CR375" s="27">
        <f>SUM(CP375:CQ375)</f>
        <v/>
      </c>
      <c r="CS375" s="28" t="n"/>
      <c r="CT375" s="31" t="n"/>
      <c r="CU375" s="29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1" t="n"/>
      <c r="CW375" s="21" t="n"/>
      <c r="CX375" s="27">
        <f>SUM(CV375:CW375)</f>
        <v/>
      </c>
      <c r="CY375" s="28" t="n"/>
      <c r="CZ375" s="31" t="n"/>
      <c r="DA375" s="29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1" t="n"/>
      <c r="DC375" s="21" t="n"/>
      <c r="DD375" s="27">
        <f>SUM(DB375:DC375)</f>
        <v/>
      </c>
      <c r="DE375" s="28" t="n"/>
      <c r="DF375" s="31" t="n"/>
      <c r="DG375" s="29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34">
        <f>SUM(O375,U375,AA375,AG375,AM375,AS375,AY375,BE375,BK375,BQ375,BW375,CC375,CI375,CO375,CU375,DA375,DG375)</f>
        <v/>
      </c>
      <c r="DI375" s="39">
        <f>RANK(DH375,DH$4:DH$503)</f>
        <v/>
      </c>
      <c r="DJ375" s="40" t="inlineStr">
        <is>
          <t>CHOOSE RATING</t>
        </is>
      </c>
      <c r="DK375" s="40" t="inlineStr">
        <is>
          <t>CHOOSE RATING</t>
        </is>
      </c>
      <c r="DL375" s="40" t="inlineStr">
        <is>
          <t>CHOOSE RATING</t>
        </is>
      </c>
      <c r="DM375" s="40" t="inlineStr">
        <is>
          <t>CHOOSE RATING</t>
        </is>
      </c>
      <c r="DN375" s="40" t="inlineStr">
        <is>
          <t>CHOOSE RATING</t>
        </is>
      </c>
      <c r="DO375" s="40" t="inlineStr">
        <is>
          <t>CHOOSE RATING</t>
        </is>
      </c>
      <c r="DP375" s="40" t="inlineStr">
        <is>
          <t>CHOOSE RATING</t>
        </is>
      </c>
      <c r="DQ375" s="40" t="inlineStr">
        <is>
          <t>CHOOSE RATING</t>
        </is>
      </c>
      <c r="DR375" s="43" t="inlineStr">
        <is>
          <t>2024/2025</t>
        </is>
      </c>
      <c r="DS375" s="45" t="inlineStr">
        <is>
          <t>THIRD</t>
        </is>
      </c>
      <c r="DT375" s="40" t="inlineStr">
        <is>
          <t>CHOOSE RATING</t>
        </is>
      </c>
      <c r="DU375" s="40" t="inlineStr">
        <is>
          <t>CHOOSE RATING</t>
        </is>
      </c>
      <c r="DV375" s="40" t="inlineStr">
        <is>
          <t>CHOOSE RATING</t>
        </is>
      </c>
      <c r="DW375" s="40" t="inlineStr">
        <is>
          <t>CHOOSE RATING</t>
        </is>
      </c>
      <c r="DX375" s="40" t="inlineStr">
        <is>
          <t>CHOOSE RATING</t>
        </is>
      </c>
      <c r="DY375" s="40" t="inlineStr">
        <is>
          <t>CHOOSE RATING</t>
        </is>
      </c>
      <c r="DZ375" s="53" t="inlineStr">
        <is>
          <t>CHOOSE RATING</t>
        </is>
      </c>
      <c r="EA375" s="54" t="inlineStr">
        <is>
          <t>Add the Tutor's Comment . . .</t>
        </is>
      </c>
      <c r="EB375" s="55" t="inlineStr">
        <is>
          <t>Choose Principals comment</t>
        </is>
      </c>
      <c r="EC375" s="56" t="n"/>
      <c r="ED375" s="57" t="inlineStr">
        <is>
          <t>Next Term Begins on Monday, 22nd September, 2025</t>
        </is>
      </c>
    </row>
    <row r="376" ht="30.6" customHeight="1" s="6">
      <c r="A376" s="18" t="n">
        <v>373</v>
      </c>
      <c r="B376" s="19" t="n"/>
      <c r="C376" s="20" t="n"/>
      <c r="D376" s="128" t="n"/>
      <c r="E376" s="21" t="n"/>
      <c r="F376" s="22" t="n"/>
      <c r="G376" s="22" t="n"/>
      <c r="H376" s="22" t="n"/>
      <c r="I376" s="26">
        <f>G376-H376</f>
        <v/>
      </c>
      <c r="J376" s="21" t="n"/>
      <c r="K376" s="21" t="n"/>
      <c r="L376" s="27">
        <f>SUM(J376:K376)</f>
        <v/>
      </c>
      <c r="M376" s="28" t="n"/>
      <c r="N376" s="28" t="n"/>
      <c r="O376" s="29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1" t="n"/>
      <c r="Q376" s="21" t="n"/>
      <c r="R376" s="27">
        <f>SUM(P376:Q376)</f>
        <v/>
      </c>
      <c r="S376" s="28" t="n"/>
      <c r="T376" s="28" t="n"/>
      <c r="U376" s="29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1" t="n"/>
      <c r="W376" s="21" t="n"/>
      <c r="X376" s="27">
        <f>SUM(V376:W376)</f>
        <v/>
      </c>
      <c r="Y376" s="28" t="n"/>
      <c r="Z376" s="28" t="n"/>
      <c r="AA376" s="29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1" t="n"/>
      <c r="AC376" s="21" t="n"/>
      <c r="AD376" s="27">
        <f>SUM(AB376:AC376)</f>
        <v/>
      </c>
      <c r="AE376" s="28" t="n"/>
      <c r="AF376" s="28" t="n"/>
      <c r="AG376" s="29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1" t="n"/>
      <c r="AI376" s="21" t="n"/>
      <c r="AJ376" s="27">
        <f>SUM(AH376:AI376)</f>
        <v/>
      </c>
      <c r="AK376" s="28" t="n"/>
      <c r="AL376" s="28" t="n"/>
      <c r="AM376" s="29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1" t="n"/>
      <c r="AO376" s="21" t="n"/>
      <c r="AP376" s="27">
        <f>SUM(AN376:AO376)</f>
        <v/>
      </c>
      <c r="AQ376" s="28" t="n"/>
      <c r="AR376" s="30" t="n"/>
      <c r="AS376" s="29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1" t="n"/>
      <c r="AU376" s="21" t="n"/>
      <c r="AV376" s="27">
        <f>SUM(AT376:AU376)</f>
        <v/>
      </c>
      <c r="AW376" s="28" t="n"/>
      <c r="AX376" s="30" t="n"/>
      <c r="AY376" s="29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1" t="n"/>
      <c r="BA376" s="21" t="n"/>
      <c r="BB376" s="27">
        <f>SUM(AZ376:BA376)</f>
        <v/>
      </c>
      <c r="BC376" s="28" t="n"/>
      <c r="BD376" s="28" t="n"/>
      <c r="BE376" s="29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1" t="n"/>
      <c r="BG376" s="21" t="n"/>
      <c r="BH376" s="27">
        <f>SUM(BF376:BG376)</f>
        <v/>
      </c>
      <c r="BI376" s="28" t="n"/>
      <c r="BJ376" s="28" t="n"/>
      <c r="BK376" s="29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1" t="n"/>
      <c r="BM376" s="21" t="n"/>
      <c r="BN376" s="27">
        <f>SUM(BL376:BM376)</f>
        <v/>
      </c>
      <c r="BO376" s="28" t="n"/>
      <c r="BP376" s="31" t="n"/>
      <c r="BQ376" s="29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1" t="n"/>
      <c r="BS376" s="21" t="n"/>
      <c r="BT376" s="27">
        <f>SUM(BR376:BS376)</f>
        <v/>
      </c>
      <c r="BU376" s="28" t="n"/>
      <c r="BV376" s="31" t="n"/>
      <c r="BW376" s="29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1" t="n"/>
      <c r="BY376" s="21" t="n"/>
      <c r="BZ376" s="27">
        <f>SUM(BX376:BY376)</f>
        <v/>
      </c>
      <c r="CA376" s="28" t="n"/>
      <c r="CB376" s="31" t="n"/>
      <c r="CC376" s="29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1" t="n"/>
      <c r="CE376" s="21" t="n"/>
      <c r="CF376" s="27">
        <f>SUM(CD376:CE376)</f>
        <v/>
      </c>
      <c r="CG376" s="28" t="n"/>
      <c r="CH376" s="31" t="n"/>
      <c r="CI376" s="29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1" t="n"/>
      <c r="CK376" s="21" t="n"/>
      <c r="CL376" s="27">
        <f>SUM(CJ376:CK376)</f>
        <v/>
      </c>
      <c r="CM376" s="28" t="n"/>
      <c r="CN376" s="31" t="n"/>
      <c r="CO376" s="29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1" t="n"/>
      <c r="CQ376" s="21" t="n"/>
      <c r="CR376" s="27">
        <f>SUM(CP376:CQ376)</f>
        <v/>
      </c>
      <c r="CS376" s="28" t="n"/>
      <c r="CT376" s="31" t="n"/>
      <c r="CU376" s="29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1" t="n"/>
      <c r="CW376" s="21" t="n"/>
      <c r="CX376" s="27">
        <f>SUM(CV376:CW376)</f>
        <v/>
      </c>
      <c r="CY376" s="28" t="n"/>
      <c r="CZ376" s="31" t="n"/>
      <c r="DA376" s="29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1" t="n"/>
      <c r="DC376" s="21" t="n"/>
      <c r="DD376" s="27">
        <f>SUM(DB376:DC376)</f>
        <v/>
      </c>
      <c r="DE376" s="28" t="n"/>
      <c r="DF376" s="31" t="n"/>
      <c r="DG376" s="29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34">
        <f>SUM(O376,U376,AA376,AG376,AM376,AS376,AY376,BE376,BK376,BQ376,BW376,CC376,CI376,CO376,CU376,DA376,DG376)</f>
        <v/>
      </c>
      <c r="DI376" s="39">
        <f>RANK(DH376,DH$4:DH$503)</f>
        <v/>
      </c>
      <c r="DJ376" s="40" t="inlineStr">
        <is>
          <t>CHOOSE RATING</t>
        </is>
      </c>
      <c r="DK376" s="40" t="inlineStr">
        <is>
          <t>CHOOSE RATING</t>
        </is>
      </c>
      <c r="DL376" s="40" t="inlineStr">
        <is>
          <t>CHOOSE RATING</t>
        </is>
      </c>
      <c r="DM376" s="40" t="inlineStr">
        <is>
          <t>CHOOSE RATING</t>
        </is>
      </c>
      <c r="DN376" s="40" t="inlineStr">
        <is>
          <t>CHOOSE RATING</t>
        </is>
      </c>
      <c r="DO376" s="40" t="inlineStr">
        <is>
          <t>CHOOSE RATING</t>
        </is>
      </c>
      <c r="DP376" s="40" t="inlineStr">
        <is>
          <t>CHOOSE RATING</t>
        </is>
      </c>
      <c r="DQ376" s="40" t="inlineStr">
        <is>
          <t>CHOOSE RATING</t>
        </is>
      </c>
      <c r="DR376" s="43" t="inlineStr">
        <is>
          <t>2024/2025</t>
        </is>
      </c>
      <c r="DS376" s="45" t="inlineStr">
        <is>
          <t>THIRD</t>
        </is>
      </c>
      <c r="DT376" s="40" t="inlineStr">
        <is>
          <t>CHOOSE RATING</t>
        </is>
      </c>
      <c r="DU376" s="40" t="inlineStr">
        <is>
          <t>CHOOSE RATING</t>
        </is>
      </c>
      <c r="DV376" s="40" t="inlineStr">
        <is>
          <t>CHOOSE RATING</t>
        </is>
      </c>
      <c r="DW376" s="40" t="inlineStr">
        <is>
          <t>CHOOSE RATING</t>
        </is>
      </c>
      <c r="DX376" s="40" t="inlineStr">
        <is>
          <t>CHOOSE RATING</t>
        </is>
      </c>
      <c r="DY376" s="40" t="inlineStr">
        <is>
          <t>CHOOSE RATING</t>
        </is>
      </c>
      <c r="DZ376" s="53" t="inlineStr">
        <is>
          <t>CHOOSE RATING</t>
        </is>
      </c>
      <c r="EA376" s="54" t="inlineStr">
        <is>
          <t>Add the Tutor's Comment . . .</t>
        </is>
      </c>
      <c r="EB376" s="55" t="inlineStr">
        <is>
          <t>Choose Principals comment</t>
        </is>
      </c>
      <c r="EC376" s="56" t="n"/>
      <c r="ED376" s="57" t="inlineStr">
        <is>
          <t>Next Term Begins on Monday, 22nd September, 2025</t>
        </is>
      </c>
    </row>
    <row r="377" ht="30.6" customHeight="1" s="6">
      <c r="A377" s="18" t="n">
        <v>374</v>
      </c>
      <c r="B377" s="19" t="n"/>
      <c r="C377" s="20" t="n"/>
      <c r="D377" s="128" t="n"/>
      <c r="E377" s="21" t="n"/>
      <c r="F377" s="22" t="n"/>
      <c r="G377" s="22" t="n"/>
      <c r="H377" s="22" t="n"/>
      <c r="I377" s="26">
        <f>G377-H377</f>
        <v/>
      </c>
      <c r="J377" s="21" t="n"/>
      <c r="K377" s="21" t="n"/>
      <c r="L377" s="27">
        <f>SUM(J377:K377)</f>
        <v/>
      </c>
      <c r="M377" s="28" t="n"/>
      <c r="N377" s="28" t="n"/>
      <c r="O377" s="29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1" t="n"/>
      <c r="Q377" s="21" t="n"/>
      <c r="R377" s="27">
        <f>SUM(P377:Q377)</f>
        <v/>
      </c>
      <c r="S377" s="28" t="n"/>
      <c r="T377" s="28" t="n"/>
      <c r="U377" s="29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1" t="n"/>
      <c r="W377" s="21" t="n"/>
      <c r="X377" s="27">
        <f>SUM(V377:W377)</f>
        <v/>
      </c>
      <c r="Y377" s="28" t="n"/>
      <c r="Z377" s="28" t="n"/>
      <c r="AA377" s="29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1" t="n"/>
      <c r="AC377" s="21" t="n"/>
      <c r="AD377" s="27">
        <f>SUM(AB377:AC377)</f>
        <v/>
      </c>
      <c r="AE377" s="28" t="n"/>
      <c r="AF377" s="28" t="n"/>
      <c r="AG377" s="29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1" t="n"/>
      <c r="AI377" s="21" t="n"/>
      <c r="AJ377" s="27">
        <f>SUM(AH377:AI377)</f>
        <v/>
      </c>
      <c r="AK377" s="28" t="n"/>
      <c r="AL377" s="28" t="n"/>
      <c r="AM377" s="29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1" t="n"/>
      <c r="AO377" s="21" t="n"/>
      <c r="AP377" s="27">
        <f>SUM(AN377:AO377)</f>
        <v/>
      </c>
      <c r="AQ377" s="28" t="n"/>
      <c r="AR377" s="30" t="n"/>
      <c r="AS377" s="29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1" t="n"/>
      <c r="AU377" s="21" t="n"/>
      <c r="AV377" s="27">
        <f>SUM(AT377:AU377)</f>
        <v/>
      </c>
      <c r="AW377" s="28" t="n"/>
      <c r="AX377" s="30" t="n"/>
      <c r="AY377" s="29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1" t="n"/>
      <c r="BA377" s="21" t="n"/>
      <c r="BB377" s="27">
        <f>SUM(AZ377:BA377)</f>
        <v/>
      </c>
      <c r="BC377" s="28" t="n"/>
      <c r="BD377" s="28" t="n"/>
      <c r="BE377" s="29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1" t="n"/>
      <c r="BG377" s="21" t="n"/>
      <c r="BH377" s="27">
        <f>SUM(BF377:BG377)</f>
        <v/>
      </c>
      <c r="BI377" s="28" t="n"/>
      <c r="BJ377" s="28" t="n"/>
      <c r="BK377" s="29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1" t="n"/>
      <c r="BM377" s="21" t="n"/>
      <c r="BN377" s="27">
        <f>SUM(BL377:BM377)</f>
        <v/>
      </c>
      <c r="BO377" s="28" t="n"/>
      <c r="BP377" s="31" t="n"/>
      <c r="BQ377" s="29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1" t="n"/>
      <c r="BS377" s="21" t="n"/>
      <c r="BT377" s="27">
        <f>SUM(BR377:BS377)</f>
        <v/>
      </c>
      <c r="BU377" s="28" t="n"/>
      <c r="BV377" s="31" t="n"/>
      <c r="BW377" s="29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1" t="n"/>
      <c r="BY377" s="21" t="n"/>
      <c r="BZ377" s="27">
        <f>SUM(BX377:BY377)</f>
        <v/>
      </c>
      <c r="CA377" s="28" t="n"/>
      <c r="CB377" s="31" t="n"/>
      <c r="CC377" s="29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1" t="n"/>
      <c r="CE377" s="21" t="n"/>
      <c r="CF377" s="27">
        <f>SUM(CD377:CE377)</f>
        <v/>
      </c>
      <c r="CG377" s="28" t="n"/>
      <c r="CH377" s="31" t="n"/>
      <c r="CI377" s="29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1" t="n"/>
      <c r="CK377" s="21" t="n"/>
      <c r="CL377" s="27">
        <f>SUM(CJ377:CK377)</f>
        <v/>
      </c>
      <c r="CM377" s="28" t="n"/>
      <c r="CN377" s="31" t="n"/>
      <c r="CO377" s="29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1" t="n"/>
      <c r="CQ377" s="21" t="n"/>
      <c r="CR377" s="27">
        <f>SUM(CP377:CQ377)</f>
        <v/>
      </c>
      <c r="CS377" s="28" t="n"/>
      <c r="CT377" s="31" t="n"/>
      <c r="CU377" s="29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1" t="n"/>
      <c r="CW377" s="21" t="n"/>
      <c r="CX377" s="27">
        <f>SUM(CV377:CW377)</f>
        <v/>
      </c>
      <c r="CY377" s="28" t="n"/>
      <c r="CZ377" s="31" t="n"/>
      <c r="DA377" s="29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1" t="n"/>
      <c r="DC377" s="21" t="n"/>
      <c r="DD377" s="27">
        <f>SUM(DB377:DC377)</f>
        <v/>
      </c>
      <c r="DE377" s="28" t="n"/>
      <c r="DF377" s="31" t="n"/>
      <c r="DG377" s="29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34">
        <f>SUM(O377,U377,AA377,AG377,AM377,AS377,AY377,BE377,BK377,BQ377,BW377,CC377,CI377,CO377,CU377,DA377,DG377)</f>
        <v/>
      </c>
      <c r="DI377" s="39">
        <f>RANK(DH377,DH$4:DH$503)</f>
        <v/>
      </c>
      <c r="DJ377" s="40" t="inlineStr">
        <is>
          <t>CHOOSE RATING</t>
        </is>
      </c>
      <c r="DK377" s="40" t="inlineStr">
        <is>
          <t>CHOOSE RATING</t>
        </is>
      </c>
      <c r="DL377" s="40" t="inlineStr">
        <is>
          <t>CHOOSE RATING</t>
        </is>
      </c>
      <c r="DM377" s="40" t="inlineStr">
        <is>
          <t>CHOOSE RATING</t>
        </is>
      </c>
      <c r="DN377" s="40" t="inlineStr">
        <is>
          <t>CHOOSE RATING</t>
        </is>
      </c>
      <c r="DO377" s="40" t="inlineStr">
        <is>
          <t>CHOOSE RATING</t>
        </is>
      </c>
      <c r="DP377" s="40" t="inlineStr">
        <is>
          <t>CHOOSE RATING</t>
        </is>
      </c>
      <c r="DQ377" s="40" t="inlineStr">
        <is>
          <t>CHOOSE RATING</t>
        </is>
      </c>
      <c r="DR377" s="43" t="inlineStr">
        <is>
          <t>2024/2025</t>
        </is>
      </c>
      <c r="DS377" s="45" t="inlineStr">
        <is>
          <t>THIRD</t>
        </is>
      </c>
      <c r="DT377" s="40" t="inlineStr">
        <is>
          <t>CHOOSE RATING</t>
        </is>
      </c>
      <c r="DU377" s="40" t="inlineStr">
        <is>
          <t>CHOOSE RATING</t>
        </is>
      </c>
      <c r="DV377" s="40" t="inlineStr">
        <is>
          <t>CHOOSE RATING</t>
        </is>
      </c>
      <c r="DW377" s="40" t="inlineStr">
        <is>
          <t>CHOOSE RATING</t>
        </is>
      </c>
      <c r="DX377" s="40" t="inlineStr">
        <is>
          <t>CHOOSE RATING</t>
        </is>
      </c>
      <c r="DY377" s="40" t="inlineStr">
        <is>
          <t>CHOOSE RATING</t>
        </is>
      </c>
      <c r="DZ377" s="53" t="inlineStr">
        <is>
          <t>CHOOSE RATING</t>
        </is>
      </c>
      <c r="EA377" s="54" t="inlineStr">
        <is>
          <t>Add the Tutor's Comment . . .</t>
        </is>
      </c>
      <c r="EB377" s="55" t="inlineStr">
        <is>
          <t>Choose Principals comment</t>
        </is>
      </c>
      <c r="EC377" s="56" t="n"/>
      <c r="ED377" s="57" t="inlineStr">
        <is>
          <t>Next Term Begins on Monday, 22nd September, 2025</t>
        </is>
      </c>
    </row>
    <row r="378" ht="30.6" customHeight="1" s="6">
      <c r="A378" s="18" t="n">
        <v>375</v>
      </c>
      <c r="B378" s="19" t="n"/>
      <c r="C378" s="20" t="n"/>
      <c r="D378" s="128" t="n"/>
      <c r="E378" s="21" t="n"/>
      <c r="F378" s="22" t="n"/>
      <c r="G378" s="22" t="n"/>
      <c r="H378" s="22" t="n"/>
      <c r="I378" s="26">
        <f>G378-H378</f>
        <v/>
      </c>
      <c r="J378" s="21" t="n"/>
      <c r="K378" s="21" t="n"/>
      <c r="L378" s="27">
        <f>SUM(J378:K378)</f>
        <v/>
      </c>
      <c r="M378" s="28" t="n"/>
      <c r="N378" s="28" t="n"/>
      <c r="O378" s="29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1" t="n"/>
      <c r="Q378" s="21" t="n"/>
      <c r="R378" s="27">
        <f>SUM(P378:Q378)</f>
        <v/>
      </c>
      <c r="S378" s="28" t="n"/>
      <c r="T378" s="28" t="n"/>
      <c r="U378" s="29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1" t="n"/>
      <c r="W378" s="21" t="n"/>
      <c r="X378" s="27">
        <f>SUM(V378:W378)</f>
        <v/>
      </c>
      <c r="Y378" s="28" t="n"/>
      <c r="Z378" s="28" t="n"/>
      <c r="AA378" s="29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1" t="n"/>
      <c r="AC378" s="21" t="n"/>
      <c r="AD378" s="27">
        <f>SUM(AB378:AC378)</f>
        <v/>
      </c>
      <c r="AE378" s="28" t="n"/>
      <c r="AF378" s="28" t="n"/>
      <c r="AG378" s="29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1" t="n"/>
      <c r="AI378" s="21" t="n"/>
      <c r="AJ378" s="27">
        <f>SUM(AH378:AI378)</f>
        <v/>
      </c>
      <c r="AK378" s="28" t="n"/>
      <c r="AL378" s="28" t="n"/>
      <c r="AM378" s="29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1" t="n"/>
      <c r="AO378" s="21" t="n"/>
      <c r="AP378" s="27">
        <f>SUM(AN378:AO378)</f>
        <v/>
      </c>
      <c r="AQ378" s="28" t="n"/>
      <c r="AR378" s="30" t="n"/>
      <c r="AS378" s="29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1" t="n"/>
      <c r="AU378" s="21" t="n"/>
      <c r="AV378" s="27">
        <f>SUM(AT378:AU378)</f>
        <v/>
      </c>
      <c r="AW378" s="28" t="n"/>
      <c r="AX378" s="30" t="n"/>
      <c r="AY378" s="29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1" t="n"/>
      <c r="BA378" s="21" t="n"/>
      <c r="BB378" s="27">
        <f>SUM(AZ378:BA378)</f>
        <v/>
      </c>
      <c r="BC378" s="28" t="n"/>
      <c r="BD378" s="28" t="n"/>
      <c r="BE378" s="29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1" t="n"/>
      <c r="BG378" s="21" t="n"/>
      <c r="BH378" s="27">
        <f>SUM(BF378:BG378)</f>
        <v/>
      </c>
      <c r="BI378" s="28" t="n"/>
      <c r="BJ378" s="28" t="n"/>
      <c r="BK378" s="29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1" t="n"/>
      <c r="BM378" s="21" t="n"/>
      <c r="BN378" s="27">
        <f>SUM(BL378:BM378)</f>
        <v/>
      </c>
      <c r="BO378" s="28" t="n"/>
      <c r="BP378" s="31" t="n"/>
      <c r="BQ378" s="29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1" t="n"/>
      <c r="BS378" s="21" t="n"/>
      <c r="BT378" s="27">
        <f>SUM(BR378:BS378)</f>
        <v/>
      </c>
      <c r="BU378" s="28" t="n"/>
      <c r="BV378" s="31" t="n"/>
      <c r="BW378" s="29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1" t="n"/>
      <c r="BY378" s="21" t="n"/>
      <c r="BZ378" s="27">
        <f>SUM(BX378:BY378)</f>
        <v/>
      </c>
      <c r="CA378" s="28" t="n"/>
      <c r="CB378" s="31" t="n"/>
      <c r="CC378" s="29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1" t="n"/>
      <c r="CE378" s="21" t="n"/>
      <c r="CF378" s="27">
        <f>SUM(CD378:CE378)</f>
        <v/>
      </c>
      <c r="CG378" s="28" t="n"/>
      <c r="CH378" s="31" t="n"/>
      <c r="CI378" s="29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1" t="n"/>
      <c r="CK378" s="21" t="n"/>
      <c r="CL378" s="27">
        <f>SUM(CJ378:CK378)</f>
        <v/>
      </c>
      <c r="CM378" s="28" t="n"/>
      <c r="CN378" s="31" t="n"/>
      <c r="CO378" s="29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1" t="n"/>
      <c r="CQ378" s="21" t="n"/>
      <c r="CR378" s="27">
        <f>SUM(CP378:CQ378)</f>
        <v/>
      </c>
      <c r="CS378" s="28" t="n"/>
      <c r="CT378" s="31" t="n"/>
      <c r="CU378" s="29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1" t="n"/>
      <c r="CW378" s="21" t="n"/>
      <c r="CX378" s="27">
        <f>SUM(CV378:CW378)</f>
        <v/>
      </c>
      <c r="CY378" s="28" t="n"/>
      <c r="CZ378" s="31" t="n"/>
      <c r="DA378" s="29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1" t="n"/>
      <c r="DC378" s="21" t="n"/>
      <c r="DD378" s="27">
        <f>SUM(DB378:DC378)</f>
        <v/>
      </c>
      <c r="DE378" s="28" t="n"/>
      <c r="DF378" s="31" t="n"/>
      <c r="DG378" s="29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34">
        <f>SUM(O378,U378,AA378,AG378,AM378,AS378,AY378,BE378,BK378,BQ378,BW378,CC378,CI378,CO378,CU378,DA378,DG378)</f>
        <v/>
      </c>
      <c r="DI378" s="39">
        <f>RANK(DH378,DH$4:DH$503)</f>
        <v/>
      </c>
      <c r="DJ378" s="40" t="inlineStr">
        <is>
          <t>CHOOSE RATING</t>
        </is>
      </c>
      <c r="DK378" s="40" t="inlineStr">
        <is>
          <t>CHOOSE RATING</t>
        </is>
      </c>
      <c r="DL378" s="40" t="inlineStr">
        <is>
          <t>CHOOSE RATING</t>
        </is>
      </c>
      <c r="DM378" s="40" t="inlineStr">
        <is>
          <t>CHOOSE RATING</t>
        </is>
      </c>
      <c r="DN378" s="40" t="inlineStr">
        <is>
          <t>CHOOSE RATING</t>
        </is>
      </c>
      <c r="DO378" s="40" t="inlineStr">
        <is>
          <t>CHOOSE RATING</t>
        </is>
      </c>
      <c r="DP378" s="40" t="inlineStr">
        <is>
          <t>CHOOSE RATING</t>
        </is>
      </c>
      <c r="DQ378" s="40" t="inlineStr">
        <is>
          <t>CHOOSE RATING</t>
        </is>
      </c>
      <c r="DR378" s="43" t="inlineStr">
        <is>
          <t>2024/2025</t>
        </is>
      </c>
      <c r="DS378" s="45" t="inlineStr">
        <is>
          <t>THIRD</t>
        </is>
      </c>
      <c r="DT378" s="40" t="inlineStr">
        <is>
          <t>CHOOSE RATING</t>
        </is>
      </c>
      <c r="DU378" s="40" t="inlineStr">
        <is>
          <t>CHOOSE RATING</t>
        </is>
      </c>
      <c r="DV378" s="40" t="inlineStr">
        <is>
          <t>CHOOSE RATING</t>
        </is>
      </c>
      <c r="DW378" s="40" t="inlineStr">
        <is>
          <t>CHOOSE RATING</t>
        </is>
      </c>
      <c r="DX378" s="40" t="inlineStr">
        <is>
          <t>CHOOSE RATING</t>
        </is>
      </c>
      <c r="DY378" s="40" t="inlineStr">
        <is>
          <t>CHOOSE RATING</t>
        </is>
      </c>
      <c r="DZ378" s="53" t="inlineStr">
        <is>
          <t>CHOOSE RATING</t>
        </is>
      </c>
      <c r="EA378" s="54" t="inlineStr">
        <is>
          <t>Add the Tutor's Comment . . .</t>
        </is>
      </c>
      <c r="EB378" s="55" t="inlineStr">
        <is>
          <t>Choose Principals comment</t>
        </is>
      </c>
      <c r="EC378" s="56" t="n"/>
      <c r="ED378" s="57" t="inlineStr">
        <is>
          <t>Next Term Begins on Monday, 22nd September, 2025</t>
        </is>
      </c>
    </row>
    <row r="379" ht="30.6" customHeight="1" s="6">
      <c r="A379" s="18" t="n">
        <v>376</v>
      </c>
      <c r="B379" s="19" t="n"/>
      <c r="C379" s="20" t="n"/>
      <c r="D379" s="128" t="n"/>
      <c r="E379" s="21" t="n"/>
      <c r="F379" s="22" t="n"/>
      <c r="G379" s="22" t="n"/>
      <c r="H379" s="22" t="n"/>
      <c r="I379" s="26">
        <f>G379-H379</f>
        <v/>
      </c>
      <c r="J379" s="21" t="n"/>
      <c r="K379" s="21" t="n"/>
      <c r="L379" s="27">
        <f>SUM(J379:K379)</f>
        <v/>
      </c>
      <c r="M379" s="28" t="n"/>
      <c r="N379" s="28" t="n"/>
      <c r="O379" s="29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1" t="n"/>
      <c r="Q379" s="21" t="n"/>
      <c r="R379" s="27">
        <f>SUM(P379:Q379)</f>
        <v/>
      </c>
      <c r="S379" s="28" t="n"/>
      <c r="T379" s="28" t="n"/>
      <c r="U379" s="29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1" t="n"/>
      <c r="W379" s="21" t="n"/>
      <c r="X379" s="27">
        <f>SUM(V379:W379)</f>
        <v/>
      </c>
      <c r="Y379" s="28" t="n"/>
      <c r="Z379" s="28" t="n"/>
      <c r="AA379" s="29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1" t="n"/>
      <c r="AC379" s="21" t="n"/>
      <c r="AD379" s="27">
        <f>SUM(AB379:AC379)</f>
        <v/>
      </c>
      <c r="AE379" s="28" t="n"/>
      <c r="AF379" s="28" t="n"/>
      <c r="AG379" s="29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1" t="n"/>
      <c r="AI379" s="21" t="n"/>
      <c r="AJ379" s="27">
        <f>SUM(AH379:AI379)</f>
        <v/>
      </c>
      <c r="AK379" s="28" t="n"/>
      <c r="AL379" s="28" t="n"/>
      <c r="AM379" s="29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1" t="n"/>
      <c r="AO379" s="21" t="n"/>
      <c r="AP379" s="27">
        <f>SUM(AN379:AO379)</f>
        <v/>
      </c>
      <c r="AQ379" s="28" t="n"/>
      <c r="AR379" s="30" t="n"/>
      <c r="AS379" s="29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1" t="n"/>
      <c r="AU379" s="21" t="n"/>
      <c r="AV379" s="27">
        <f>SUM(AT379:AU379)</f>
        <v/>
      </c>
      <c r="AW379" s="28" t="n"/>
      <c r="AX379" s="30" t="n"/>
      <c r="AY379" s="29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1" t="n"/>
      <c r="BA379" s="21" t="n"/>
      <c r="BB379" s="27">
        <f>SUM(AZ379:BA379)</f>
        <v/>
      </c>
      <c r="BC379" s="28" t="n"/>
      <c r="BD379" s="28" t="n"/>
      <c r="BE379" s="29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1" t="n"/>
      <c r="BG379" s="21" t="n"/>
      <c r="BH379" s="27">
        <f>SUM(BF379:BG379)</f>
        <v/>
      </c>
      <c r="BI379" s="28" t="n"/>
      <c r="BJ379" s="28" t="n"/>
      <c r="BK379" s="29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1" t="n"/>
      <c r="BM379" s="21" t="n"/>
      <c r="BN379" s="27">
        <f>SUM(BL379:BM379)</f>
        <v/>
      </c>
      <c r="BO379" s="28" t="n"/>
      <c r="BP379" s="31" t="n"/>
      <c r="BQ379" s="29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1" t="n"/>
      <c r="BS379" s="21" t="n"/>
      <c r="BT379" s="27">
        <f>SUM(BR379:BS379)</f>
        <v/>
      </c>
      <c r="BU379" s="28" t="n"/>
      <c r="BV379" s="31" t="n"/>
      <c r="BW379" s="29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1" t="n"/>
      <c r="BY379" s="21" t="n"/>
      <c r="BZ379" s="27">
        <f>SUM(BX379:BY379)</f>
        <v/>
      </c>
      <c r="CA379" s="28" t="n"/>
      <c r="CB379" s="31" t="n"/>
      <c r="CC379" s="29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1" t="n"/>
      <c r="CE379" s="21" t="n"/>
      <c r="CF379" s="27">
        <f>SUM(CD379:CE379)</f>
        <v/>
      </c>
      <c r="CG379" s="28" t="n"/>
      <c r="CH379" s="31" t="n"/>
      <c r="CI379" s="29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1" t="n"/>
      <c r="CK379" s="21" t="n"/>
      <c r="CL379" s="27">
        <f>SUM(CJ379:CK379)</f>
        <v/>
      </c>
      <c r="CM379" s="28" t="n"/>
      <c r="CN379" s="31" t="n"/>
      <c r="CO379" s="29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1" t="n"/>
      <c r="CQ379" s="21" t="n"/>
      <c r="CR379" s="27">
        <f>SUM(CP379:CQ379)</f>
        <v/>
      </c>
      <c r="CS379" s="28" t="n"/>
      <c r="CT379" s="31" t="n"/>
      <c r="CU379" s="29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1" t="n"/>
      <c r="CW379" s="21" t="n"/>
      <c r="CX379" s="27">
        <f>SUM(CV379:CW379)</f>
        <v/>
      </c>
      <c r="CY379" s="28" t="n"/>
      <c r="CZ379" s="31" t="n"/>
      <c r="DA379" s="29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1" t="n"/>
      <c r="DC379" s="21" t="n"/>
      <c r="DD379" s="27">
        <f>SUM(DB379:DC379)</f>
        <v/>
      </c>
      <c r="DE379" s="28" t="n"/>
      <c r="DF379" s="31" t="n"/>
      <c r="DG379" s="29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34">
        <f>SUM(O379,U379,AA379,AG379,AM379,AS379,AY379,BE379,BK379,BQ379,BW379,CC379,CI379,CO379,CU379,DA379,DG379)</f>
        <v/>
      </c>
      <c r="DI379" s="39">
        <f>RANK(DH379,DH$4:DH$503)</f>
        <v/>
      </c>
      <c r="DJ379" s="40" t="inlineStr">
        <is>
          <t>CHOOSE RATING</t>
        </is>
      </c>
      <c r="DK379" s="40" t="inlineStr">
        <is>
          <t>CHOOSE RATING</t>
        </is>
      </c>
      <c r="DL379" s="40" t="inlineStr">
        <is>
          <t>CHOOSE RATING</t>
        </is>
      </c>
      <c r="DM379" s="40" t="inlineStr">
        <is>
          <t>CHOOSE RATING</t>
        </is>
      </c>
      <c r="DN379" s="40" t="inlineStr">
        <is>
          <t>CHOOSE RATING</t>
        </is>
      </c>
      <c r="DO379" s="40" t="inlineStr">
        <is>
          <t>CHOOSE RATING</t>
        </is>
      </c>
      <c r="DP379" s="40" t="inlineStr">
        <is>
          <t>CHOOSE RATING</t>
        </is>
      </c>
      <c r="DQ379" s="40" t="inlineStr">
        <is>
          <t>CHOOSE RATING</t>
        </is>
      </c>
      <c r="DR379" s="43" t="inlineStr">
        <is>
          <t>2024/2025</t>
        </is>
      </c>
      <c r="DS379" s="45" t="inlineStr">
        <is>
          <t>THIRD</t>
        </is>
      </c>
      <c r="DT379" s="40" t="inlineStr">
        <is>
          <t>CHOOSE RATING</t>
        </is>
      </c>
      <c r="DU379" s="40" t="inlineStr">
        <is>
          <t>CHOOSE RATING</t>
        </is>
      </c>
      <c r="DV379" s="40" t="inlineStr">
        <is>
          <t>CHOOSE RATING</t>
        </is>
      </c>
      <c r="DW379" s="40" t="inlineStr">
        <is>
          <t>CHOOSE RATING</t>
        </is>
      </c>
      <c r="DX379" s="40" t="inlineStr">
        <is>
          <t>CHOOSE RATING</t>
        </is>
      </c>
      <c r="DY379" s="40" t="inlineStr">
        <is>
          <t>CHOOSE RATING</t>
        </is>
      </c>
      <c r="DZ379" s="53" t="inlineStr">
        <is>
          <t>CHOOSE RATING</t>
        </is>
      </c>
      <c r="EA379" s="54" t="inlineStr">
        <is>
          <t>Add the Tutor's Comment . . .</t>
        </is>
      </c>
      <c r="EB379" s="55" t="inlineStr">
        <is>
          <t>Choose Principals comment</t>
        </is>
      </c>
      <c r="EC379" s="56" t="n"/>
      <c r="ED379" s="57" t="inlineStr">
        <is>
          <t>Next Term Begins on Monday, 22nd September, 2025</t>
        </is>
      </c>
    </row>
    <row r="380" ht="30.6" customHeight="1" s="6">
      <c r="A380" s="18" t="n">
        <v>377</v>
      </c>
      <c r="B380" s="19" t="n"/>
      <c r="C380" s="20" t="n"/>
      <c r="D380" s="128" t="n"/>
      <c r="E380" s="21" t="n"/>
      <c r="F380" s="22" t="n"/>
      <c r="G380" s="22" t="n"/>
      <c r="H380" s="22" t="n"/>
      <c r="I380" s="26">
        <f>G380-H380</f>
        <v/>
      </c>
      <c r="J380" s="21" t="n"/>
      <c r="K380" s="21" t="n"/>
      <c r="L380" s="27">
        <f>SUM(J380:K380)</f>
        <v/>
      </c>
      <c r="M380" s="28" t="n"/>
      <c r="N380" s="28" t="n"/>
      <c r="O380" s="29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1" t="n"/>
      <c r="Q380" s="21" t="n"/>
      <c r="R380" s="27">
        <f>SUM(P380:Q380)</f>
        <v/>
      </c>
      <c r="S380" s="28" t="n"/>
      <c r="T380" s="28" t="n"/>
      <c r="U380" s="29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1" t="n"/>
      <c r="W380" s="21" t="n"/>
      <c r="X380" s="27">
        <f>SUM(V380:W380)</f>
        <v/>
      </c>
      <c r="Y380" s="28" t="n"/>
      <c r="Z380" s="28" t="n"/>
      <c r="AA380" s="29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1" t="n"/>
      <c r="AC380" s="21" t="n"/>
      <c r="AD380" s="27">
        <f>SUM(AB380:AC380)</f>
        <v/>
      </c>
      <c r="AE380" s="28" t="n"/>
      <c r="AF380" s="28" t="n"/>
      <c r="AG380" s="29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1" t="n"/>
      <c r="AI380" s="21" t="n"/>
      <c r="AJ380" s="27">
        <f>SUM(AH380:AI380)</f>
        <v/>
      </c>
      <c r="AK380" s="28" t="n"/>
      <c r="AL380" s="28" t="n"/>
      <c r="AM380" s="29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1" t="n"/>
      <c r="AO380" s="21" t="n"/>
      <c r="AP380" s="27">
        <f>SUM(AN380:AO380)</f>
        <v/>
      </c>
      <c r="AQ380" s="28" t="n"/>
      <c r="AR380" s="30" t="n"/>
      <c r="AS380" s="29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1" t="n"/>
      <c r="AU380" s="21" t="n"/>
      <c r="AV380" s="27">
        <f>SUM(AT380:AU380)</f>
        <v/>
      </c>
      <c r="AW380" s="28" t="n"/>
      <c r="AX380" s="30" t="n"/>
      <c r="AY380" s="29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1" t="n"/>
      <c r="BA380" s="21" t="n"/>
      <c r="BB380" s="27">
        <f>SUM(AZ380:BA380)</f>
        <v/>
      </c>
      <c r="BC380" s="28" t="n"/>
      <c r="BD380" s="28" t="n"/>
      <c r="BE380" s="29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1" t="n"/>
      <c r="BG380" s="21" t="n"/>
      <c r="BH380" s="27">
        <f>SUM(BF380:BG380)</f>
        <v/>
      </c>
      <c r="BI380" s="28" t="n"/>
      <c r="BJ380" s="28" t="n"/>
      <c r="BK380" s="29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1" t="n"/>
      <c r="BM380" s="21" t="n"/>
      <c r="BN380" s="27">
        <f>SUM(BL380:BM380)</f>
        <v/>
      </c>
      <c r="BO380" s="28" t="n"/>
      <c r="BP380" s="31" t="n"/>
      <c r="BQ380" s="29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1" t="n"/>
      <c r="BS380" s="21" t="n"/>
      <c r="BT380" s="27">
        <f>SUM(BR380:BS380)</f>
        <v/>
      </c>
      <c r="BU380" s="28" t="n"/>
      <c r="BV380" s="31" t="n"/>
      <c r="BW380" s="29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1" t="n"/>
      <c r="BY380" s="21" t="n"/>
      <c r="BZ380" s="27">
        <f>SUM(BX380:BY380)</f>
        <v/>
      </c>
      <c r="CA380" s="28" t="n"/>
      <c r="CB380" s="31" t="n"/>
      <c r="CC380" s="29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1" t="n"/>
      <c r="CE380" s="21" t="n"/>
      <c r="CF380" s="27">
        <f>SUM(CD380:CE380)</f>
        <v/>
      </c>
      <c r="CG380" s="28" t="n"/>
      <c r="CH380" s="31" t="n"/>
      <c r="CI380" s="29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1" t="n"/>
      <c r="CK380" s="21" t="n"/>
      <c r="CL380" s="27">
        <f>SUM(CJ380:CK380)</f>
        <v/>
      </c>
      <c r="CM380" s="28" t="n"/>
      <c r="CN380" s="31" t="n"/>
      <c r="CO380" s="29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1" t="n"/>
      <c r="CQ380" s="21" t="n"/>
      <c r="CR380" s="27">
        <f>SUM(CP380:CQ380)</f>
        <v/>
      </c>
      <c r="CS380" s="28" t="n"/>
      <c r="CT380" s="31" t="n"/>
      <c r="CU380" s="29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1" t="n"/>
      <c r="CW380" s="21" t="n"/>
      <c r="CX380" s="27">
        <f>SUM(CV380:CW380)</f>
        <v/>
      </c>
      <c r="CY380" s="28" t="n"/>
      <c r="CZ380" s="31" t="n"/>
      <c r="DA380" s="29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1" t="n"/>
      <c r="DC380" s="21" t="n"/>
      <c r="DD380" s="27">
        <f>SUM(DB380:DC380)</f>
        <v/>
      </c>
      <c r="DE380" s="28" t="n"/>
      <c r="DF380" s="31" t="n"/>
      <c r="DG380" s="29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34">
        <f>SUM(O380,U380,AA380,AG380,AM380,AS380,AY380,BE380,BK380,BQ380,BW380,CC380,CI380,CO380,CU380,DA380,DG380)</f>
        <v/>
      </c>
      <c r="DI380" s="39">
        <f>RANK(DH380,DH$4:DH$503)</f>
        <v/>
      </c>
      <c r="DJ380" s="40" t="inlineStr">
        <is>
          <t>CHOOSE RATING</t>
        </is>
      </c>
      <c r="DK380" s="40" t="inlineStr">
        <is>
          <t>CHOOSE RATING</t>
        </is>
      </c>
      <c r="DL380" s="40" t="inlineStr">
        <is>
          <t>CHOOSE RATING</t>
        </is>
      </c>
      <c r="DM380" s="40" t="inlineStr">
        <is>
          <t>CHOOSE RATING</t>
        </is>
      </c>
      <c r="DN380" s="40" t="inlineStr">
        <is>
          <t>CHOOSE RATING</t>
        </is>
      </c>
      <c r="DO380" s="40" t="inlineStr">
        <is>
          <t>CHOOSE RATING</t>
        </is>
      </c>
      <c r="DP380" s="40" t="inlineStr">
        <is>
          <t>CHOOSE RATING</t>
        </is>
      </c>
      <c r="DQ380" s="40" t="inlineStr">
        <is>
          <t>CHOOSE RATING</t>
        </is>
      </c>
      <c r="DR380" s="43" t="inlineStr">
        <is>
          <t>2024/2025</t>
        </is>
      </c>
      <c r="DS380" s="45" t="inlineStr">
        <is>
          <t>THIRD</t>
        </is>
      </c>
      <c r="DT380" s="40" t="inlineStr">
        <is>
          <t>CHOOSE RATING</t>
        </is>
      </c>
      <c r="DU380" s="40" t="inlineStr">
        <is>
          <t>CHOOSE RATING</t>
        </is>
      </c>
      <c r="DV380" s="40" t="inlineStr">
        <is>
          <t>CHOOSE RATING</t>
        </is>
      </c>
      <c r="DW380" s="40" t="inlineStr">
        <is>
          <t>CHOOSE RATING</t>
        </is>
      </c>
      <c r="DX380" s="40" t="inlineStr">
        <is>
          <t>CHOOSE RATING</t>
        </is>
      </c>
      <c r="DY380" s="40" t="inlineStr">
        <is>
          <t>CHOOSE RATING</t>
        </is>
      </c>
      <c r="DZ380" s="53" t="inlineStr">
        <is>
          <t>CHOOSE RATING</t>
        </is>
      </c>
      <c r="EA380" s="54" t="inlineStr">
        <is>
          <t>Add the Tutor's Comment . . .</t>
        </is>
      </c>
      <c r="EB380" s="55" t="inlineStr">
        <is>
          <t>Choose Principals comment</t>
        </is>
      </c>
      <c r="EC380" s="56" t="n"/>
      <c r="ED380" s="57" t="inlineStr">
        <is>
          <t>Next Term Begins on Monday, 22nd September, 2025</t>
        </is>
      </c>
    </row>
    <row r="381" ht="30.6" customHeight="1" s="6">
      <c r="A381" s="18" t="n">
        <v>378</v>
      </c>
      <c r="B381" s="19" t="n"/>
      <c r="C381" s="20" t="n"/>
      <c r="D381" s="128" t="n"/>
      <c r="E381" s="21" t="n"/>
      <c r="F381" s="22" t="n"/>
      <c r="G381" s="22" t="n"/>
      <c r="H381" s="22" t="n"/>
      <c r="I381" s="26">
        <f>G381-H381</f>
        <v/>
      </c>
      <c r="J381" s="21" t="n"/>
      <c r="K381" s="21" t="n"/>
      <c r="L381" s="27">
        <f>SUM(J381:K381)</f>
        <v/>
      </c>
      <c r="M381" s="28" t="n"/>
      <c r="N381" s="28" t="n"/>
      <c r="O381" s="29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1" t="n"/>
      <c r="Q381" s="21" t="n"/>
      <c r="R381" s="27">
        <f>SUM(P381:Q381)</f>
        <v/>
      </c>
      <c r="S381" s="28" t="n"/>
      <c r="T381" s="28" t="n"/>
      <c r="U381" s="29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1" t="n"/>
      <c r="W381" s="21" t="n"/>
      <c r="X381" s="27">
        <f>SUM(V381:W381)</f>
        <v/>
      </c>
      <c r="Y381" s="28" t="n"/>
      <c r="Z381" s="28" t="n"/>
      <c r="AA381" s="29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1" t="n"/>
      <c r="AC381" s="21" t="n"/>
      <c r="AD381" s="27">
        <f>SUM(AB381:AC381)</f>
        <v/>
      </c>
      <c r="AE381" s="28" t="n"/>
      <c r="AF381" s="28" t="n"/>
      <c r="AG381" s="29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1" t="n"/>
      <c r="AI381" s="21" t="n"/>
      <c r="AJ381" s="27">
        <f>SUM(AH381:AI381)</f>
        <v/>
      </c>
      <c r="AK381" s="28" t="n"/>
      <c r="AL381" s="28" t="n"/>
      <c r="AM381" s="29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1" t="n"/>
      <c r="AO381" s="21" t="n"/>
      <c r="AP381" s="27">
        <f>SUM(AN381:AO381)</f>
        <v/>
      </c>
      <c r="AQ381" s="28" t="n"/>
      <c r="AR381" s="30" t="n"/>
      <c r="AS381" s="29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1" t="n"/>
      <c r="AU381" s="21" t="n"/>
      <c r="AV381" s="27">
        <f>SUM(AT381:AU381)</f>
        <v/>
      </c>
      <c r="AW381" s="28" t="n"/>
      <c r="AX381" s="30" t="n"/>
      <c r="AY381" s="29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1" t="n"/>
      <c r="BA381" s="21" t="n"/>
      <c r="BB381" s="27">
        <f>SUM(AZ381:BA381)</f>
        <v/>
      </c>
      <c r="BC381" s="28" t="n"/>
      <c r="BD381" s="28" t="n"/>
      <c r="BE381" s="29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1" t="n"/>
      <c r="BG381" s="21" t="n"/>
      <c r="BH381" s="27">
        <f>SUM(BF381:BG381)</f>
        <v/>
      </c>
      <c r="BI381" s="28" t="n"/>
      <c r="BJ381" s="28" t="n"/>
      <c r="BK381" s="29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1" t="n"/>
      <c r="BM381" s="21" t="n"/>
      <c r="BN381" s="27">
        <f>SUM(BL381:BM381)</f>
        <v/>
      </c>
      <c r="BO381" s="28" t="n"/>
      <c r="BP381" s="31" t="n"/>
      <c r="BQ381" s="29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1" t="n"/>
      <c r="BS381" s="21" t="n"/>
      <c r="BT381" s="27">
        <f>SUM(BR381:BS381)</f>
        <v/>
      </c>
      <c r="BU381" s="28" t="n"/>
      <c r="BV381" s="31" t="n"/>
      <c r="BW381" s="29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1" t="n"/>
      <c r="BY381" s="21" t="n"/>
      <c r="BZ381" s="27">
        <f>SUM(BX381:BY381)</f>
        <v/>
      </c>
      <c r="CA381" s="28" t="n"/>
      <c r="CB381" s="31" t="n"/>
      <c r="CC381" s="29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1" t="n"/>
      <c r="CE381" s="21" t="n"/>
      <c r="CF381" s="27">
        <f>SUM(CD381:CE381)</f>
        <v/>
      </c>
      <c r="CG381" s="28" t="n"/>
      <c r="CH381" s="31" t="n"/>
      <c r="CI381" s="29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1" t="n"/>
      <c r="CK381" s="21" t="n"/>
      <c r="CL381" s="27">
        <f>SUM(CJ381:CK381)</f>
        <v/>
      </c>
      <c r="CM381" s="28" t="n"/>
      <c r="CN381" s="31" t="n"/>
      <c r="CO381" s="29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1" t="n"/>
      <c r="CQ381" s="21" t="n"/>
      <c r="CR381" s="27">
        <f>SUM(CP381:CQ381)</f>
        <v/>
      </c>
      <c r="CS381" s="28" t="n"/>
      <c r="CT381" s="31" t="n"/>
      <c r="CU381" s="29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1" t="n"/>
      <c r="CW381" s="21" t="n"/>
      <c r="CX381" s="27">
        <f>SUM(CV381:CW381)</f>
        <v/>
      </c>
      <c r="CY381" s="28" t="n"/>
      <c r="CZ381" s="31" t="n"/>
      <c r="DA381" s="29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1" t="n"/>
      <c r="DC381" s="21" t="n"/>
      <c r="DD381" s="27">
        <f>SUM(DB381:DC381)</f>
        <v/>
      </c>
      <c r="DE381" s="28" t="n"/>
      <c r="DF381" s="31" t="n"/>
      <c r="DG381" s="29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34">
        <f>SUM(O381,U381,AA381,AG381,AM381,AS381,AY381,BE381,BK381,BQ381,BW381,CC381,CI381,CO381,CU381,DA381,DG381)</f>
        <v/>
      </c>
      <c r="DI381" s="39">
        <f>RANK(DH381,DH$4:DH$503)</f>
        <v/>
      </c>
      <c r="DJ381" s="40" t="inlineStr">
        <is>
          <t>CHOOSE RATING</t>
        </is>
      </c>
      <c r="DK381" s="40" t="inlineStr">
        <is>
          <t>CHOOSE RATING</t>
        </is>
      </c>
      <c r="DL381" s="40" t="inlineStr">
        <is>
          <t>CHOOSE RATING</t>
        </is>
      </c>
      <c r="DM381" s="40" t="inlineStr">
        <is>
          <t>CHOOSE RATING</t>
        </is>
      </c>
      <c r="DN381" s="40" t="inlineStr">
        <is>
          <t>CHOOSE RATING</t>
        </is>
      </c>
      <c r="DO381" s="40" t="inlineStr">
        <is>
          <t>CHOOSE RATING</t>
        </is>
      </c>
      <c r="DP381" s="40" t="inlineStr">
        <is>
          <t>CHOOSE RATING</t>
        </is>
      </c>
      <c r="DQ381" s="40" t="inlineStr">
        <is>
          <t>CHOOSE RATING</t>
        </is>
      </c>
      <c r="DR381" s="43" t="inlineStr">
        <is>
          <t>2024/2025</t>
        </is>
      </c>
      <c r="DS381" s="45" t="inlineStr">
        <is>
          <t>THIRD</t>
        </is>
      </c>
      <c r="DT381" s="40" t="inlineStr">
        <is>
          <t>CHOOSE RATING</t>
        </is>
      </c>
      <c r="DU381" s="40" t="inlineStr">
        <is>
          <t>CHOOSE RATING</t>
        </is>
      </c>
      <c r="DV381" s="40" t="inlineStr">
        <is>
          <t>CHOOSE RATING</t>
        </is>
      </c>
      <c r="DW381" s="40" t="inlineStr">
        <is>
          <t>CHOOSE RATING</t>
        </is>
      </c>
      <c r="DX381" s="40" t="inlineStr">
        <is>
          <t>CHOOSE RATING</t>
        </is>
      </c>
      <c r="DY381" s="40" t="inlineStr">
        <is>
          <t>CHOOSE RATING</t>
        </is>
      </c>
      <c r="DZ381" s="53" t="inlineStr">
        <is>
          <t>CHOOSE RATING</t>
        </is>
      </c>
      <c r="EA381" s="54" t="inlineStr">
        <is>
          <t>Add the Tutor's Comment . . .</t>
        </is>
      </c>
      <c r="EB381" s="55" t="inlineStr">
        <is>
          <t>Choose Principals comment</t>
        </is>
      </c>
      <c r="EC381" s="56" t="n"/>
      <c r="ED381" s="57" t="inlineStr">
        <is>
          <t>Next Term Begins on Monday, 22nd September, 2025</t>
        </is>
      </c>
    </row>
    <row r="382" ht="30.6" customHeight="1" s="6">
      <c r="A382" s="18" t="n">
        <v>379</v>
      </c>
      <c r="B382" s="19" t="n"/>
      <c r="C382" s="20" t="n"/>
      <c r="D382" s="128" t="n"/>
      <c r="E382" s="21" t="n"/>
      <c r="F382" s="22" t="n"/>
      <c r="G382" s="22" t="n"/>
      <c r="H382" s="22" t="n"/>
      <c r="I382" s="26">
        <f>G382-H382</f>
        <v/>
      </c>
      <c r="J382" s="21" t="n"/>
      <c r="K382" s="21" t="n"/>
      <c r="L382" s="27">
        <f>SUM(J382:K382)</f>
        <v/>
      </c>
      <c r="M382" s="28" t="n"/>
      <c r="N382" s="28" t="n"/>
      <c r="O382" s="29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1" t="n"/>
      <c r="Q382" s="21" t="n"/>
      <c r="R382" s="27">
        <f>SUM(P382:Q382)</f>
        <v/>
      </c>
      <c r="S382" s="28" t="n"/>
      <c r="T382" s="28" t="n"/>
      <c r="U382" s="29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1" t="n"/>
      <c r="W382" s="21" t="n"/>
      <c r="X382" s="27">
        <f>SUM(V382:W382)</f>
        <v/>
      </c>
      <c r="Y382" s="28" t="n"/>
      <c r="Z382" s="28" t="n"/>
      <c r="AA382" s="29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1" t="n"/>
      <c r="AC382" s="21" t="n"/>
      <c r="AD382" s="27">
        <f>SUM(AB382:AC382)</f>
        <v/>
      </c>
      <c r="AE382" s="28" t="n"/>
      <c r="AF382" s="28" t="n"/>
      <c r="AG382" s="29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1" t="n"/>
      <c r="AI382" s="21" t="n"/>
      <c r="AJ382" s="27">
        <f>SUM(AH382:AI382)</f>
        <v/>
      </c>
      <c r="AK382" s="28" t="n"/>
      <c r="AL382" s="28" t="n"/>
      <c r="AM382" s="29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1" t="n"/>
      <c r="AO382" s="21" t="n"/>
      <c r="AP382" s="27">
        <f>SUM(AN382:AO382)</f>
        <v/>
      </c>
      <c r="AQ382" s="28" t="n"/>
      <c r="AR382" s="30" t="n"/>
      <c r="AS382" s="29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1" t="n"/>
      <c r="AU382" s="21" t="n"/>
      <c r="AV382" s="27">
        <f>SUM(AT382:AU382)</f>
        <v/>
      </c>
      <c r="AW382" s="28" t="n"/>
      <c r="AX382" s="30" t="n"/>
      <c r="AY382" s="29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1" t="n"/>
      <c r="BA382" s="21" t="n"/>
      <c r="BB382" s="27">
        <f>SUM(AZ382:BA382)</f>
        <v/>
      </c>
      <c r="BC382" s="28" t="n"/>
      <c r="BD382" s="28" t="n"/>
      <c r="BE382" s="29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1" t="n"/>
      <c r="BG382" s="21" t="n"/>
      <c r="BH382" s="27">
        <f>SUM(BF382:BG382)</f>
        <v/>
      </c>
      <c r="BI382" s="28" t="n"/>
      <c r="BJ382" s="28" t="n"/>
      <c r="BK382" s="29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1" t="n"/>
      <c r="BM382" s="21" t="n"/>
      <c r="BN382" s="27">
        <f>SUM(BL382:BM382)</f>
        <v/>
      </c>
      <c r="BO382" s="28" t="n"/>
      <c r="BP382" s="31" t="n"/>
      <c r="BQ382" s="29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1" t="n"/>
      <c r="BS382" s="21" t="n"/>
      <c r="BT382" s="27">
        <f>SUM(BR382:BS382)</f>
        <v/>
      </c>
      <c r="BU382" s="28" t="n"/>
      <c r="BV382" s="31" t="n"/>
      <c r="BW382" s="29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1" t="n"/>
      <c r="BY382" s="21" t="n"/>
      <c r="BZ382" s="27">
        <f>SUM(BX382:BY382)</f>
        <v/>
      </c>
      <c r="CA382" s="28" t="n"/>
      <c r="CB382" s="31" t="n"/>
      <c r="CC382" s="29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1" t="n"/>
      <c r="CE382" s="21" t="n"/>
      <c r="CF382" s="27">
        <f>SUM(CD382:CE382)</f>
        <v/>
      </c>
      <c r="CG382" s="28" t="n"/>
      <c r="CH382" s="31" t="n"/>
      <c r="CI382" s="29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1" t="n"/>
      <c r="CK382" s="21" t="n"/>
      <c r="CL382" s="27">
        <f>SUM(CJ382:CK382)</f>
        <v/>
      </c>
      <c r="CM382" s="28" t="n"/>
      <c r="CN382" s="31" t="n"/>
      <c r="CO382" s="29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1" t="n"/>
      <c r="CQ382" s="21" t="n"/>
      <c r="CR382" s="27">
        <f>SUM(CP382:CQ382)</f>
        <v/>
      </c>
      <c r="CS382" s="28" t="n"/>
      <c r="CT382" s="31" t="n"/>
      <c r="CU382" s="29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1" t="n"/>
      <c r="CW382" s="21" t="n"/>
      <c r="CX382" s="27">
        <f>SUM(CV382:CW382)</f>
        <v/>
      </c>
      <c r="CY382" s="28" t="n"/>
      <c r="CZ382" s="31" t="n"/>
      <c r="DA382" s="29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1" t="n"/>
      <c r="DC382" s="21" t="n"/>
      <c r="DD382" s="27">
        <f>SUM(DB382:DC382)</f>
        <v/>
      </c>
      <c r="DE382" s="28" t="n"/>
      <c r="DF382" s="31" t="n"/>
      <c r="DG382" s="29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34">
        <f>SUM(O382,U382,AA382,AG382,AM382,AS382,AY382,BE382,BK382,BQ382,BW382,CC382,CI382,CO382,CU382,DA382,DG382)</f>
        <v/>
      </c>
      <c r="DI382" s="39">
        <f>RANK(DH382,DH$4:DH$503)</f>
        <v/>
      </c>
      <c r="DJ382" s="40" t="inlineStr">
        <is>
          <t>CHOOSE RATING</t>
        </is>
      </c>
      <c r="DK382" s="40" t="inlineStr">
        <is>
          <t>CHOOSE RATING</t>
        </is>
      </c>
      <c r="DL382" s="40" t="inlineStr">
        <is>
          <t>CHOOSE RATING</t>
        </is>
      </c>
      <c r="DM382" s="40" t="inlineStr">
        <is>
          <t>CHOOSE RATING</t>
        </is>
      </c>
      <c r="DN382" s="40" t="inlineStr">
        <is>
          <t>CHOOSE RATING</t>
        </is>
      </c>
      <c r="DO382" s="40" t="inlineStr">
        <is>
          <t>CHOOSE RATING</t>
        </is>
      </c>
      <c r="DP382" s="40" t="inlineStr">
        <is>
          <t>CHOOSE RATING</t>
        </is>
      </c>
      <c r="DQ382" s="40" t="inlineStr">
        <is>
          <t>CHOOSE RATING</t>
        </is>
      </c>
      <c r="DR382" s="43" t="inlineStr">
        <is>
          <t>2024/2025</t>
        </is>
      </c>
      <c r="DS382" s="45" t="inlineStr">
        <is>
          <t>THIRD</t>
        </is>
      </c>
      <c r="DT382" s="40" t="inlineStr">
        <is>
          <t>CHOOSE RATING</t>
        </is>
      </c>
      <c r="DU382" s="40" t="inlineStr">
        <is>
          <t>CHOOSE RATING</t>
        </is>
      </c>
      <c r="DV382" s="40" t="inlineStr">
        <is>
          <t>CHOOSE RATING</t>
        </is>
      </c>
      <c r="DW382" s="40" t="inlineStr">
        <is>
          <t>CHOOSE RATING</t>
        </is>
      </c>
      <c r="DX382" s="40" t="inlineStr">
        <is>
          <t>CHOOSE RATING</t>
        </is>
      </c>
      <c r="DY382" s="40" t="inlineStr">
        <is>
          <t>CHOOSE RATING</t>
        </is>
      </c>
      <c r="DZ382" s="53" t="inlineStr">
        <is>
          <t>CHOOSE RATING</t>
        </is>
      </c>
      <c r="EA382" s="54" t="inlineStr">
        <is>
          <t>Add the Tutor's Comment . . .</t>
        </is>
      </c>
      <c r="EB382" s="55" t="inlineStr">
        <is>
          <t>Choose Principals comment</t>
        </is>
      </c>
      <c r="EC382" s="56" t="n"/>
      <c r="ED382" s="57" t="inlineStr">
        <is>
          <t>Next Term Begins on Monday, 22nd September, 2025</t>
        </is>
      </c>
    </row>
    <row r="383" ht="30.6" customHeight="1" s="6">
      <c r="A383" s="18" t="n">
        <v>380</v>
      </c>
      <c r="B383" s="19" t="n"/>
      <c r="C383" s="20" t="n"/>
      <c r="D383" s="128" t="n"/>
      <c r="E383" s="21" t="n"/>
      <c r="F383" s="22" t="n"/>
      <c r="G383" s="22" t="n"/>
      <c r="H383" s="22" t="n"/>
      <c r="I383" s="26">
        <f>G383-H383</f>
        <v/>
      </c>
      <c r="J383" s="21" t="n"/>
      <c r="K383" s="21" t="n"/>
      <c r="L383" s="27">
        <f>SUM(J383:K383)</f>
        <v/>
      </c>
      <c r="M383" s="28" t="n"/>
      <c r="N383" s="28" t="n"/>
      <c r="O383" s="29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1" t="n"/>
      <c r="Q383" s="21" t="n"/>
      <c r="R383" s="27">
        <f>SUM(P383:Q383)</f>
        <v/>
      </c>
      <c r="S383" s="28" t="n"/>
      <c r="T383" s="28" t="n"/>
      <c r="U383" s="29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1" t="n"/>
      <c r="W383" s="21" t="n"/>
      <c r="X383" s="27">
        <f>SUM(V383:W383)</f>
        <v/>
      </c>
      <c r="Y383" s="28" t="n"/>
      <c r="Z383" s="28" t="n"/>
      <c r="AA383" s="29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1" t="n"/>
      <c r="AC383" s="21" t="n"/>
      <c r="AD383" s="27">
        <f>SUM(AB383:AC383)</f>
        <v/>
      </c>
      <c r="AE383" s="28" t="n"/>
      <c r="AF383" s="28" t="n"/>
      <c r="AG383" s="29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1" t="n"/>
      <c r="AI383" s="21" t="n"/>
      <c r="AJ383" s="27">
        <f>SUM(AH383:AI383)</f>
        <v/>
      </c>
      <c r="AK383" s="28" t="n"/>
      <c r="AL383" s="28" t="n"/>
      <c r="AM383" s="29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1" t="n"/>
      <c r="AO383" s="21" t="n"/>
      <c r="AP383" s="27">
        <f>SUM(AN383:AO383)</f>
        <v/>
      </c>
      <c r="AQ383" s="28" t="n"/>
      <c r="AR383" s="30" t="n"/>
      <c r="AS383" s="29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1" t="n"/>
      <c r="AU383" s="21" t="n"/>
      <c r="AV383" s="27">
        <f>SUM(AT383:AU383)</f>
        <v/>
      </c>
      <c r="AW383" s="28" t="n"/>
      <c r="AX383" s="30" t="n"/>
      <c r="AY383" s="29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1" t="n"/>
      <c r="BA383" s="21" t="n"/>
      <c r="BB383" s="27">
        <f>SUM(AZ383:BA383)</f>
        <v/>
      </c>
      <c r="BC383" s="28" t="n"/>
      <c r="BD383" s="28" t="n"/>
      <c r="BE383" s="29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1" t="n"/>
      <c r="BG383" s="21" t="n"/>
      <c r="BH383" s="27">
        <f>SUM(BF383:BG383)</f>
        <v/>
      </c>
      <c r="BI383" s="28" t="n"/>
      <c r="BJ383" s="28" t="n"/>
      <c r="BK383" s="29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1" t="n"/>
      <c r="BM383" s="21" t="n"/>
      <c r="BN383" s="27">
        <f>SUM(BL383:BM383)</f>
        <v/>
      </c>
      <c r="BO383" s="28" t="n"/>
      <c r="BP383" s="31" t="n"/>
      <c r="BQ383" s="29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1" t="n"/>
      <c r="BS383" s="21" t="n"/>
      <c r="BT383" s="27">
        <f>SUM(BR383:BS383)</f>
        <v/>
      </c>
      <c r="BU383" s="28" t="n"/>
      <c r="BV383" s="31" t="n"/>
      <c r="BW383" s="29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1" t="n"/>
      <c r="BY383" s="21" t="n"/>
      <c r="BZ383" s="27">
        <f>SUM(BX383:BY383)</f>
        <v/>
      </c>
      <c r="CA383" s="28" t="n"/>
      <c r="CB383" s="31" t="n"/>
      <c r="CC383" s="29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1" t="n"/>
      <c r="CE383" s="21" t="n"/>
      <c r="CF383" s="27">
        <f>SUM(CD383:CE383)</f>
        <v/>
      </c>
      <c r="CG383" s="28" t="n"/>
      <c r="CH383" s="31" t="n"/>
      <c r="CI383" s="29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1" t="n"/>
      <c r="CK383" s="21" t="n"/>
      <c r="CL383" s="27">
        <f>SUM(CJ383:CK383)</f>
        <v/>
      </c>
      <c r="CM383" s="28" t="n"/>
      <c r="CN383" s="31" t="n"/>
      <c r="CO383" s="29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1" t="n"/>
      <c r="CQ383" s="21" t="n"/>
      <c r="CR383" s="27">
        <f>SUM(CP383:CQ383)</f>
        <v/>
      </c>
      <c r="CS383" s="28" t="n"/>
      <c r="CT383" s="31" t="n"/>
      <c r="CU383" s="29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1" t="n"/>
      <c r="CW383" s="21" t="n"/>
      <c r="CX383" s="27">
        <f>SUM(CV383:CW383)</f>
        <v/>
      </c>
      <c r="CY383" s="28" t="n"/>
      <c r="CZ383" s="31" t="n"/>
      <c r="DA383" s="29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1" t="n"/>
      <c r="DC383" s="21" t="n"/>
      <c r="DD383" s="27">
        <f>SUM(DB383:DC383)</f>
        <v/>
      </c>
      <c r="DE383" s="28" t="n"/>
      <c r="DF383" s="31" t="n"/>
      <c r="DG383" s="29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34">
        <f>SUM(O383,U383,AA383,AG383,AM383,AS383,AY383,BE383,BK383,BQ383,BW383,CC383,CI383,CO383,CU383,DA383,DG383)</f>
        <v/>
      </c>
      <c r="DI383" s="39">
        <f>RANK(DH383,DH$4:DH$503)</f>
        <v/>
      </c>
      <c r="DJ383" s="40" t="inlineStr">
        <is>
          <t>CHOOSE RATING</t>
        </is>
      </c>
      <c r="DK383" s="40" t="inlineStr">
        <is>
          <t>CHOOSE RATING</t>
        </is>
      </c>
      <c r="DL383" s="40" t="inlineStr">
        <is>
          <t>CHOOSE RATING</t>
        </is>
      </c>
      <c r="DM383" s="40" t="inlineStr">
        <is>
          <t>CHOOSE RATING</t>
        </is>
      </c>
      <c r="DN383" s="40" t="inlineStr">
        <is>
          <t>CHOOSE RATING</t>
        </is>
      </c>
      <c r="DO383" s="40" t="inlineStr">
        <is>
          <t>CHOOSE RATING</t>
        </is>
      </c>
      <c r="DP383" s="40" t="inlineStr">
        <is>
          <t>CHOOSE RATING</t>
        </is>
      </c>
      <c r="DQ383" s="40" t="inlineStr">
        <is>
          <t>CHOOSE RATING</t>
        </is>
      </c>
      <c r="DR383" s="43" t="inlineStr">
        <is>
          <t>2024/2025</t>
        </is>
      </c>
      <c r="DS383" s="45" t="inlineStr">
        <is>
          <t>THIRD</t>
        </is>
      </c>
      <c r="DT383" s="40" t="inlineStr">
        <is>
          <t>CHOOSE RATING</t>
        </is>
      </c>
      <c r="DU383" s="40" t="inlineStr">
        <is>
          <t>CHOOSE RATING</t>
        </is>
      </c>
      <c r="DV383" s="40" t="inlineStr">
        <is>
          <t>CHOOSE RATING</t>
        </is>
      </c>
      <c r="DW383" s="40" t="inlineStr">
        <is>
          <t>CHOOSE RATING</t>
        </is>
      </c>
      <c r="DX383" s="40" t="inlineStr">
        <is>
          <t>CHOOSE RATING</t>
        </is>
      </c>
      <c r="DY383" s="40" t="inlineStr">
        <is>
          <t>CHOOSE RATING</t>
        </is>
      </c>
      <c r="DZ383" s="53" t="inlineStr">
        <is>
          <t>CHOOSE RATING</t>
        </is>
      </c>
      <c r="EA383" s="54" t="inlineStr">
        <is>
          <t>Add the Tutor's Comment . . .</t>
        </is>
      </c>
      <c r="EB383" s="55" t="inlineStr">
        <is>
          <t>Choose Principals comment</t>
        </is>
      </c>
      <c r="EC383" s="56" t="n"/>
      <c r="ED383" s="57" t="inlineStr">
        <is>
          <t>Next Term Begins on Monday, 22nd September, 2025</t>
        </is>
      </c>
    </row>
    <row r="384" ht="30.6" customHeight="1" s="6">
      <c r="A384" s="18" t="n">
        <v>381</v>
      </c>
      <c r="B384" s="19" t="n"/>
      <c r="C384" s="20" t="n"/>
      <c r="D384" s="128" t="n"/>
      <c r="E384" s="21" t="n"/>
      <c r="F384" s="22" t="n"/>
      <c r="G384" s="22" t="n"/>
      <c r="H384" s="22" t="n"/>
      <c r="I384" s="26">
        <f>G384-H384</f>
        <v/>
      </c>
      <c r="J384" s="21" t="n"/>
      <c r="K384" s="21" t="n"/>
      <c r="L384" s="27">
        <f>SUM(J384:K384)</f>
        <v/>
      </c>
      <c r="M384" s="28" t="n"/>
      <c r="N384" s="28" t="n"/>
      <c r="O384" s="29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1" t="n"/>
      <c r="Q384" s="21" t="n"/>
      <c r="R384" s="27">
        <f>SUM(P384:Q384)</f>
        <v/>
      </c>
      <c r="S384" s="28" t="n"/>
      <c r="T384" s="28" t="n"/>
      <c r="U384" s="29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1" t="n"/>
      <c r="W384" s="21" t="n"/>
      <c r="X384" s="27">
        <f>SUM(V384:W384)</f>
        <v/>
      </c>
      <c r="Y384" s="28" t="n"/>
      <c r="Z384" s="28" t="n"/>
      <c r="AA384" s="29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1" t="n"/>
      <c r="AC384" s="21" t="n"/>
      <c r="AD384" s="27">
        <f>SUM(AB384:AC384)</f>
        <v/>
      </c>
      <c r="AE384" s="28" t="n"/>
      <c r="AF384" s="28" t="n"/>
      <c r="AG384" s="29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1" t="n"/>
      <c r="AI384" s="21" t="n"/>
      <c r="AJ384" s="27">
        <f>SUM(AH384:AI384)</f>
        <v/>
      </c>
      <c r="AK384" s="28" t="n"/>
      <c r="AL384" s="28" t="n"/>
      <c r="AM384" s="29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1" t="n"/>
      <c r="AO384" s="21" t="n"/>
      <c r="AP384" s="27">
        <f>SUM(AN384:AO384)</f>
        <v/>
      </c>
      <c r="AQ384" s="28" t="n"/>
      <c r="AR384" s="30" t="n"/>
      <c r="AS384" s="29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1" t="n"/>
      <c r="AU384" s="21" t="n"/>
      <c r="AV384" s="27">
        <f>SUM(AT384:AU384)</f>
        <v/>
      </c>
      <c r="AW384" s="28" t="n"/>
      <c r="AX384" s="30" t="n"/>
      <c r="AY384" s="29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1" t="n"/>
      <c r="BA384" s="21" t="n"/>
      <c r="BB384" s="27">
        <f>SUM(AZ384:BA384)</f>
        <v/>
      </c>
      <c r="BC384" s="28" t="n"/>
      <c r="BD384" s="28" t="n"/>
      <c r="BE384" s="29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1" t="n"/>
      <c r="BG384" s="21" t="n"/>
      <c r="BH384" s="27">
        <f>SUM(BF384:BG384)</f>
        <v/>
      </c>
      <c r="BI384" s="28" t="n"/>
      <c r="BJ384" s="28" t="n"/>
      <c r="BK384" s="29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1" t="n"/>
      <c r="BM384" s="21" t="n"/>
      <c r="BN384" s="27">
        <f>SUM(BL384:BM384)</f>
        <v/>
      </c>
      <c r="BO384" s="28" t="n"/>
      <c r="BP384" s="31" t="n"/>
      <c r="BQ384" s="29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1" t="n"/>
      <c r="BS384" s="21" t="n"/>
      <c r="BT384" s="27">
        <f>SUM(BR384:BS384)</f>
        <v/>
      </c>
      <c r="BU384" s="28" t="n"/>
      <c r="BV384" s="31" t="n"/>
      <c r="BW384" s="29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1" t="n"/>
      <c r="BY384" s="21" t="n"/>
      <c r="BZ384" s="27">
        <f>SUM(BX384:BY384)</f>
        <v/>
      </c>
      <c r="CA384" s="28" t="n"/>
      <c r="CB384" s="31" t="n"/>
      <c r="CC384" s="29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1" t="n"/>
      <c r="CE384" s="21" t="n"/>
      <c r="CF384" s="27">
        <f>SUM(CD384:CE384)</f>
        <v/>
      </c>
      <c r="CG384" s="28" t="n"/>
      <c r="CH384" s="31" t="n"/>
      <c r="CI384" s="29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1" t="n"/>
      <c r="CK384" s="21" t="n"/>
      <c r="CL384" s="27">
        <f>SUM(CJ384:CK384)</f>
        <v/>
      </c>
      <c r="CM384" s="28" t="n"/>
      <c r="CN384" s="31" t="n"/>
      <c r="CO384" s="29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1" t="n"/>
      <c r="CQ384" s="21" t="n"/>
      <c r="CR384" s="27">
        <f>SUM(CP384:CQ384)</f>
        <v/>
      </c>
      <c r="CS384" s="28" t="n"/>
      <c r="CT384" s="31" t="n"/>
      <c r="CU384" s="29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1" t="n"/>
      <c r="CW384" s="21" t="n"/>
      <c r="CX384" s="27">
        <f>SUM(CV384:CW384)</f>
        <v/>
      </c>
      <c r="CY384" s="28" t="n"/>
      <c r="CZ384" s="31" t="n"/>
      <c r="DA384" s="29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1" t="n"/>
      <c r="DC384" s="21" t="n"/>
      <c r="DD384" s="27">
        <f>SUM(DB384:DC384)</f>
        <v/>
      </c>
      <c r="DE384" s="28" t="n"/>
      <c r="DF384" s="31" t="n"/>
      <c r="DG384" s="29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34">
        <f>SUM(O384,U384,AA384,AG384,AM384,AS384,AY384,BE384,BK384,BQ384,BW384,CC384,CI384,CO384,CU384,DA384,DG384)</f>
        <v/>
      </c>
      <c r="DI384" s="39">
        <f>RANK(DH384,DH$4:DH$503)</f>
        <v/>
      </c>
      <c r="DJ384" s="40" t="inlineStr">
        <is>
          <t>CHOOSE RATING</t>
        </is>
      </c>
      <c r="DK384" s="40" t="inlineStr">
        <is>
          <t>CHOOSE RATING</t>
        </is>
      </c>
      <c r="DL384" s="40" t="inlineStr">
        <is>
          <t>CHOOSE RATING</t>
        </is>
      </c>
      <c r="DM384" s="40" t="inlineStr">
        <is>
          <t>CHOOSE RATING</t>
        </is>
      </c>
      <c r="DN384" s="40" t="inlineStr">
        <is>
          <t>CHOOSE RATING</t>
        </is>
      </c>
      <c r="DO384" s="40" t="inlineStr">
        <is>
          <t>CHOOSE RATING</t>
        </is>
      </c>
      <c r="DP384" s="40" t="inlineStr">
        <is>
          <t>CHOOSE RATING</t>
        </is>
      </c>
      <c r="DQ384" s="40" t="inlineStr">
        <is>
          <t>CHOOSE RATING</t>
        </is>
      </c>
      <c r="DR384" s="43" t="inlineStr">
        <is>
          <t>2024/2025</t>
        </is>
      </c>
      <c r="DS384" s="45" t="inlineStr">
        <is>
          <t>THIRD</t>
        </is>
      </c>
      <c r="DT384" s="40" t="inlineStr">
        <is>
          <t>CHOOSE RATING</t>
        </is>
      </c>
      <c r="DU384" s="40" t="inlineStr">
        <is>
          <t>CHOOSE RATING</t>
        </is>
      </c>
      <c r="DV384" s="40" t="inlineStr">
        <is>
          <t>CHOOSE RATING</t>
        </is>
      </c>
      <c r="DW384" s="40" t="inlineStr">
        <is>
          <t>CHOOSE RATING</t>
        </is>
      </c>
      <c r="DX384" s="40" t="inlineStr">
        <is>
          <t>CHOOSE RATING</t>
        </is>
      </c>
      <c r="DY384" s="40" t="inlineStr">
        <is>
          <t>CHOOSE RATING</t>
        </is>
      </c>
      <c r="DZ384" s="53" t="inlineStr">
        <is>
          <t>CHOOSE RATING</t>
        </is>
      </c>
      <c r="EA384" s="54" t="inlineStr">
        <is>
          <t>Add the Tutor's Comment . . .</t>
        </is>
      </c>
      <c r="EB384" s="55" t="inlineStr">
        <is>
          <t>Choose Principals comment</t>
        </is>
      </c>
      <c r="EC384" s="56" t="n"/>
      <c r="ED384" s="57" t="inlineStr">
        <is>
          <t>Next Term Begins on Monday, 22nd September, 2025</t>
        </is>
      </c>
    </row>
    <row r="385" ht="30.6" customHeight="1" s="6">
      <c r="A385" s="18" t="n">
        <v>382</v>
      </c>
      <c r="B385" s="19" t="n"/>
      <c r="C385" s="20" t="n"/>
      <c r="D385" s="128" t="n"/>
      <c r="E385" s="21" t="n"/>
      <c r="F385" s="22" t="n"/>
      <c r="G385" s="22" t="n"/>
      <c r="H385" s="22" t="n"/>
      <c r="I385" s="26">
        <f>G385-H385</f>
        <v/>
      </c>
      <c r="J385" s="21" t="n"/>
      <c r="K385" s="21" t="n"/>
      <c r="L385" s="27">
        <f>SUM(J385:K385)</f>
        <v/>
      </c>
      <c r="M385" s="28" t="n"/>
      <c r="N385" s="28" t="n"/>
      <c r="O385" s="29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1" t="n"/>
      <c r="Q385" s="21" t="n"/>
      <c r="R385" s="27">
        <f>SUM(P385:Q385)</f>
        <v/>
      </c>
      <c r="S385" s="28" t="n"/>
      <c r="T385" s="28" t="n"/>
      <c r="U385" s="29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1" t="n"/>
      <c r="W385" s="21" t="n"/>
      <c r="X385" s="27">
        <f>SUM(V385:W385)</f>
        <v/>
      </c>
      <c r="Y385" s="28" t="n"/>
      <c r="Z385" s="28" t="n"/>
      <c r="AA385" s="29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1" t="n"/>
      <c r="AC385" s="21" t="n"/>
      <c r="AD385" s="27">
        <f>SUM(AB385:AC385)</f>
        <v/>
      </c>
      <c r="AE385" s="28" t="n"/>
      <c r="AF385" s="28" t="n"/>
      <c r="AG385" s="29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1" t="n"/>
      <c r="AI385" s="21" t="n"/>
      <c r="AJ385" s="27">
        <f>SUM(AH385:AI385)</f>
        <v/>
      </c>
      <c r="AK385" s="28" t="n"/>
      <c r="AL385" s="28" t="n"/>
      <c r="AM385" s="29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1" t="n"/>
      <c r="AO385" s="21" t="n"/>
      <c r="AP385" s="27">
        <f>SUM(AN385:AO385)</f>
        <v/>
      </c>
      <c r="AQ385" s="28" t="n"/>
      <c r="AR385" s="30" t="n"/>
      <c r="AS385" s="29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1" t="n"/>
      <c r="AU385" s="21" t="n"/>
      <c r="AV385" s="27">
        <f>SUM(AT385:AU385)</f>
        <v/>
      </c>
      <c r="AW385" s="28" t="n"/>
      <c r="AX385" s="30" t="n"/>
      <c r="AY385" s="29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1" t="n"/>
      <c r="BA385" s="21" t="n"/>
      <c r="BB385" s="27">
        <f>SUM(AZ385:BA385)</f>
        <v/>
      </c>
      <c r="BC385" s="28" t="n"/>
      <c r="BD385" s="28" t="n"/>
      <c r="BE385" s="29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1" t="n"/>
      <c r="BG385" s="21" t="n"/>
      <c r="BH385" s="27">
        <f>SUM(BF385:BG385)</f>
        <v/>
      </c>
      <c r="BI385" s="28" t="n"/>
      <c r="BJ385" s="28" t="n"/>
      <c r="BK385" s="29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1" t="n"/>
      <c r="BM385" s="21" t="n"/>
      <c r="BN385" s="27">
        <f>SUM(BL385:BM385)</f>
        <v/>
      </c>
      <c r="BO385" s="28" t="n"/>
      <c r="BP385" s="31" t="n"/>
      <c r="BQ385" s="29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1" t="n"/>
      <c r="BS385" s="21" t="n"/>
      <c r="BT385" s="27">
        <f>SUM(BR385:BS385)</f>
        <v/>
      </c>
      <c r="BU385" s="28" t="n"/>
      <c r="BV385" s="31" t="n"/>
      <c r="BW385" s="29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1" t="n"/>
      <c r="BY385" s="21" t="n"/>
      <c r="BZ385" s="27">
        <f>SUM(BX385:BY385)</f>
        <v/>
      </c>
      <c r="CA385" s="28" t="n"/>
      <c r="CB385" s="31" t="n"/>
      <c r="CC385" s="29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1" t="n"/>
      <c r="CE385" s="21" t="n"/>
      <c r="CF385" s="27">
        <f>SUM(CD385:CE385)</f>
        <v/>
      </c>
      <c r="CG385" s="28" t="n"/>
      <c r="CH385" s="31" t="n"/>
      <c r="CI385" s="29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1" t="n"/>
      <c r="CK385" s="21" t="n"/>
      <c r="CL385" s="27">
        <f>SUM(CJ385:CK385)</f>
        <v/>
      </c>
      <c r="CM385" s="28" t="n"/>
      <c r="CN385" s="31" t="n"/>
      <c r="CO385" s="29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1" t="n"/>
      <c r="CQ385" s="21" t="n"/>
      <c r="CR385" s="27">
        <f>SUM(CP385:CQ385)</f>
        <v/>
      </c>
      <c r="CS385" s="28" t="n"/>
      <c r="CT385" s="31" t="n"/>
      <c r="CU385" s="29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1" t="n"/>
      <c r="CW385" s="21" t="n"/>
      <c r="CX385" s="27">
        <f>SUM(CV385:CW385)</f>
        <v/>
      </c>
      <c r="CY385" s="28" t="n"/>
      <c r="CZ385" s="31" t="n"/>
      <c r="DA385" s="29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1" t="n"/>
      <c r="DC385" s="21" t="n"/>
      <c r="DD385" s="27">
        <f>SUM(DB385:DC385)</f>
        <v/>
      </c>
      <c r="DE385" s="28" t="n"/>
      <c r="DF385" s="31" t="n"/>
      <c r="DG385" s="29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34">
        <f>SUM(O385,U385,AA385,AG385,AM385,AS385,AY385,BE385,BK385,BQ385,BW385,CC385,CI385,CO385,CU385,DA385,DG385)</f>
        <v/>
      </c>
      <c r="DI385" s="39">
        <f>RANK(DH385,DH$4:DH$503)</f>
        <v/>
      </c>
      <c r="DJ385" s="40" t="inlineStr">
        <is>
          <t>CHOOSE RATING</t>
        </is>
      </c>
      <c r="DK385" s="40" t="inlineStr">
        <is>
          <t>CHOOSE RATING</t>
        </is>
      </c>
      <c r="DL385" s="40" t="inlineStr">
        <is>
          <t>CHOOSE RATING</t>
        </is>
      </c>
      <c r="DM385" s="40" t="inlineStr">
        <is>
          <t>CHOOSE RATING</t>
        </is>
      </c>
      <c r="DN385" s="40" t="inlineStr">
        <is>
          <t>CHOOSE RATING</t>
        </is>
      </c>
      <c r="DO385" s="40" t="inlineStr">
        <is>
          <t>CHOOSE RATING</t>
        </is>
      </c>
      <c r="DP385" s="40" t="inlineStr">
        <is>
          <t>CHOOSE RATING</t>
        </is>
      </c>
      <c r="DQ385" s="40" t="inlineStr">
        <is>
          <t>CHOOSE RATING</t>
        </is>
      </c>
      <c r="DR385" s="43" t="inlineStr">
        <is>
          <t>2024/2025</t>
        </is>
      </c>
      <c r="DS385" s="45" t="inlineStr">
        <is>
          <t>THIRD</t>
        </is>
      </c>
      <c r="DT385" s="40" t="inlineStr">
        <is>
          <t>CHOOSE RATING</t>
        </is>
      </c>
      <c r="DU385" s="40" t="inlineStr">
        <is>
          <t>CHOOSE RATING</t>
        </is>
      </c>
      <c r="DV385" s="40" t="inlineStr">
        <is>
          <t>CHOOSE RATING</t>
        </is>
      </c>
      <c r="DW385" s="40" t="inlineStr">
        <is>
          <t>CHOOSE RATING</t>
        </is>
      </c>
      <c r="DX385" s="40" t="inlineStr">
        <is>
          <t>CHOOSE RATING</t>
        </is>
      </c>
      <c r="DY385" s="40" t="inlineStr">
        <is>
          <t>CHOOSE RATING</t>
        </is>
      </c>
      <c r="DZ385" s="53" t="inlineStr">
        <is>
          <t>CHOOSE RATING</t>
        </is>
      </c>
      <c r="EA385" s="54" t="inlineStr">
        <is>
          <t>Add the Tutor's Comment . . .</t>
        </is>
      </c>
      <c r="EB385" s="55" t="inlineStr">
        <is>
          <t>Choose Principals comment</t>
        </is>
      </c>
      <c r="EC385" s="56" t="n"/>
      <c r="ED385" s="57" t="inlineStr">
        <is>
          <t>Next Term Begins on Monday, 22nd September, 2025</t>
        </is>
      </c>
    </row>
    <row r="386" ht="30.6" customHeight="1" s="6">
      <c r="A386" s="18" t="n">
        <v>383</v>
      </c>
      <c r="B386" s="19" t="n"/>
      <c r="C386" s="20" t="n"/>
      <c r="D386" s="128" t="n"/>
      <c r="E386" s="21" t="n"/>
      <c r="F386" s="22" t="n"/>
      <c r="G386" s="22" t="n"/>
      <c r="H386" s="22" t="n"/>
      <c r="I386" s="26">
        <f>G386-H386</f>
        <v/>
      </c>
      <c r="J386" s="21" t="n"/>
      <c r="K386" s="21" t="n"/>
      <c r="L386" s="27">
        <f>SUM(J386:K386)</f>
        <v/>
      </c>
      <c r="M386" s="28" t="n"/>
      <c r="N386" s="28" t="n"/>
      <c r="O386" s="29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1" t="n"/>
      <c r="Q386" s="21" t="n"/>
      <c r="R386" s="27">
        <f>SUM(P386:Q386)</f>
        <v/>
      </c>
      <c r="S386" s="28" t="n"/>
      <c r="T386" s="28" t="n"/>
      <c r="U386" s="29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1" t="n"/>
      <c r="W386" s="21" t="n"/>
      <c r="X386" s="27">
        <f>SUM(V386:W386)</f>
        <v/>
      </c>
      <c r="Y386" s="28" t="n"/>
      <c r="Z386" s="28" t="n"/>
      <c r="AA386" s="29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1" t="n"/>
      <c r="AC386" s="21" t="n"/>
      <c r="AD386" s="27">
        <f>SUM(AB386:AC386)</f>
        <v/>
      </c>
      <c r="AE386" s="28" t="n"/>
      <c r="AF386" s="28" t="n"/>
      <c r="AG386" s="29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1" t="n"/>
      <c r="AI386" s="21" t="n"/>
      <c r="AJ386" s="27">
        <f>SUM(AH386:AI386)</f>
        <v/>
      </c>
      <c r="AK386" s="28" t="n"/>
      <c r="AL386" s="28" t="n"/>
      <c r="AM386" s="29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1" t="n"/>
      <c r="AO386" s="21" t="n"/>
      <c r="AP386" s="27">
        <f>SUM(AN386:AO386)</f>
        <v/>
      </c>
      <c r="AQ386" s="28" t="n"/>
      <c r="AR386" s="30" t="n"/>
      <c r="AS386" s="29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1" t="n"/>
      <c r="AU386" s="21" t="n"/>
      <c r="AV386" s="27">
        <f>SUM(AT386:AU386)</f>
        <v/>
      </c>
      <c r="AW386" s="28" t="n"/>
      <c r="AX386" s="30" t="n"/>
      <c r="AY386" s="29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1" t="n"/>
      <c r="BA386" s="21" t="n"/>
      <c r="BB386" s="27">
        <f>SUM(AZ386:BA386)</f>
        <v/>
      </c>
      <c r="BC386" s="28" t="n"/>
      <c r="BD386" s="28" t="n"/>
      <c r="BE386" s="29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1" t="n"/>
      <c r="BG386" s="21" t="n"/>
      <c r="BH386" s="27">
        <f>SUM(BF386:BG386)</f>
        <v/>
      </c>
      <c r="BI386" s="28" t="n"/>
      <c r="BJ386" s="28" t="n"/>
      <c r="BK386" s="29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1" t="n"/>
      <c r="BM386" s="21" t="n"/>
      <c r="BN386" s="27">
        <f>SUM(BL386:BM386)</f>
        <v/>
      </c>
      <c r="BO386" s="28" t="n"/>
      <c r="BP386" s="31" t="n"/>
      <c r="BQ386" s="29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1" t="n"/>
      <c r="BS386" s="21" t="n"/>
      <c r="BT386" s="27">
        <f>SUM(BR386:BS386)</f>
        <v/>
      </c>
      <c r="BU386" s="28" t="n"/>
      <c r="BV386" s="31" t="n"/>
      <c r="BW386" s="29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1" t="n"/>
      <c r="BY386" s="21" t="n"/>
      <c r="BZ386" s="27">
        <f>SUM(BX386:BY386)</f>
        <v/>
      </c>
      <c r="CA386" s="28" t="n"/>
      <c r="CB386" s="31" t="n"/>
      <c r="CC386" s="29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1" t="n"/>
      <c r="CE386" s="21" t="n"/>
      <c r="CF386" s="27">
        <f>SUM(CD386:CE386)</f>
        <v/>
      </c>
      <c r="CG386" s="28" t="n"/>
      <c r="CH386" s="31" t="n"/>
      <c r="CI386" s="29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1" t="n"/>
      <c r="CK386" s="21" t="n"/>
      <c r="CL386" s="27">
        <f>SUM(CJ386:CK386)</f>
        <v/>
      </c>
      <c r="CM386" s="28" t="n"/>
      <c r="CN386" s="31" t="n"/>
      <c r="CO386" s="29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1" t="n"/>
      <c r="CQ386" s="21" t="n"/>
      <c r="CR386" s="27">
        <f>SUM(CP386:CQ386)</f>
        <v/>
      </c>
      <c r="CS386" s="28" t="n"/>
      <c r="CT386" s="31" t="n"/>
      <c r="CU386" s="29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1" t="n"/>
      <c r="CW386" s="21" t="n"/>
      <c r="CX386" s="27">
        <f>SUM(CV386:CW386)</f>
        <v/>
      </c>
      <c r="CY386" s="28" t="n"/>
      <c r="CZ386" s="31" t="n"/>
      <c r="DA386" s="29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1" t="n"/>
      <c r="DC386" s="21" t="n"/>
      <c r="DD386" s="27">
        <f>SUM(DB386:DC386)</f>
        <v/>
      </c>
      <c r="DE386" s="28" t="n"/>
      <c r="DF386" s="31" t="n"/>
      <c r="DG386" s="29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34">
        <f>SUM(O386,U386,AA386,AG386,AM386,AS386,AY386,BE386,BK386,BQ386,BW386,CC386,CI386,CO386,CU386,DA386,DG386)</f>
        <v/>
      </c>
      <c r="DI386" s="39">
        <f>RANK(DH386,DH$4:DH$503)</f>
        <v/>
      </c>
      <c r="DJ386" s="40" t="inlineStr">
        <is>
          <t>CHOOSE RATING</t>
        </is>
      </c>
      <c r="DK386" s="40" t="inlineStr">
        <is>
          <t>CHOOSE RATING</t>
        </is>
      </c>
      <c r="DL386" s="40" t="inlineStr">
        <is>
          <t>CHOOSE RATING</t>
        </is>
      </c>
      <c r="DM386" s="40" t="inlineStr">
        <is>
          <t>CHOOSE RATING</t>
        </is>
      </c>
      <c r="DN386" s="40" t="inlineStr">
        <is>
          <t>CHOOSE RATING</t>
        </is>
      </c>
      <c r="DO386" s="40" t="inlineStr">
        <is>
          <t>CHOOSE RATING</t>
        </is>
      </c>
      <c r="DP386" s="40" t="inlineStr">
        <is>
          <t>CHOOSE RATING</t>
        </is>
      </c>
      <c r="DQ386" s="40" t="inlineStr">
        <is>
          <t>CHOOSE RATING</t>
        </is>
      </c>
      <c r="DR386" s="43" t="inlineStr">
        <is>
          <t>2024/2025</t>
        </is>
      </c>
      <c r="DS386" s="45" t="inlineStr">
        <is>
          <t>THIRD</t>
        </is>
      </c>
      <c r="DT386" s="40" t="inlineStr">
        <is>
          <t>CHOOSE RATING</t>
        </is>
      </c>
      <c r="DU386" s="40" t="inlineStr">
        <is>
          <t>CHOOSE RATING</t>
        </is>
      </c>
      <c r="DV386" s="40" t="inlineStr">
        <is>
          <t>CHOOSE RATING</t>
        </is>
      </c>
      <c r="DW386" s="40" t="inlineStr">
        <is>
          <t>CHOOSE RATING</t>
        </is>
      </c>
      <c r="DX386" s="40" t="inlineStr">
        <is>
          <t>CHOOSE RATING</t>
        </is>
      </c>
      <c r="DY386" s="40" t="inlineStr">
        <is>
          <t>CHOOSE RATING</t>
        </is>
      </c>
      <c r="DZ386" s="53" t="inlineStr">
        <is>
          <t>CHOOSE RATING</t>
        </is>
      </c>
      <c r="EA386" s="54" t="inlineStr">
        <is>
          <t>Add the Tutor's Comment . . .</t>
        </is>
      </c>
      <c r="EB386" s="55" t="inlineStr">
        <is>
          <t>Choose Principals comment</t>
        </is>
      </c>
      <c r="EC386" s="56" t="n"/>
      <c r="ED386" s="57" t="inlineStr">
        <is>
          <t>Next Term Begins on Monday, 22nd September, 2025</t>
        </is>
      </c>
    </row>
    <row r="387" ht="30.6" customHeight="1" s="6">
      <c r="A387" s="18" t="n">
        <v>384</v>
      </c>
      <c r="B387" s="19" t="n"/>
      <c r="C387" s="20" t="n"/>
      <c r="D387" s="128" t="n"/>
      <c r="E387" s="21" t="n"/>
      <c r="F387" s="22" t="n"/>
      <c r="G387" s="22" t="n"/>
      <c r="H387" s="22" t="n"/>
      <c r="I387" s="26">
        <f>G387-H387</f>
        <v/>
      </c>
      <c r="J387" s="21" t="n"/>
      <c r="K387" s="21" t="n"/>
      <c r="L387" s="27">
        <f>SUM(J387:K387)</f>
        <v/>
      </c>
      <c r="M387" s="28" t="n"/>
      <c r="N387" s="28" t="n"/>
      <c r="O387" s="29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1" t="n"/>
      <c r="Q387" s="21" t="n"/>
      <c r="R387" s="27">
        <f>SUM(P387:Q387)</f>
        <v/>
      </c>
      <c r="S387" s="28" t="n"/>
      <c r="T387" s="28" t="n"/>
      <c r="U387" s="29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1" t="n"/>
      <c r="W387" s="21" t="n"/>
      <c r="X387" s="27">
        <f>SUM(V387:W387)</f>
        <v/>
      </c>
      <c r="Y387" s="28" t="n"/>
      <c r="Z387" s="28" t="n"/>
      <c r="AA387" s="29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1" t="n"/>
      <c r="AC387" s="21" t="n"/>
      <c r="AD387" s="27">
        <f>SUM(AB387:AC387)</f>
        <v/>
      </c>
      <c r="AE387" s="28" t="n"/>
      <c r="AF387" s="28" t="n"/>
      <c r="AG387" s="29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1" t="n"/>
      <c r="AI387" s="21" t="n"/>
      <c r="AJ387" s="27">
        <f>SUM(AH387:AI387)</f>
        <v/>
      </c>
      <c r="AK387" s="28" t="n"/>
      <c r="AL387" s="28" t="n"/>
      <c r="AM387" s="29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1" t="n"/>
      <c r="AO387" s="21" t="n"/>
      <c r="AP387" s="27">
        <f>SUM(AN387:AO387)</f>
        <v/>
      </c>
      <c r="AQ387" s="28" t="n"/>
      <c r="AR387" s="30" t="n"/>
      <c r="AS387" s="29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1" t="n"/>
      <c r="AU387" s="21" t="n"/>
      <c r="AV387" s="27">
        <f>SUM(AT387:AU387)</f>
        <v/>
      </c>
      <c r="AW387" s="28" t="n"/>
      <c r="AX387" s="30" t="n"/>
      <c r="AY387" s="29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1" t="n"/>
      <c r="BA387" s="21" t="n"/>
      <c r="BB387" s="27">
        <f>SUM(AZ387:BA387)</f>
        <v/>
      </c>
      <c r="BC387" s="28" t="n"/>
      <c r="BD387" s="28" t="n"/>
      <c r="BE387" s="29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1" t="n"/>
      <c r="BG387" s="21" t="n"/>
      <c r="BH387" s="27">
        <f>SUM(BF387:BG387)</f>
        <v/>
      </c>
      <c r="BI387" s="28" t="n"/>
      <c r="BJ387" s="28" t="n"/>
      <c r="BK387" s="29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1" t="n"/>
      <c r="BM387" s="21" t="n"/>
      <c r="BN387" s="27">
        <f>SUM(BL387:BM387)</f>
        <v/>
      </c>
      <c r="BO387" s="28" t="n"/>
      <c r="BP387" s="31" t="n"/>
      <c r="BQ387" s="29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1" t="n"/>
      <c r="BS387" s="21" t="n"/>
      <c r="BT387" s="27">
        <f>SUM(BR387:BS387)</f>
        <v/>
      </c>
      <c r="BU387" s="28" t="n"/>
      <c r="BV387" s="31" t="n"/>
      <c r="BW387" s="29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1" t="n"/>
      <c r="BY387" s="21" t="n"/>
      <c r="BZ387" s="27">
        <f>SUM(BX387:BY387)</f>
        <v/>
      </c>
      <c r="CA387" s="28" t="n"/>
      <c r="CB387" s="31" t="n"/>
      <c r="CC387" s="29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1" t="n"/>
      <c r="CE387" s="21" t="n"/>
      <c r="CF387" s="27">
        <f>SUM(CD387:CE387)</f>
        <v/>
      </c>
      <c r="CG387" s="28" t="n"/>
      <c r="CH387" s="31" t="n"/>
      <c r="CI387" s="29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1" t="n"/>
      <c r="CK387" s="21" t="n"/>
      <c r="CL387" s="27">
        <f>SUM(CJ387:CK387)</f>
        <v/>
      </c>
      <c r="CM387" s="28" t="n"/>
      <c r="CN387" s="31" t="n"/>
      <c r="CO387" s="29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1" t="n"/>
      <c r="CQ387" s="21" t="n"/>
      <c r="CR387" s="27">
        <f>SUM(CP387:CQ387)</f>
        <v/>
      </c>
      <c r="CS387" s="28" t="n"/>
      <c r="CT387" s="31" t="n"/>
      <c r="CU387" s="29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1" t="n"/>
      <c r="CW387" s="21" t="n"/>
      <c r="CX387" s="27">
        <f>SUM(CV387:CW387)</f>
        <v/>
      </c>
      <c r="CY387" s="28" t="n"/>
      <c r="CZ387" s="31" t="n"/>
      <c r="DA387" s="29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1" t="n"/>
      <c r="DC387" s="21" t="n"/>
      <c r="DD387" s="27">
        <f>SUM(DB387:DC387)</f>
        <v/>
      </c>
      <c r="DE387" s="28" t="n"/>
      <c r="DF387" s="31" t="n"/>
      <c r="DG387" s="29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34">
        <f>SUM(O387,U387,AA387,AG387,AM387,AS387,AY387,BE387,BK387,BQ387,BW387,CC387,CI387,CO387,CU387,DA387,DG387)</f>
        <v/>
      </c>
      <c r="DI387" s="39">
        <f>RANK(DH387,DH$4:DH$503)</f>
        <v/>
      </c>
      <c r="DJ387" s="40" t="inlineStr">
        <is>
          <t>CHOOSE RATING</t>
        </is>
      </c>
      <c r="DK387" s="40" t="inlineStr">
        <is>
          <t>CHOOSE RATING</t>
        </is>
      </c>
      <c r="DL387" s="40" t="inlineStr">
        <is>
          <t>CHOOSE RATING</t>
        </is>
      </c>
      <c r="DM387" s="40" t="inlineStr">
        <is>
          <t>CHOOSE RATING</t>
        </is>
      </c>
      <c r="DN387" s="40" t="inlineStr">
        <is>
          <t>CHOOSE RATING</t>
        </is>
      </c>
      <c r="DO387" s="40" t="inlineStr">
        <is>
          <t>CHOOSE RATING</t>
        </is>
      </c>
      <c r="DP387" s="40" t="inlineStr">
        <is>
          <t>CHOOSE RATING</t>
        </is>
      </c>
      <c r="DQ387" s="40" t="inlineStr">
        <is>
          <t>CHOOSE RATING</t>
        </is>
      </c>
      <c r="DR387" s="43" t="inlineStr">
        <is>
          <t>2024/2025</t>
        </is>
      </c>
      <c r="DS387" s="45" t="inlineStr">
        <is>
          <t>THIRD</t>
        </is>
      </c>
      <c r="DT387" s="40" t="inlineStr">
        <is>
          <t>CHOOSE RATING</t>
        </is>
      </c>
      <c r="DU387" s="40" t="inlineStr">
        <is>
          <t>CHOOSE RATING</t>
        </is>
      </c>
      <c r="DV387" s="40" t="inlineStr">
        <is>
          <t>CHOOSE RATING</t>
        </is>
      </c>
      <c r="DW387" s="40" t="inlineStr">
        <is>
          <t>CHOOSE RATING</t>
        </is>
      </c>
      <c r="DX387" s="40" t="inlineStr">
        <is>
          <t>CHOOSE RATING</t>
        </is>
      </c>
      <c r="DY387" s="40" t="inlineStr">
        <is>
          <t>CHOOSE RATING</t>
        </is>
      </c>
      <c r="DZ387" s="53" t="inlineStr">
        <is>
          <t>CHOOSE RATING</t>
        </is>
      </c>
      <c r="EA387" s="54" t="inlineStr">
        <is>
          <t>Add the Tutor's Comment . . .</t>
        </is>
      </c>
      <c r="EB387" s="55" t="inlineStr">
        <is>
          <t>Choose Principals comment</t>
        </is>
      </c>
      <c r="EC387" s="56" t="n"/>
      <c r="ED387" s="57" t="inlineStr">
        <is>
          <t>Next Term Begins on Monday, 22nd September, 2025</t>
        </is>
      </c>
    </row>
    <row r="388" ht="30.6" customHeight="1" s="6">
      <c r="A388" s="18" t="n">
        <v>385</v>
      </c>
      <c r="B388" s="19" t="n"/>
      <c r="C388" s="20" t="n"/>
      <c r="D388" s="128" t="n"/>
      <c r="E388" s="21" t="n"/>
      <c r="F388" s="22" t="n"/>
      <c r="G388" s="22" t="n"/>
      <c r="H388" s="22" t="n"/>
      <c r="I388" s="26">
        <f>G388-H388</f>
        <v/>
      </c>
      <c r="J388" s="21" t="n"/>
      <c r="K388" s="21" t="n"/>
      <c r="L388" s="27">
        <f>SUM(J388:K388)</f>
        <v/>
      </c>
      <c r="M388" s="28" t="n"/>
      <c r="N388" s="28" t="n"/>
      <c r="O388" s="29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1" t="n"/>
      <c r="Q388" s="21" t="n"/>
      <c r="R388" s="27">
        <f>SUM(P388:Q388)</f>
        <v/>
      </c>
      <c r="S388" s="28" t="n"/>
      <c r="T388" s="28" t="n"/>
      <c r="U388" s="29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1" t="n"/>
      <c r="W388" s="21" t="n"/>
      <c r="X388" s="27">
        <f>SUM(V388:W388)</f>
        <v/>
      </c>
      <c r="Y388" s="28" t="n"/>
      <c r="Z388" s="28" t="n"/>
      <c r="AA388" s="29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1" t="n"/>
      <c r="AC388" s="21" t="n"/>
      <c r="AD388" s="27">
        <f>SUM(AB388:AC388)</f>
        <v/>
      </c>
      <c r="AE388" s="28" t="n"/>
      <c r="AF388" s="28" t="n"/>
      <c r="AG388" s="29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1" t="n"/>
      <c r="AI388" s="21" t="n"/>
      <c r="AJ388" s="27">
        <f>SUM(AH388:AI388)</f>
        <v/>
      </c>
      <c r="AK388" s="28" t="n"/>
      <c r="AL388" s="28" t="n"/>
      <c r="AM388" s="29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1" t="n"/>
      <c r="AO388" s="21" t="n"/>
      <c r="AP388" s="27">
        <f>SUM(AN388:AO388)</f>
        <v/>
      </c>
      <c r="AQ388" s="28" t="n"/>
      <c r="AR388" s="30" t="n"/>
      <c r="AS388" s="29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1" t="n"/>
      <c r="AU388" s="21" t="n"/>
      <c r="AV388" s="27">
        <f>SUM(AT388:AU388)</f>
        <v/>
      </c>
      <c r="AW388" s="28" t="n"/>
      <c r="AX388" s="30" t="n"/>
      <c r="AY388" s="29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1" t="n"/>
      <c r="BA388" s="21" t="n"/>
      <c r="BB388" s="27">
        <f>SUM(AZ388:BA388)</f>
        <v/>
      </c>
      <c r="BC388" s="28" t="n"/>
      <c r="BD388" s="28" t="n"/>
      <c r="BE388" s="29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1" t="n"/>
      <c r="BG388" s="21" t="n"/>
      <c r="BH388" s="27">
        <f>SUM(BF388:BG388)</f>
        <v/>
      </c>
      <c r="BI388" s="28" t="n"/>
      <c r="BJ388" s="28" t="n"/>
      <c r="BK388" s="29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1" t="n"/>
      <c r="BM388" s="21" t="n"/>
      <c r="BN388" s="27">
        <f>SUM(BL388:BM388)</f>
        <v/>
      </c>
      <c r="BO388" s="28" t="n"/>
      <c r="BP388" s="31" t="n"/>
      <c r="BQ388" s="29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1" t="n"/>
      <c r="BS388" s="21" t="n"/>
      <c r="BT388" s="27">
        <f>SUM(BR388:BS388)</f>
        <v/>
      </c>
      <c r="BU388" s="28" t="n"/>
      <c r="BV388" s="31" t="n"/>
      <c r="BW388" s="29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1" t="n"/>
      <c r="BY388" s="21" t="n"/>
      <c r="BZ388" s="27">
        <f>SUM(BX388:BY388)</f>
        <v/>
      </c>
      <c r="CA388" s="28" t="n"/>
      <c r="CB388" s="31" t="n"/>
      <c r="CC388" s="29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1" t="n"/>
      <c r="CE388" s="21" t="n"/>
      <c r="CF388" s="27">
        <f>SUM(CD388:CE388)</f>
        <v/>
      </c>
      <c r="CG388" s="28" t="n"/>
      <c r="CH388" s="31" t="n"/>
      <c r="CI388" s="29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1" t="n"/>
      <c r="CK388" s="21" t="n"/>
      <c r="CL388" s="27">
        <f>SUM(CJ388:CK388)</f>
        <v/>
      </c>
      <c r="CM388" s="28" t="n"/>
      <c r="CN388" s="31" t="n"/>
      <c r="CO388" s="29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1" t="n"/>
      <c r="CQ388" s="21" t="n"/>
      <c r="CR388" s="27">
        <f>SUM(CP388:CQ388)</f>
        <v/>
      </c>
      <c r="CS388" s="28" t="n"/>
      <c r="CT388" s="31" t="n"/>
      <c r="CU388" s="29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1" t="n"/>
      <c r="CW388" s="21" t="n"/>
      <c r="CX388" s="27">
        <f>SUM(CV388:CW388)</f>
        <v/>
      </c>
      <c r="CY388" s="28" t="n"/>
      <c r="CZ388" s="31" t="n"/>
      <c r="DA388" s="29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1" t="n"/>
      <c r="DC388" s="21" t="n"/>
      <c r="DD388" s="27">
        <f>SUM(DB388:DC388)</f>
        <v/>
      </c>
      <c r="DE388" s="28" t="n"/>
      <c r="DF388" s="31" t="n"/>
      <c r="DG388" s="29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34">
        <f>SUM(O388,U388,AA388,AG388,AM388,AS388,AY388,BE388,BK388,BQ388,BW388,CC388,CI388,CO388,CU388,DA388,DG388)</f>
        <v/>
      </c>
      <c r="DI388" s="39">
        <f>RANK(DH388,DH$4:DH$503)</f>
        <v/>
      </c>
      <c r="DJ388" s="40" t="inlineStr">
        <is>
          <t>CHOOSE RATING</t>
        </is>
      </c>
      <c r="DK388" s="40" t="inlineStr">
        <is>
          <t>CHOOSE RATING</t>
        </is>
      </c>
      <c r="DL388" s="40" t="inlineStr">
        <is>
          <t>CHOOSE RATING</t>
        </is>
      </c>
      <c r="DM388" s="40" t="inlineStr">
        <is>
          <t>CHOOSE RATING</t>
        </is>
      </c>
      <c r="DN388" s="40" t="inlineStr">
        <is>
          <t>CHOOSE RATING</t>
        </is>
      </c>
      <c r="DO388" s="40" t="inlineStr">
        <is>
          <t>CHOOSE RATING</t>
        </is>
      </c>
      <c r="DP388" s="40" t="inlineStr">
        <is>
          <t>CHOOSE RATING</t>
        </is>
      </c>
      <c r="DQ388" s="40" t="inlineStr">
        <is>
          <t>CHOOSE RATING</t>
        </is>
      </c>
      <c r="DR388" s="43" t="inlineStr">
        <is>
          <t>2024/2025</t>
        </is>
      </c>
      <c r="DS388" s="45" t="inlineStr">
        <is>
          <t>THIRD</t>
        </is>
      </c>
      <c r="DT388" s="40" t="inlineStr">
        <is>
          <t>CHOOSE RATING</t>
        </is>
      </c>
      <c r="DU388" s="40" t="inlineStr">
        <is>
          <t>CHOOSE RATING</t>
        </is>
      </c>
      <c r="DV388" s="40" t="inlineStr">
        <is>
          <t>CHOOSE RATING</t>
        </is>
      </c>
      <c r="DW388" s="40" t="inlineStr">
        <is>
          <t>CHOOSE RATING</t>
        </is>
      </c>
      <c r="DX388" s="40" t="inlineStr">
        <is>
          <t>CHOOSE RATING</t>
        </is>
      </c>
      <c r="DY388" s="40" t="inlineStr">
        <is>
          <t>CHOOSE RATING</t>
        </is>
      </c>
      <c r="DZ388" s="53" t="inlineStr">
        <is>
          <t>CHOOSE RATING</t>
        </is>
      </c>
      <c r="EA388" s="54" t="inlineStr">
        <is>
          <t>Add the Tutor's Comment . . .</t>
        </is>
      </c>
      <c r="EB388" s="55" t="inlineStr">
        <is>
          <t>Choose Principals comment</t>
        </is>
      </c>
      <c r="EC388" s="56" t="n"/>
      <c r="ED388" s="57" t="inlineStr">
        <is>
          <t>Next Term Begins on Monday, 22nd September, 2025</t>
        </is>
      </c>
    </row>
    <row r="389" ht="30.6" customHeight="1" s="6">
      <c r="A389" s="18" t="n">
        <v>386</v>
      </c>
      <c r="B389" s="19" t="n"/>
      <c r="C389" s="20" t="n"/>
      <c r="D389" s="128" t="n"/>
      <c r="E389" s="21" t="n"/>
      <c r="F389" s="22" t="n"/>
      <c r="G389" s="22" t="n"/>
      <c r="H389" s="22" t="n"/>
      <c r="I389" s="26">
        <f>G389-H389</f>
        <v/>
      </c>
      <c r="J389" s="21" t="n"/>
      <c r="K389" s="21" t="n"/>
      <c r="L389" s="27">
        <f>SUM(J389:K389)</f>
        <v/>
      </c>
      <c r="M389" s="28" t="n"/>
      <c r="N389" s="28" t="n"/>
      <c r="O389" s="29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1" t="n"/>
      <c r="Q389" s="21" t="n"/>
      <c r="R389" s="27">
        <f>SUM(P389:Q389)</f>
        <v/>
      </c>
      <c r="S389" s="28" t="n"/>
      <c r="T389" s="28" t="n"/>
      <c r="U389" s="29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1" t="n"/>
      <c r="W389" s="21" t="n"/>
      <c r="X389" s="27">
        <f>SUM(V389:W389)</f>
        <v/>
      </c>
      <c r="Y389" s="28" t="n"/>
      <c r="Z389" s="28" t="n"/>
      <c r="AA389" s="29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1" t="n"/>
      <c r="AC389" s="21" t="n"/>
      <c r="AD389" s="27">
        <f>SUM(AB389:AC389)</f>
        <v/>
      </c>
      <c r="AE389" s="28" t="n"/>
      <c r="AF389" s="28" t="n"/>
      <c r="AG389" s="29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1" t="n"/>
      <c r="AI389" s="21" t="n"/>
      <c r="AJ389" s="27">
        <f>SUM(AH389:AI389)</f>
        <v/>
      </c>
      <c r="AK389" s="28" t="n"/>
      <c r="AL389" s="28" t="n"/>
      <c r="AM389" s="29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1" t="n"/>
      <c r="AO389" s="21" t="n"/>
      <c r="AP389" s="27">
        <f>SUM(AN389:AO389)</f>
        <v/>
      </c>
      <c r="AQ389" s="28" t="n"/>
      <c r="AR389" s="30" t="n"/>
      <c r="AS389" s="29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1" t="n"/>
      <c r="AU389" s="21" t="n"/>
      <c r="AV389" s="27">
        <f>SUM(AT389:AU389)</f>
        <v/>
      </c>
      <c r="AW389" s="28" t="n"/>
      <c r="AX389" s="30" t="n"/>
      <c r="AY389" s="29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1" t="n"/>
      <c r="BA389" s="21" t="n"/>
      <c r="BB389" s="27">
        <f>SUM(AZ389:BA389)</f>
        <v/>
      </c>
      <c r="BC389" s="28" t="n"/>
      <c r="BD389" s="28" t="n"/>
      <c r="BE389" s="29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1" t="n"/>
      <c r="BG389" s="21" t="n"/>
      <c r="BH389" s="27">
        <f>SUM(BF389:BG389)</f>
        <v/>
      </c>
      <c r="BI389" s="28" t="n"/>
      <c r="BJ389" s="28" t="n"/>
      <c r="BK389" s="29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1" t="n"/>
      <c r="BM389" s="21" t="n"/>
      <c r="BN389" s="27">
        <f>SUM(BL389:BM389)</f>
        <v/>
      </c>
      <c r="BO389" s="28" t="n"/>
      <c r="BP389" s="31" t="n"/>
      <c r="BQ389" s="29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1" t="n"/>
      <c r="BS389" s="21" t="n"/>
      <c r="BT389" s="27">
        <f>SUM(BR389:BS389)</f>
        <v/>
      </c>
      <c r="BU389" s="28" t="n"/>
      <c r="BV389" s="31" t="n"/>
      <c r="BW389" s="29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1" t="n"/>
      <c r="BY389" s="21" t="n"/>
      <c r="BZ389" s="27">
        <f>SUM(BX389:BY389)</f>
        <v/>
      </c>
      <c r="CA389" s="28" t="n"/>
      <c r="CB389" s="31" t="n"/>
      <c r="CC389" s="29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1" t="n"/>
      <c r="CE389" s="21" t="n"/>
      <c r="CF389" s="27">
        <f>SUM(CD389:CE389)</f>
        <v/>
      </c>
      <c r="CG389" s="28" t="n"/>
      <c r="CH389" s="31" t="n"/>
      <c r="CI389" s="29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1" t="n"/>
      <c r="CK389" s="21" t="n"/>
      <c r="CL389" s="27">
        <f>SUM(CJ389:CK389)</f>
        <v/>
      </c>
      <c r="CM389" s="28" t="n"/>
      <c r="CN389" s="31" t="n"/>
      <c r="CO389" s="29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1" t="n"/>
      <c r="CQ389" s="21" t="n"/>
      <c r="CR389" s="27">
        <f>SUM(CP389:CQ389)</f>
        <v/>
      </c>
      <c r="CS389" s="28" t="n"/>
      <c r="CT389" s="31" t="n"/>
      <c r="CU389" s="29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1" t="n"/>
      <c r="CW389" s="21" t="n"/>
      <c r="CX389" s="27">
        <f>SUM(CV389:CW389)</f>
        <v/>
      </c>
      <c r="CY389" s="28" t="n"/>
      <c r="CZ389" s="31" t="n"/>
      <c r="DA389" s="29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1" t="n"/>
      <c r="DC389" s="21" t="n"/>
      <c r="DD389" s="27">
        <f>SUM(DB389:DC389)</f>
        <v/>
      </c>
      <c r="DE389" s="28" t="n"/>
      <c r="DF389" s="31" t="n"/>
      <c r="DG389" s="29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34">
        <f>SUM(O389,U389,AA389,AG389,AM389,AS389,AY389,BE389,BK389,BQ389,BW389,CC389,CI389,CO389,CU389,DA389,DG389)</f>
        <v/>
      </c>
      <c r="DI389" s="39">
        <f>RANK(DH389,DH$4:DH$503)</f>
        <v/>
      </c>
      <c r="DJ389" s="40" t="inlineStr">
        <is>
          <t>CHOOSE RATING</t>
        </is>
      </c>
      <c r="DK389" s="40" t="inlineStr">
        <is>
          <t>CHOOSE RATING</t>
        </is>
      </c>
      <c r="DL389" s="40" t="inlineStr">
        <is>
          <t>CHOOSE RATING</t>
        </is>
      </c>
      <c r="DM389" s="40" t="inlineStr">
        <is>
          <t>CHOOSE RATING</t>
        </is>
      </c>
      <c r="DN389" s="40" t="inlineStr">
        <is>
          <t>CHOOSE RATING</t>
        </is>
      </c>
      <c r="DO389" s="40" t="inlineStr">
        <is>
          <t>CHOOSE RATING</t>
        </is>
      </c>
      <c r="DP389" s="40" t="inlineStr">
        <is>
          <t>CHOOSE RATING</t>
        </is>
      </c>
      <c r="DQ389" s="40" t="inlineStr">
        <is>
          <t>CHOOSE RATING</t>
        </is>
      </c>
      <c r="DR389" s="43" t="inlineStr">
        <is>
          <t>2024/2025</t>
        </is>
      </c>
      <c r="DS389" s="45" t="inlineStr">
        <is>
          <t>THIRD</t>
        </is>
      </c>
      <c r="DT389" s="40" t="inlineStr">
        <is>
          <t>CHOOSE RATING</t>
        </is>
      </c>
      <c r="DU389" s="40" t="inlineStr">
        <is>
          <t>CHOOSE RATING</t>
        </is>
      </c>
      <c r="DV389" s="40" t="inlineStr">
        <is>
          <t>CHOOSE RATING</t>
        </is>
      </c>
      <c r="DW389" s="40" t="inlineStr">
        <is>
          <t>CHOOSE RATING</t>
        </is>
      </c>
      <c r="DX389" s="40" t="inlineStr">
        <is>
          <t>CHOOSE RATING</t>
        </is>
      </c>
      <c r="DY389" s="40" t="inlineStr">
        <is>
          <t>CHOOSE RATING</t>
        </is>
      </c>
      <c r="DZ389" s="53" t="inlineStr">
        <is>
          <t>CHOOSE RATING</t>
        </is>
      </c>
      <c r="EA389" s="54" t="inlineStr">
        <is>
          <t>Add the Tutor's Comment . . .</t>
        </is>
      </c>
      <c r="EB389" s="55" t="inlineStr">
        <is>
          <t>Choose Principals comment</t>
        </is>
      </c>
      <c r="EC389" s="56" t="n"/>
      <c r="ED389" s="57" t="inlineStr">
        <is>
          <t>Next Term Begins on Monday, 22nd September, 2025</t>
        </is>
      </c>
    </row>
    <row r="390" ht="30.6" customHeight="1" s="6">
      <c r="A390" s="18" t="n">
        <v>387</v>
      </c>
      <c r="B390" s="19" t="n"/>
      <c r="C390" s="20" t="n"/>
      <c r="D390" s="128" t="n"/>
      <c r="E390" s="21" t="n"/>
      <c r="F390" s="22" t="n"/>
      <c r="G390" s="22" t="n"/>
      <c r="H390" s="22" t="n"/>
      <c r="I390" s="26">
        <f>G390-H390</f>
        <v/>
      </c>
      <c r="J390" s="21" t="n"/>
      <c r="K390" s="21" t="n"/>
      <c r="L390" s="27">
        <f>SUM(J390:K390)</f>
        <v/>
      </c>
      <c r="M390" s="28" t="n"/>
      <c r="N390" s="28" t="n"/>
      <c r="O390" s="29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1" t="n"/>
      <c r="Q390" s="21" t="n"/>
      <c r="R390" s="27">
        <f>SUM(P390:Q390)</f>
        <v/>
      </c>
      <c r="S390" s="28" t="n"/>
      <c r="T390" s="28" t="n"/>
      <c r="U390" s="29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1" t="n"/>
      <c r="W390" s="21" t="n"/>
      <c r="X390" s="27">
        <f>SUM(V390:W390)</f>
        <v/>
      </c>
      <c r="Y390" s="28" t="n"/>
      <c r="Z390" s="28" t="n"/>
      <c r="AA390" s="29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1" t="n"/>
      <c r="AC390" s="21" t="n"/>
      <c r="AD390" s="27">
        <f>SUM(AB390:AC390)</f>
        <v/>
      </c>
      <c r="AE390" s="28" t="n"/>
      <c r="AF390" s="28" t="n"/>
      <c r="AG390" s="29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1" t="n"/>
      <c r="AI390" s="21" t="n"/>
      <c r="AJ390" s="27">
        <f>SUM(AH390:AI390)</f>
        <v/>
      </c>
      <c r="AK390" s="28" t="n"/>
      <c r="AL390" s="28" t="n"/>
      <c r="AM390" s="29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1" t="n"/>
      <c r="AO390" s="21" t="n"/>
      <c r="AP390" s="27">
        <f>SUM(AN390:AO390)</f>
        <v/>
      </c>
      <c r="AQ390" s="28" t="n"/>
      <c r="AR390" s="30" t="n"/>
      <c r="AS390" s="29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1" t="n"/>
      <c r="AU390" s="21" t="n"/>
      <c r="AV390" s="27">
        <f>SUM(AT390:AU390)</f>
        <v/>
      </c>
      <c r="AW390" s="28" t="n"/>
      <c r="AX390" s="30" t="n"/>
      <c r="AY390" s="29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1" t="n"/>
      <c r="BA390" s="21" t="n"/>
      <c r="BB390" s="27">
        <f>SUM(AZ390:BA390)</f>
        <v/>
      </c>
      <c r="BC390" s="28" t="n"/>
      <c r="BD390" s="28" t="n"/>
      <c r="BE390" s="29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1" t="n"/>
      <c r="BG390" s="21" t="n"/>
      <c r="BH390" s="27">
        <f>SUM(BF390:BG390)</f>
        <v/>
      </c>
      <c r="BI390" s="28" t="n"/>
      <c r="BJ390" s="28" t="n"/>
      <c r="BK390" s="29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1" t="n"/>
      <c r="BM390" s="21" t="n"/>
      <c r="BN390" s="27">
        <f>SUM(BL390:BM390)</f>
        <v/>
      </c>
      <c r="BO390" s="28" t="n"/>
      <c r="BP390" s="31" t="n"/>
      <c r="BQ390" s="29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1" t="n"/>
      <c r="BS390" s="21" t="n"/>
      <c r="BT390" s="27">
        <f>SUM(BR390:BS390)</f>
        <v/>
      </c>
      <c r="BU390" s="28" t="n"/>
      <c r="BV390" s="31" t="n"/>
      <c r="BW390" s="29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1" t="n"/>
      <c r="BY390" s="21" t="n"/>
      <c r="BZ390" s="27">
        <f>SUM(BX390:BY390)</f>
        <v/>
      </c>
      <c r="CA390" s="28" t="n"/>
      <c r="CB390" s="31" t="n"/>
      <c r="CC390" s="29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1" t="n"/>
      <c r="CE390" s="21" t="n"/>
      <c r="CF390" s="27">
        <f>SUM(CD390:CE390)</f>
        <v/>
      </c>
      <c r="CG390" s="28" t="n"/>
      <c r="CH390" s="31" t="n"/>
      <c r="CI390" s="29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1" t="n"/>
      <c r="CK390" s="21" t="n"/>
      <c r="CL390" s="27">
        <f>SUM(CJ390:CK390)</f>
        <v/>
      </c>
      <c r="CM390" s="28" t="n"/>
      <c r="CN390" s="31" t="n"/>
      <c r="CO390" s="29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1" t="n"/>
      <c r="CQ390" s="21" t="n"/>
      <c r="CR390" s="27">
        <f>SUM(CP390:CQ390)</f>
        <v/>
      </c>
      <c r="CS390" s="28" t="n"/>
      <c r="CT390" s="31" t="n"/>
      <c r="CU390" s="29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1" t="n"/>
      <c r="CW390" s="21" t="n"/>
      <c r="CX390" s="27">
        <f>SUM(CV390:CW390)</f>
        <v/>
      </c>
      <c r="CY390" s="28" t="n"/>
      <c r="CZ390" s="31" t="n"/>
      <c r="DA390" s="29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1" t="n"/>
      <c r="DC390" s="21" t="n"/>
      <c r="DD390" s="27">
        <f>SUM(DB390:DC390)</f>
        <v/>
      </c>
      <c r="DE390" s="28" t="n"/>
      <c r="DF390" s="31" t="n"/>
      <c r="DG390" s="29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34">
        <f>SUM(O390,U390,AA390,AG390,AM390,AS390,AY390,BE390,BK390,BQ390,BW390,CC390,CI390,CO390,CU390,DA390,DG390)</f>
        <v/>
      </c>
      <c r="DI390" s="39">
        <f>RANK(DH390,DH$4:DH$503)</f>
        <v/>
      </c>
      <c r="DJ390" s="40" t="inlineStr">
        <is>
          <t>CHOOSE RATING</t>
        </is>
      </c>
      <c r="DK390" s="40" t="inlineStr">
        <is>
          <t>CHOOSE RATING</t>
        </is>
      </c>
      <c r="DL390" s="40" t="inlineStr">
        <is>
          <t>CHOOSE RATING</t>
        </is>
      </c>
      <c r="DM390" s="40" t="inlineStr">
        <is>
          <t>CHOOSE RATING</t>
        </is>
      </c>
      <c r="DN390" s="40" t="inlineStr">
        <is>
          <t>CHOOSE RATING</t>
        </is>
      </c>
      <c r="DO390" s="40" t="inlineStr">
        <is>
          <t>CHOOSE RATING</t>
        </is>
      </c>
      <c r="DP390" s="40" t="inlineStr">
        <is>
          <t>CHOOSE RATING</t>
        </is>
      </c>
      <c r="DQ390" s="40" t="inlineStr">
        <is>
          <t>CHOOSE RATING</t>
        </is>
      </c>
      <c r="DR390" s="43" t="inlineStr">
        <is>
          <t>2024/2025</t>
        </is>
      </c>
      <c r="DS390" s="45" t="inlineStr">
        <is>
          <t>THIRD</t>
        </is>
      </c>
      <c r="DT390" s="40" t="inlineStr">
        <is>
          <t>CHOOSE RATING</t>
        </is>
      </c>
      <c r="DU390" s="40" t="inlineStr">
        <is>
          <t>CHOOSE RATING</t>
        </is>
      </c>
      <c r="DV390" s="40" t="inlineStr">
        <is>
          <t>CHOOSE RATING</t>
        </is>
      </c>
      <c r="DW390" s="40" t="inlineStr">
        <is>
          <t>CHOOSE RATING</t>
        </is>
      </c>
      <c r="DX390" s="40" t="inlineStr">
        <is>
          <t>CHOOSE RATING</t>
        </is>
      </c>
      <c r="DY390" s="40" t="inlineStr">
        <is>
          <t>CHOOSE RATING</t>
        </is>
      </c>
      <c r="DZ390" s="53" t="inlineStr">
        <is>
          <t>CHOOSE RATING</t>
        </is>
      </c>
      <c r="EA390" s="54" t="inlineStr">
        <is>
          <t>Add the Tutor's Comment . . .</t>
        </is>
      </c>
      <c r="EB390" s="55" t="inlineStr">
        <is>
          <t>Choose Principals comment</t>
        </is>
      </c>
      <c r="EC390" s="56" t="n"/>
      <c r="ED390" s="57" t="inlineStr">
        <is>
          <t>Next Term Begins on Monday, 22nd September, 2025</t>
        </is>
      </c>
    </row>
    <row r="391" ht="30.6" customHeight="1" s="6">
      <c r="A391" s="18" t="n">
        <v>388</v>
      </c>
      <c r="B391" s="19" t="n"/>
      <c r="C391" s="20" t="n"/>
      <c r="D391" s="128" t="n"/>
      <c r="E391" s="21" t="n"/>
      <c r="F391" s="22" t="n"/>
      <c r="G391" s="22" t="n"/>
      <c r="H391" s="22" t="n"/>
      <c r="I391" s="26">
        <f>G391-H391</f>
        <v/>
      </c>
      <c r="J391" s="21" t="n"/>
      <c r="K391" s="21" t="n"/>
      <c r="L391" s="27">
        <f>SUM(J391:K391)</f>
        <v/>
      </c>
      <c r="M391" s="28" t="n"/>
      <c r="N391" s="28" t="n"/>
      <c r="O391" s="29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1" t="n"/>
      <c r="Q391" s="21" t="n"/>
      <c r="R391" s="27">
        <f>SUM(P391:Q391)</f>
        <v/>
      </c>
      <c r="S391" s="28" t="n"/>
      <c r="T391" s="28" t="n"/>
      <c r="U391" s="29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1" t="n"/>
      <c r="W391" s="21" t="n"/>
      <c r="X391" s="27">
        <f>SUM(V391:W391)</f>
        <v/>
      </c>
      <c r="Y391" s="28" t="n"/>
      <c r="Z391" s="28" t="n"/>
      <c r="AA391" s="29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1" t="n"/>
      <c r="AC391" s="21" t="n"/>
      <c r="AD391" s="27">
        <f>SUM(AB391:AC391)</f>
        <v/>
      </c>
      <c r="AE391" s="28" t="n"/>
      <c r="AF391" s="28" t="n"/>
      <c r="AG391" s="29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1" t="n"/>
      <c r="AI391" s="21" t="n"/>
      <c r="AJ391" s="27">
        <f>SUM(AH391:AI391)</f>
        <v/>
      </c>
      <c r="AK391" s="28" t="n"/>
      <c r="AL391" s="28" t="n"/>
      <c r="AM391" s="29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1" t="n"/>
      <c r="AO391" s="21" t="n"/>
      <c r="AP391" s="27">
        <f>SUM(AN391:AO391)</f>
        <v/>
      </c>
      <c r="AQ391" s="28" t="n"/>
      <c r="AR391" s="30" t="n"/>
      <c r="AS391" s="29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1" t="n"/>
      <c r="AU391" s="21" t="n"/>
      <c r="AV391" s="27">
        <f>SUM(AT391:AU391)</f>
        <v/>
      </c>
      <c r="AW391" s="28" t="n"/>
      <c r="AX391" s="30" t="n"/>
      <c r="AY391" s="29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1" t="n"/>
      <c r="BA391" s="21" t="n"/>
      <c r="BB391" s="27">
        <f>SUM(AZ391:BA391)</f>
        <v/>
      </c>
      <c r="BC391" s="28" t="n"/>
      <c r="BD391" s="28" t="n"/>
      <c r="BE391" s="29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1" t="n"/>
      <c r="BG391" s="21" t="n"/>
      <c r="BH391" s="27">
        <f>SUM(BF391:BG391)</f>
        <v/>
      </c>
      <c r="BI391" s="28" t="n"/>
      <c r="BJ391" s="28" t="n"/>
      <c r="BK391" s="29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1" t="n"/>
      <c r="BM391" s="21" t="n"/>
      <c r="BN391" s="27">
        <f>SUM(BL391:BM391)</f>
        <v/>
      </c>
      <c r="BO391" s="28" t="n"/>
      <c r="BP391" s="31" t="n"/>
      <c r="BQ391" s="29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1" t="n"/>
      <c r="BS391" s="21" t="n"/>
      <c r="BT391" s="27">
        <f>SUM(BR391:BS391)</f>
        <v/>
      </c>
      <c r="BU391" s="28" t="n"/>
      <c r="BV391" s="31" t="n"/>
      <c r="BW391" s="29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1" t="n"/>
      <c r="BY391" s="21" t="n"/>
      <c r="BZ391" s="27">
        <f>SUM(BX391:BY391)</f>
        <v/>
      </c>
      <c r="CA391" s="28" t="n"/>
      <c r="CB391" s="31" t="n"/>
      <c r="CC391" s="29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1" t="n"/>
      <c r="CE391" s="21" t="n"/>
      <c r="CF391" s="27">
        <f>SUM(CD391:CE391)</f>
        <v/>
      </c>
      <c r="CG391" s="28" t="n"/>
      <c r="CH391" s="31" t="n"/>
      <c r="CI391" s="29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1" t="n"/>
      <c r="CK391" s="21" t="n"/>
      <c r="CL391" s="27">
        <f>SUM(CJ391:CK391)</f>
        <v/>
      </c>
      <c r="CM391" s="28" t="n"/>
      <c r="CN391" s="31" t="n"/>
      <c r="CO391" s="29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1" t="n"/>
      <c r="CQ391" s="21" t="n"/>
      <c r="CR391" s="27">
        <f>SUM(CP391:CQ391)</f>
        <v/>
      </c>
      <c r="CS391" s="28" t="n"/>
      <c r="CT391" s="31" t="n"/>
      <c r="CU391" s="29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1" t="n"/>
      <c r="CW391" s="21" t="n"/>
      <c r="CX391" s="27">
        <f>SUM(CV391:CW391)</f>
        <v/>
      </c>
      <c r="CY391" s="28" t="n"/>
      <c r="CZ391" s="31" t="n"/>
      <c r="DA391" s="29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1" t="n"/>
      <c r="DC391" s="21" t="n"/>
      <c r="DD391" s="27">
        <f>SUM(DB391:DC391)</f>
        <v/>
      </c>
      <c r="DE391" s="28" t="n"/>
      <c r="DF391" s="31" t="n"/>
      <c r="DG391" s="29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34">
        <f>SUM(O391,U391,AA391,AG391,AM391,AS391,AY391,BE391,BK391,BQ391,BW391,CC391,CI391,CO391,CU391,DA391,DG391)</f>
        <v/>
      </c>
      <c r="DI391" s="39">
        <f>RANK(DH391,DH$4:DH$503)</f>
        <v/>
      </c>
      <c r="DJ391" s="40" t="inlineStr">
        <is>
          <t>CHOOSE RATING</t>
        </is>
      </c>
      <c r="DK391" s="40" t="inlineStr">
        <is>
          <t>CHOOSE RATING</t>
        </is>
      </c>
      <c r="DL391" s="40" t="inlineStr">
        <is>
          <t>CHOOSE RATING</t>
        </is>
      </c>
      <c r="DM391" s="40" t="inlineStr">
        <is>
          <t>CHOOSE RATING</t>
        </is>
      </c>
      <c r="DN391" s="40" t="inlineStr">
        <is>
          <t>CHOOSE RATING</t>
        </is>
      </c>
      <c r="DO391" s="40" t="inlineStr">
        <is>
          <t>CHOOSE RATING</t>
        </is>
      </c>
      <c r="DP391" s="40" t="inlineStr">
        <is>
          <t>CHOOSE RATING</t>
        </is>
      </c>
      <c r="DQ391" s="40" t="inlineStr">
        <is>
          <t>CHOOSE RATING</t>
        </is>
      </c>
      <c r="DR391" s="43" t="inlineStr">
        <is>
          <t>2024/2025</t>
        </is>
      </c>
      <c r="DS391" s="45" t="inlineStr">
        <is>
          <t>THIRD</t>
        </is>
      </c>
      <c r="DT391" s="40" t="inlineStr">
        <is>
          <t>CHOOSE RATING</t>
        </is>
      </c>
      <c r="DU391" s="40" t="inlineStr">
        <is>
          <t>CHOOSE RATING</t>
        </is>
      </c>
      <c r="DV391" s="40" t="inlineStr">
        <is>
          <t>CHOOSE RATING</t>
        </is>
      </c>
      <c r="DW391" s="40" t="inlineStr">
        <is>
          <t>CHOOSE RATING</t>
        </is>
      </c>
      <c r="DX391" s="40" t="inlineStr">
        <is>
          <t>CHOOSE RATING</t>
        </is>
      </c>
      <c r="DY391" s="40" t="inlineStr">
        <is>
          <t>CHOOSE RATING</t>
        </is>
      </c>
      <c r="DZ391" s="53" t="inlineStr">
        <is>
          <t>CHOOSE RATING</t>
        </is>
      </c>
      <c r="EA391" s="54" t="inlineStr">
        <is>
          <t>Add the Tutor's Comment . . .</t>
        </is>
      </c>
      <c r="EB391" s="55" t="inlineStr">
        <is>
          <t>Choose Principals comment</t>
        </is>
      </c>
      <c r="EC391" s="56" t="n"/>
      <c r="ED391" s="57" t="inlineStr">
        <is>
          <t>Next Term Begins on Monday, 22nd September, 2025</t>
        </is>
      </c>
    </row>
    <row r="392" ht="30.6" customHeight="1" s="6">
      <c r="A392" s="18" t="n">
        <v>389</v>
      </c>
      <c r="B392" s="19" t="n"/>
      <c r="C392" s="20" t="n"/>
      <c r="D392" s="128" t="n"/>
      <c r="E392" s="21" t="n"/>
      <c r="F392" s="22" t="n"/>
      <c r="G392" s="22" t="n"/>
      <c r="H392" s="22" t="n"/>
      <c r="I392" s="26">
        <f>G392-H392</f>
        <v/>
      </c>
      <c r="J392" s="21" t="n"/>
      <c r="K392" s="21" t="n"/>
      <c r="L392" s="27">
        <f>SUM(J392:K392)</f>
        <v/>
      </c>
      <c r="M392" s="28" t="n"/>
      <c r="N392" s="28" t="n"/>
      <c r="O392" s="29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1" t="n"/>
      <c r="Q392" s="21" t="n"/>
      <c r="R392" s="27">
        <f>SUM(P392:Q392)</f>
        <v/>
      </c>
      <c r="S392" s="28" t="n"/>
      <c r="T392" s="28" t="n"/>
      <c r="U392" s="29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1" t="n"/>
      <c r="W392" s="21" t="n"/>
      <c r="X392" s="27">
        <f>SUM(V392:W392)</f>
        <v/>
      </c>
      <c r="Y392" s="28" t="n"/>
      <c r="Z392" s="28" t="n"/>
      <c r="AA392" s="29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1" t="n"/>
      <c r="AC392" s="21" t="n"/>
      <c r="AD392" s="27">
        <f>SUM(AB392:AC392)</f>
        <v/>
      </c>
      <c r="AE392" s="28" t="n"/>
      <c r="AF392" s="28" t="n"/>
      <c r="AG392" s="29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1" t="n"/>
      <c r="AI392" s="21" t="n"/>
      <c r="AJ392" s="27">
        <f>SUM(AH392:AI392)</f>
        <v/>
      </c>
      <c r="AK392" s="28" t="n"/>
      <c r="AL392" s="28" t="n"/>
      <c r="AM392" s="29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1" t="n"/>
      <c r="AO392" s="21" t="n"/>
      <c r="AP392" s="27">
        <f>SUM(AN392:AO392)</f>
        <v/>
      </c>
      <c r="AQ392" s="28" t="n"/>
      <c r="AR392" s="30" t="n"/>
      <c r="AS392" s="29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1" t="n"/>
      <c r="AU392" s="21" t="n"/>
      <c r="AV392" s="27">
        <f>SUM(AT392:AU392)</f>
        <v/>
      </c>
      <c r="AW392" s="28" t="n"/>
      <c r="AX392" s="30" t="n"/>
      <c r="AY392" s="29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1" t="n"/>
      <c r="BA392" s="21" t="n"/>
      <c r="BB392" s="27">
        <f>SUM(AZ392:BA392)</f>
        <v/>
      </c>
      <c r="BC392" s="28" t="n"/>
      <c r="BD392" s="28" t="n"/>
      <c r="BE392" s="29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1" t="n"/>
      <c r="BG392" s="21" t="n"/>
      <c r="BH392" s="27">
        <f>SUM(BF392:BG392)</f>
        <v/>
      </c>
      <c r="BI392" s="28" t="n"/>
      <c r="BJ392" s="28" t="n"/>
      <c r="BK392" s="29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1" t="n"/>
      <c r="BM392" s="21" t="n"/>
      <c r="BN392" s="27">
        <f>SUM(BL392:BM392)</f>
        <v/>
      </c>
      <c r="BO392" s="28" t="n"/>
      <c r="BP392" s="31" t="n"/>
      <c r="BQ392" s="29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1" t="n"/>
      <c r="BS392" s="21" t="n"/>
      <c r="BT392" s="27">
        <f>SUM(BR392:BS392)</f>
        <v/>
      </c>
      <c r="BU392" s="28" t="n"/>
      <c r="BV392" s="31" t="n"/>
      <c r="BW392" s="29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1" t="n"/>
      <c r="BY392" s="21" t="n"/>
      <c r="BZ392" s="27">
        <f>SUM(BX392:BY392)</f>
        <v/>
      </c>
      <c r="CA392" s="28" t="n"/>
      <c r="CB392" s="31" t="n"/>
      <c r="CC392" s="29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1" t="n"/>
      <c r="CE392" s="21" t="n"/>
      <c r="CF392" s="27">
        <f>SUM(CD392:CE392)</f>
        <v/>
      </c>
      <c r="CG392" s="28" t="n"/>
      <c r="CH392" s="31" t="n"/>
      <c r="CI392" s="29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1" t="n"/>
      <c r="CK392" s="21" t="n"/>
      <c r="CL392" s="27">
        <f>SUM(CJ392:CK392)</f>
        <v/>
      </c>
      <c r="CM392" s="28" t="n"/>
      <c r="CN392" s="31" t="n"/>
      <c r="CO392" s="29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1" t="n"/>
      <c r="CQ392" s="21" t="n"/>
      <c r="CR392" s="27">
        <f>SUM(CP392:CQ392)</f>
        <v/>
      </c>
      <c r="CS392" s="28" t="n"/>
      <c r="CT392" s="31" t="n"/>
      <c r="CU392" s="29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1" t="n"/>
      <c r="CW392" s="21" t="n"/>
      <c r="CX392" s="27">
        <f>SUM(CV392:CW392)</f>
        <v/>
      </c>
      <c r="CY392" s="28" t="n"/>
      <c r="CZ392" s="31" t="n"/>
      <c r="DA392" s="29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1" t="n"/>
      <c r="DC392" s="21" t="n"/>
      <c r="DD392" s="27">
        <f>SUM(DB392:DC392)</f>
        <v/>
      </c>
      <c r="DE392" s="28" t="n"/>
      <c r="DF392" s="31" t="n"/>
      <c r="DG392" s="29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34">
        <f>SUM(O392,U392,AA392,AG392,AM392,AS392,AY392,BE392,BK392,BQ392,BW392,CC392,CI392,CO392,CU392,DA392,DG392)</f>
        <v/>
      </c>
      <c r="DI392" s="39">
        <f>RANK(DH392,DH$4:DH$503)</f>
        <v/>
      </c>
      <c r="DJ392" s="40" t="inlineStr">
        <is>
          <t>CHOOSE RATING</t>
        </is>
      </c>
      <c r="DK392" s="40" t="inlineStr">
        <is>
          <t>CHOOSE RATING</t>
        </is>
      </c>
      <c r="DL392" s="40" t="inlineStr">
        <is>
          <t>CHOOSE RATING</t>
        </is>
      </c>
      <c r="DM392" s="40" t="inlineStr">
        <is>
          <t>CHOOSE RATING</t>
        </is>
      </c>
      <c r="DN392" s="40" t="inlineStr">
        <is>
          <t>CHOOSE RATING</t>
        </is>
      </c>
      <c r="DO392" s="40" t="inlineStr">
        <is>
          <t>CHOOSE RATING</t>
        </is>
      </c>
      <c r="DP392" s="40" t="inlineStr">
        <is>
          <t>CHOOSE RATING</t>
        </is>
      </c>
      <c r="DQ392" s="40" t="inlineStr">
        <is>
          <t>CHOOSE RATING</t>
        </is>
      </c>
      <c r="DR392" s="43" t="inlineStr">
        <is>
          <t>2024/2025</t>
        </is>
      </c>
      <c r="DS392" s="45" t="inlineStr">
        <is>
          <t>THIRD</t>
        </is>
      </c>
      <c r="DT392" s="40" t="inlineStr">
        <is>
          <t>CHOOSE RATING</t>
        </is>
      </c>
      <c r="DU392" s="40" t="inlineStr">
        <is>
          <t>CHOOSE RATING</t>
        </is>
      </c>
      <c r="DV392" s="40" t="inlineStr">
        <is>
          <t>CHOOSE RATING</t>
        </is>
      </c>
      <c r="DW392" s="40" t="inlineStr">
        <is>
          <t>CHOOSE RATING</t>
        </is>
      </c>
      <c r="DX392" s="40" t="inlineStr">
        <is>
          <t>CHOOSE RATING</t>
        </is>
      </c>
      <c r="DY392" s="40" t="inlineStr">
        <is>
          <t>CHOOSE RATING</t>
        </is>
      </c>
      <c r="DZ392" s="53" t="inlineStr">
        <is>
          <t>CHOOSE RATING</t>
        </is>
      </c>
      <c r="EA392" s="54" t="inlineStr">
        <is>
          <t>Add the Tutor's Comment . . .</t>
        </is>
      </c>
      <c r="EB392" s="55" t="inlineStr">
        <is>
          <t>Choose Principals comment</t>
        </is>
      </c>
      <c r="EC392" s="56" t="n"/>
      <c r="ED392" s="57" t="inlineStr">
        <is>
          <t>Next Term Begins on Monday, 22nd September, 2025</t>
        </is>
      </c>
    </row>
    <row r="393" ht="30.6" customHeight="1" s="6">
      <c r="A393" s="18" t="n">
        <v>390</v>
      </c>
      <c r="B393" s="19" t="n"/>
      <c r="C393" s="20" t="n"/>
      <c r="D393" s="128" t="n"/>
      <c r="E393" s="21" t="n"/>
      <c r="F393" s="22" t="n"/>
      <c r="G393" s="22" t="n"/>
      <c r="H393" s="22" t="n"/>
      <c r="I393" s="26">
        <f>G393-H393</f>
        <v/>
      </c>
      <c r="J393" s="21" t="n"/>
      <c r="K393" s="21" t="n"/>
      <c r="L393" s="27">
        <f>SUM(J393:K393)</f>
        <v/>
      </c>
      <c r="M393" s="28" t="n"/>
      <c r="N393" s="28" t="n"/>
      <c r="O393" s="29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1" t="n"/>
      <c r="Q393" s="21" t="n"/>
      <c r="R393" s="27">
        <f>SUM(P393:Q393)</f>
        <v/>
      </c>
      <c r="S393" s="28" t="n"/>
      <c r="T393" s="28" t="n"/>
      <c r="U393" s="29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1" t="n"/>
      <c r="W393" s="21" t="n"/>
      <c r="X393" s="27">
        <f>SUM(V393:W393)</f>
        <v/>
      </c>
      <c r="Y393" s="28" t="n"/>
      <c r="Z393" s="28" t="n"/>
      <c r="AA393" s="29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1" t="n"/>
      <c r="AC393" s="21" t="n"/>
      <c r="AD393" s="27">
        <f>SUM(AB393:AC393)</f>
        <v/>
      </c>
      <c r="AE393" s="28" t="n"/>
      <c r="AF393" s="28" t="n"/>
      <c r="AG393" s="29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1" t="n"/>
      <c r="AI393" s="21" t="n"/>
      <c r="AJ393" s="27">
        <f>SUM(AH393:AI393)</f>
        <v/>
      </c>
      <c r="AK393" s="28" t="n"/>
      <c r="AL393" s="28" t="n"/>
      <c r="AM393" s="29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1" t="n"/>
      <c r="AO393" s="21" t="n"/>
      <c r="AP393" s="27">
        <f>SUM(AN393:AO393)</f>
        <v/>
      </c>
      <c r="AQ393" s="28" t="n"/>
      <c r="AR393" s="30" t="n"/>
      <c r="AS393" s="29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1" t="n"/>
      <c r="AU393" s="21" t="n"/>
      <c r="AV393" s="27">
        <f>SUM(AT393:AU393)</f>
        <v/>
      </c>
      <c r="AW393" s="28" t="n"/>
      <c r="AX393" s="30" t="n"/>
      <c r="AY393" s="29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1" t="n"/>
      <c r="BA393" s="21" t="n"/>
      <c r="BB393" s="27">
        <f>SUM(AZ393:BA393)</f>
        <v/>
      </c>
      <c r="BC393" s="28" t="n"/>
      <c r="BD393" s="28" t="n"/>
      <c r="BE393" s="29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1" t="n"/>
      <c r="BG393" s="21" t="n"/>
      <c r="BH393" s="27">
        <f>SUM(BF393:BG393)</f>
        <v/>
      </c>
      <c r="BI393" s="28" t="n"/>
      <c r="BJ393" s="28" t="n"/>
      <c r="BK393" s="29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1" t="n"/>
      <c r="BM393" s="21" t="n"/>
      <c r="BN393" s="27">
        <f>SUM(BL393:BM393)</f>
        <v/>
      </c>
      <c r="BO393" s="28" t="n"/>
      <c r="BP393" s="31" t="n"/>
      <c r="BQ393" s="29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1" t="n"/>
      <c r="BS393" s="21" t="n"/>
      <c r="BT393" s="27">
        <f>SUM(BR393:BS393)</f>
        <v/>
      </c>
      <c r="BU393" s="28" t="n"/>
      <c r="BV393" s="31" t="n"/>
      <c r="BW393" s="29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1" t="n"/>
      <c r="BY393" s="21" t="n"/>
      <c r="BZ393" s="27">
        <f>SUM(BX393:BY393)</f>
        <v/>
      </c>
      <c r="CA393" s="28" t="n"/>
      <c r="CB393" s="31" t="n"/>
      <c r="CC393" s="29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1" t="n"/>
      <c r="CE393" s="21" t="n"/>
      <c r="CF393" s="27">
        <f>SUM(CD393:CE393)</f>
        <v/>
      </c>
      <c r="CG393" s="28" t="n"/>
      <c r="CH393" s="31" t="n"/>
      <c r="CI393" s="29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1" t="n"/>
      <c r="CK393" s="21" t="n"/>
      <c r="CL393" s="27">
        <f>SUM(CJ393:CK393)</f>
        <v/>
      </c>
      <c r="CM393" s="28" t="n"/>
      <c r="CN393" s="31" t="n"/>
      <c r="CO393" s="29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1" t="n"/>
      <c r="CQ393" s="21" t="n"/>
      <c r="CR393" s="27">
        <f>SUM(CP393:CQ393)</f>
        <v/>
      </c>
      <c r="CS393" s="28" t="n"/>
      <c r="CT393" s="31" t="n"/>
      <c r="CU393" s="29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1" t="n"/>
      <c r="CW393" s="21" t="n"/>
      <c r="CX393" s="27">
        <f>SUM(CV393:CW393)</f>
        <v/>
      </c>
      <c r="CY393" s="28" t="n"/>
      <c r="CZ393" s="31" t="n"/>
      <c r="DA393" s="29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1" t="n"/>
      <c r="DC393" s="21" t="n"/>
      <c r="DD393" s="27">
        <f>SUM(DB393:DC393)</f>
        <v/>
      </c>
      <c r="DE393" s="28" t="n"/>
      <c r="DF393" s="31" t="n"/>
      <c r="DG393" s="29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34">
        <f>SUM(O393,U393,AA393,AG393,AM393,AS393,AY393,BE393,BK393,BQ393,BW393,CC393,CI393,CO393,CU393,DA393,DG393)</f>
        <v/>
      </c>
      <c r="DI393" s="39">
        <f>RANK(DH393,DH$4:DH$503)</f>
        <v/>
      </c>
      <c r="DJ393" s="40" t="inlineStr">
        <is>
          <t>CHOOSE RATING</t>
        </is>
      </c>
      <c r="DK393" s="40" t="inlineStr">
        <is>
          <t>CHOOSE RATING</t>
        </is>
      </c>
      <c r="DL393" s="40" t="inlineStr">
        <is>
          <t>CHOOSE RATING</t>
        </is>
      </c>
      <c r="DM393" s="40" t="inlineStr">
        <is>
          <t>CHOOSE RATING</t>
        </is>
      </c>
      <c r="DN393" s="40" t="inlineStr">
        <is>
          <t>CHOOSE RATING</t>
        </is>
      </c>
      <c r="DO393" s="40" t="inlineStr">
        <is>
          <t>CHOOSE RATING</t>
        </is>
      </c>
      <c r="DP393" s="40" t="inlineStr">
        <is>
          <t>CHOOSE RATING</t>
        </is>
      </c>
      <c r="DQ393" s="40" t="inlineStr">
        <is>
          <t>CHOOSE RATING</t>
        </is>
      </c>
      <c r="DR393" s="43" t="inlineStr">
        <is>
          <t>2024/2025</t>
        </is>
      </c>
      <c r="DS393" s="45" t="inlineStr">
        <is>
          <t>THIRD</t>
        </is>
      </c>
      <c r="DT393" s="40" t="inlineStr">
        <is>
          <t>CHOOSE RATING</t>
        </is>
      </c>
      <c r="DU393" s="40" t="inlineStr">
        <is>
          <t>CHOOSE RATING</t>
        </is>
      </c>
      <c r="DV393" s="40" t="inlineStr">
        <is>
          <t>CHOOSE RATING</t>
        </is>
      </c>
      <c r="DW393" s="40" t="inlineStr">
        <is>
          <t>CHOOSE RATING</t>
        </is>
      </c>
      <c r="DX393" s="40" t="inlineStr">
        <is>
          <t>CHOOSE RATING</t>
        </is>
      </c>
      <c r="DY393" s="40" t="inlineStr">
        <is>
          <t>CHOOSE RATING</t>
        </is>
      </c>
      <c r="DZ393" s="53" t="inlineStr">
        <is>
          <t>CHOOSE RATING</t>
        </is>
      </c>
      <c r="EA393" s="54" t="inlineStr">
        <is>
          <t>Add the Tutor's Comment . . .</t>
        </is>
      </c>
      <c r="EB393" s="55" t="inlineStr">
        <is>
          <t>Choose Principals comment</t>
        </is>
      </c>
      <c r="EC393" s="56" t="n"/>
      <c r="ED393" s="57" t="inlineStr">
        <is>
          <t>Next Term Begins on Monday, 22nd September, 2025</t>
        </is>
      </c>
    </row>
    <row r="394" ht="30.6" customHeight="1" s="6">
      <c r="A394" s="18" t="n">
        <v>391</v>
      </c>
      <c r="B394" s="19" t="n"/>
      <c r="C394" s="20" t="n"/>
      <c r="D394" s="128" t="n"/>
      <c r="E394" s="21" t="n"/>
      <c r="F394" s="22" t="n"/>
      <c r="G394" s="22" t="n"/>
      <c r="H394" s="22" t="n"/>
      <c r="I394" s="26">
        <f>G394-H394</f>
        <v/>
      </c>
      <c r="J394" s="21" t="n"/>
      <c r="K394" s="21" t="n"/>
      <c r="L394" s="27">
        <f>SUM(J394:K394)</f>
        <v/>
      </c>
      <c r="M394" s="28" t="n"/>
      <c r="N394" s="28" t="n"/>
      <c r="O394" s="29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1" t="n"/>
      <c r="Q394" s="21" t="n"/>
      <c r="R394" s="27">
        <f>SUM(P394:Q394)</f>
        <v/>
      </c>
      <c r="S394" s="28" t="n"/>
      <c r="T394" s="28" t="n"/>
      <c r="U394" s="29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1" t="n"/>
      <c r="W394" s="21" t="n"/>
      <c r="X394" s="27">
        <f>SUM(V394:W394)</f>
        <v/>
      </c>
      <c r="Y394" s="28" t="n"/>
      <c r="Z394" s="28" t="n"/>
      <c r="AA394" s="29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1" t="n"/>
      <c r="AC394" s="21" t="n"/>
      <c r="AD394" s="27">
        <f>SUM(AB394:AC394)</f>
        <v/>
      </c>
      <c r="AE394" s="28" t="n"/>
      <c r="AF394" s="28" t="n"/>
      <c r="AG394" s="29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1" t="n"/>
      <c r="AI394" s="21" t="n"/>
      <c r="AJ394" s="27">
        <f>SUM(AH394:AI394)</f>
        <v/>
      </c>
      <c r="AK394" s="28" t="n"/>
      <c r="AL394" s="28" t="n"/>
      <c r="AM394" s="29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1" t="n"/>
      <c r="AO394" s="21" t="n"/>
      <c r="AP394" s="27">
        <f>SUM(AN394:AO394)</f>
        <v/>
      </c>
      <c r="AQ394" s="28" t="n"/>
      <c r="AR394" s="30" t="n"/>
      <c r="AS394" s="29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1" t="n"/>
      <c r="AU394" s="21" t="n"/>
      <c r="AV394" s="27">
        <f>SUM(AT394:AU394)</f>
        <v/>
      </c>
      <c r="AW394" s="28" t="n"/>
      <c r="AX394" s="30" t="n"/>
      <c r="AY394" s="29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1" t="n"/>
      <c r="BA394" s="21" t="n"/>
      <c r="BB394" s="27">
        <f>SUM(AZ394:BA394)</f>
        <v/>
      </c>
      <c r="BC394" s="28" t="n"/>
      <c r="BD394" s="28" t="n"/>
      <c r="BE394" s="29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1" t="n"/>
      <c r="BG394" s="21" t="n"/>
      <c r="BH394" s="27">
        <f>SUM(BF394:BG394)</f>
        <v/>
      </c>
      <c r="BI394" s="28" t="n"/>
      <c r="BJ394" s="28" t="n"/>
      <c r="BK394" s="29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1" t="n"/>
      <c r="BM394" s="21" t="n"/>
      <c r="BN394" s="27">
        <f>SUM(BL394:BM394)</f>
        <v/>
      </c>
      <c r="BO394" s="28" t="n"/>
      <c r="BP394" s="31" t="n"/>
      <c r="BQ394" s="29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1" t="n"/>
      <c r="BS394" s="21" t="n"/>
      <c r="BT394" s="27">
        <f>SUM(BR394:BS394)</f>
        <v/>
      </c>
      <c r="BU394" s="28" t="n"/>
      <c r="BV394" s="31" t="n"/>
      <c r="BW394" s="29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1" t="n"/>
      <c r="BY394" s="21" t="n"/>
      <c r="BZ394" s="27">
        <f>SUM(BX394:BY394)</f>
        <v/>
      </c>
      <c r="CA394" s="28" t="n"/>
      <c r="CB394" s="31" t="n"/>
      <c r="CC394" s="29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1" t="n"/>
      <c r="CE394" s="21" t="n"/>
      <c r="CF394" s="27">
        <f>SUM(CD394:CE394)</f>
        <v/>
      </c>
      <c r="CG394" s="28" t="n"/>
      <c r="CH394" s="31" t="n"/>
      <c r="CI394" s="29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1" t="n"/>
      <c r="CK394" s="21" t="n"/>
      <c r="CL394" s="27">
        <f>SUM(CJ394:CK394)</f>
        <v/>
      </c>
      <c r="CM394" s="28" t="n"/>
      <c r="CN394" s="31" t="n"/>
      <c r="CO394" s="29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1" t="n"/>
      <c r="CQ394" s="21" t="n"/>
      <c r="CR394" s="27">
        <f>SUM(CP394:CQ394)</f>
        <v/>
      </c>
      <c r="CS394" s="28" t="n"/>
      <c r="CT394" s="31" t="n"/>
      <c r="CU394" s="29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1" t="n"/>
      <c r="CW394" s="21" t="n"/>
      <c r="CX394" s="27">
        <f>SUM(CV394:CW394)</f>
        <v/>
      </c>
      <c r="CY394" s="28" t="n"/>
      <c r="CZ394" s="31" t="n"/>
      <c r="DA394" s="29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1" t="n"/>
      <c r="DC394" s="21" t="n"/>
      <c r="DD394" s="27">
        <f>SUM(DB394:DC394)</f>
        <v/>
      </c>
      <c r="DE394" s="28" t="n"/>
      <c r="DF394" s="31" t="n"/>
      <c r="DG394" s="29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34">
        <f>SUM(O394,U394,AA394,AG394,AM394,AS394,AY394,BE394,BK394,BQ394,BW394,CC394,CI394,CO394,CU394,DA394,DG394)</f>
        <v/>
      </c>
      <c r="DI394" s="39">
        <f>RANK(DH394,DH$4:DH$503)</f>
        <v/>
      </c>
      <c r="DJ394" s="40" t="inlineStr">
        <is>
          <t>CHOOSE RATING</t>
        </is>
      </c>
      <c r="DK394" s="40" t="inlineStr">
        <is>
          <t>CHOOSE RATING</t>
        </is>
      </c>
      <c r="DL394" s="40" t="inlineStr">
        <is>
          <t>CHOOSE RATING</t>
        </is>
      </c>
      <c r="DM394" s="40" t="inlineStr">
        <is>
          <t>CHOOSE RATING</t>
        </is>
      </c>
      <c r="DN394" s="40" t="inlineStr">
        <is>
          <t>CHOOSE RATING</t>
        </is>
      </c>
      <c r="DO394" s="40" t="inlineStr">
        <is>
          <t>CHOOSE RATING</t>
        </is>
      </c>
      <c r="DP394" s="40" t="inlineStr">
        <is>
          <t>CHOOSE RATING</t>
        </is>
      </c>
      <c r="DQ394" s="40" t="inlineStr">
        <is>
          <t>CHOOSE RATING</t>
        </is>
      </c>
      <c r="DR394" s="43" t="inlineStr">
        <is>
          <t>2024/2025</t>
        </is>
      </c>
      <c r="DS394" s="45" t="inlineStr">
        <is>
          <t>THIRD</t>
        </is>
      </c>
      <c r="DT394" s="40" t="inlineStr">
        <is>
          <t>CHOOSE RATING</t>
        </is>
      </c>
      <c r="DU394" s="40" t="inlineStr">
        <is>
          <t>CHOOSE RATING</t>
        </is>
      </c>
      <c r="DV394" s="40" t="inlineStr">
        <is>
          <t>CHOOSE RATING</t>
        </is>
      </c>
      <c r="DW394" s="40" t="inlineStr">
        <is>
          <t>CHOOSE RATING</t>
        </is>
      </c>
      <c r="DX394" s="40" t="inlineStr">
        <is>
          <t>CHOOSE RATING</t>
        </is>
      </c>
      <c r="DY394" s="40" t="inlineStr">
        <is>
          <t>CHOOSE RATING</t>
        </is>
      </c>
      <c r="DZ394" s="53" t="inlineStr">
        <is>
          <t>CHOOSE RATING</t>
        </is>
      </c>
      <c r="EA394" s="54" t="inlineStr">
        <is>
          <t>Add the Tutor's Comment . . .</t>
        </is>
      </c>
      <c r="EB394" s="55" t="inlineStr">
        <is>
          <t>Choose Principals comment</t>
        </is>
      </c>
      <c r="EC394" s="56" t="n"/>
      <c r="ED394" s="57" t="inlineStr">
        <is>
          <t>Next Term Begins on Monday, 22nd September, 2025</t>
        </is>
      </c>
    </row>
    <row r="395" ht="30.6" customHeight="1" s="6">
      <c r="A395" s="18" t="n">
        <v>392</v>
      </c>
      <c r="B395" s="19" t="n"/>
      <c r="C395" s="20" t="n"/>
      <c r="D395" s="128" t="n"/>
      <c r="E395" s="21" t="n"/>
      <c r="F395" s="22" t="n"/>
      <c r="G395" s="22" t="n"/>
      <c r="H395" s="22" t="n"/>
      <c r="I395" s="26">
        <f>G395-H395</f>
        <v/>
      </c>
      <c r="J395" s="21" t="n"/>
      <c r="K395" s="21" t="n"/>
      <c r="L395" s="27">
        <f>SUM(J395:K395)</f>
        <v/>
      </c>
      <c r="M395" s="28" t="n"/>
      <c r="N395" s="28" t="n"/>
      <c r="O395" s="29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1" t="n"/>
      <c r="Q395" s="21" t="n"/>
      <c r="R395" s="27">
        <f>SUM(P395:Q395)</f>
        <v/>
      </c>
      <c r="S395" s="28" t="n"/>
      <c r="T395" s="28" t="n"/>
      <c r="U395" s="29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1" t="n"/>
      <c r="W395" s="21" t="n"/>
      <c r="X395" s="27">
        <f>SUM(V395:W395)</f>
        <v/>
      </c>
      <c r="Y395" s="28" t="n"/>
      <c r="Z395" s="28" t="n"/>
      <c r="AA395" s="29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1" t="n"/>
      <c r="AC395" s="21" t="n"/>
      <c r="AD395" s="27">
        <f>SUM(AB395:AC395)</f>
        <v/>
      </c>
      <c r="AE395" s="28" t="n"/>
      <c r="AF395" s="28" t="n"/>
      <c r="AG395" s="29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1" t="n"/>
      <c r="AI395" s="21" t="n"/>
      <c r="AJ395" s="27">
        <f>SUM(AH395:AI395)</f>
        <v/>
      </c>
      <c r="AK395" s="28" t="n"/>
      <c r="AL395" s="28" t="n"/>
      <c r="AM395" s="29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1" t="n"/>
      <c r="AO395" s="21" t="n"/>
      <c r="AP395" s="27">
        <f>SUM(AN395:AO395)</f>
        <v/>
      </c>
      <c r="AQ395" s="28" t="n"/>
      <c r="AR395" s="30" t="n"/>
      <c r="AS395" s="29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1" t="n"/>
      <c r="AU395" s="21" t="n"/>
      <c r="AV395" s="27">
        <f>SUM(AT395:AU395)</f>
        <v/>
      </c>
      <c r="AW395" s="28" t="n"/>
      <c r="AX395" s="30" t="n"/>
      <c r="AY395" s="29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1" t="n"/>
      <c r="BA395" s="21" t="n"/>
      <c r="BB395" s="27">
        <f>SUM(AZ395:BA395)</f>
        <v/>
      </c>
      <c r="BC395" s="28" t="n"/>
      <c r="BD395" s="28" t="n"/>
      <c r="BE395" s="29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1" t="n"/>
      <c r="BG395" s="21" t="n"/>
      <c r="BH395" s="27">
        <f>SUM(BF395:BG395)</f>
        <v/>
      </c>
      <c r="BI395" s="28" t="n"/>
      <c r="BJ395" s="28" t="n"/>
      <c r="BK395" s="29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1" t="n"/>
      <c r="BM395" s="21" t="n"/>
      <c r="BN395" s="27">
        <f>SUM(BL395:BM395)</f>
        <v/>
      </c>
      <c r="BO395" s="28" t="n"/>
      <c r="BP395" s="31" t="n"/>
      <c r="BQ395" s="29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1" t="n"/>
      <c r="BS395" s="21" t="n"/>
      <c r="BT395" s="27">
        <f>SUM(BR395:BS395)</f>
        <v/>
      </c>
      <c r="BU395" s="28" t="n"/>
      <c r="BV395" s="31" t="n"/>
      <c r="BW395" s="29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1" t="n"/>
      <c r="BY395" s="21" t="n"/>
      <c r="BZ395" s="27">
        <f>SUM(BX395:BY395)</f>
        <v/>
      </c>
      <c r="CA395" s="28" t="n"/>
      <c r="CB395" s="31" t="n"/>
      <c r="CC395" s="29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1" t="n"/>
      <c r="CE395" s="21" t="n"/>
      <c r="CF395" s="27">
        <f>SUM(CD395:CE395)</f>
        <v/>
      </c>
      <c r="CG395" s="28" t="n"/>
      <c r="CH395" s="31" t="n"/>
      <c r="CI395" s="29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1" t="n"/>
      <c r="CK395" s="21" t="n"/>
      <c r="CL395" s="27">
        <f>SUM(CJ395:CK395)</f>
        <v/>
      </c>
      <c r="CM395" s="28" t="n"/>
      <c r="CN395" s="31" t="n"/>
      <c r="CO395" s="29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1" t="n"/>
      <c r="CQ395" s="21" t="n"/>
      <c r="CR395" s="27">
        <f>SUM(CP395:CQ395)</f>
        <v/>
      </c>
      <c r="CS395" s="28" t="n"/>
      <c r="CT395" s="31" t="n"/>
      <c r="CU395" s="29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1" t="n"/>
      <c r="CW395" s="21" t="n"/>
      <c r="CX395" s="27">
        <f>SUM(CV395:CW395)</f>
        <v/>
      </c>
      <c r="CY395" s="28" t="n"/>
      <c r="CZ395" s="31" t="n"/>
      <c r="DA395" s="29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1" t="n"/>
      <c r="DC395" s="21" t="n"/>
      <c r="DD395" s="27">
        <f>SUM(DB395:DC395)</f>
        <v/>
      </c>
      <c r="DE395" s="28" t="n"/>
      <c r="DF395" s="31" t="n"/>
      <c r="DG395" s="29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34">
        <f>SUM(O395,U395,AA395,AG395,AM395,AS395,AY395,BE395,BK395,BQ395,BW395,CC395,CI395,CO395,CU395,DA395,DG395)</f>
        <v/>
      </c>
      <c r="DI395" s="39">
        <f>RANK(DH395,DH$4:DH$503)</f>
        <v/>
      </c>
      <c r="DJ395" s="40" t="inlineStr">
        <is>
          <t>CHOOSE RATING</t>
        </is>
      </c>
      <c r="DK395" s="40" t="inlineStr">
        <is>
          <t>CHOOSE RATING</t>
        </is>
      </c>
      <c r="DL395" s="40" t="inlineStr">
        <is>
          <t>CHOOSE RATING</t>
        </is>
      </c>
      <c r="DM395" s="40" t="inlineStr">
        <is>
          <t>CHOOSE RATING</t>
        </is>
      </c>
      <c r="DN395" s="40" t="inlineStr">
        <is>
          <t>CHOOSE RATING</t>
        </is>
      </c>
      <c r="DO395" s="40" t="inlineStr">
        <is>
          <t>CHOOSE RATING</t>
        </is>
      </c>
      <c r="DP395" s="40" t="inlineStr">
        <is>
          <t>CHOOSE RATING</t>
        </is>
      </c>
      <c r="DQ395" s="40" t="inlineStr">
        <is>
          <t>CHOOSE RATING</t>
        </is>
      </c>
      <c r="DR395" s="43" t="inlineStr">
        <is>
          <t>2024/2025</t>
        </is>
      </c>
      <c r="DS395" s="45" t="inlineStr">
        <is>
          <t>THIRD</t>
        </is>
      </c>
      <c r="DT395" s="40" t="inlineStr">
        <is>
          <t>CHOOSE RATING</t>
        </is>
      </c>
      <c r="DU395" s="40" t="inlineStr">
        <is>
          <t>CHOOSE RATING</t>
        </is>
      </c>
      <c r="DV395" s="40" t="inlineStr">
        <is>
          <t>CHOOSE RATING</t>
        </is>
      </c>
      <c r="DW395" s="40" t="inlineStr">
        <is>
          <t>CHOOSE RATING</t>
        </is>
      </c>
      <c r="DX395" s="40" t="inlineStr">
        <is>
          <t>CHOOSE RATING</t>
        </is>
      </c>
      <c r="DY395" s="40" t="inlineStr">
        <is>
          <t>CHOOSE RATING</t>
        </is>
      </c>
      <c r="DZ395" s="53" t="inlineStr">
        <is>
          <t>CHOOSE RATING</t>
        </is>
      </c>
      <c r="EA395" s="54" t="inlineStr">
        <is>
          <t>Add the Tutor's Comment . . .</t>
        </is>
      </c>
      <c r="EB395" s="55" t="inlineStr">
        <is>
          <t>Choose Principals comment</t>
        </is>
      </c>
      <c r="EC395" s="56" t="n"/>
      <c r="ED395" s="57" t="inlineStr">
        <is>
          <t>Next Term Begins on Monday, 22nd September, 2025</t>
        </is>
      </c>
    </row>
    <row r="396" ht="30.6" customHeight="1" s="6">
      <c r="A396" s="18" t="n">
        <v>393</v>
      </c>
      <c r="B396" s="19" t="n"/>
      <c r="C396" s="20" t="n"/>
      <c r="D396" s="128" t="n"/>
      <c r="E396" s="21" t="n"/>
      <c r="F396" s="22" t="n"/>
      <c r="G396" s="22" t="n"/>
      <c r="H396" s="22" t="n"/>
      <c r="I396" s="26">
        <f>G396-H396</f>
        <v/>
      </c>
      <c r="J396" s="21" t="n"/>
      <c r="K396" s="21" t="n"/>
      <c r="L396" s="27">
        <f>SUM(J396:K396)</f>
        <v/>
      </c>
      <c r="M396" s="28" t="n"/>
      <c r="N396" s="28" t="n"/>
      <c r="O396" s="29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1" t="n"/>
      <c r="Q396" s="21" t="n"/>
      <c r="R396" s="27">
        <f>SUM(P396:Q396)</f>
        <v/>
      </c>
      <c r="S396" s="28" t="n"/>
      <c r="T396" s="28" t="n"/>
      <c r="U396" s="29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1" t="n"/>
      <c r="W396" s="21" t="n"/>
      <c r="X396" s="27">
        <f>SUM(V396:W396)</f>
        <v/>
      </c>
      <c r="Y396" s="28" t="n"/>
      <c r="Z396" s="28" t="n"/>
      <c r="AA396" s="29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1" t="n"/>
      <c r="AC396" s="21" t="n"/>
      <c r="AD396" s="27">
        <f>SUM(AB396:AC396)</f>
        <v/>
      </c>
      <c r="AE396" s="28" t="n"/>
      <c r="AF396" s="28" t="n"/>
      <c r="AG396" s="29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1" t="n"/>
      <c r="AI396" s="21" t="n"/>
      <c r="AJ396" s="27">
        <f>SUM(AH396:AI396)</f>
        <v/>
      </c>
      <c r="AK396" s="28" t="n"/>
      <c r="AL396" s="28" t="n"/>
      <c r="AM396" s="29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1" t="n"/>
      <c r="AO396" s="21" t="n"/>
      <c r="AP396" s="27">
        <f>SUM(AN396:AO396)</f>
        <v/>
      </c>
      <c r="AQ396" s="28" t="n"/>
      <c r="AR396" s="30" t="n"/>
      <c r="AS396" s="29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1" t="n"/>
      <c r="AU396" s="21" t="n"/>
      <c r="AV396" s="27">
        <f>SUM(AT396:AU396)</f>
        <v/>
      </c>
      <c r="AW396" s="28" t="n"/>
      <c r="AX396" s="30" t="n"/>
      <c r="AY396" s="29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1" t="n"/>
      <c r="BA396" s="21" t="n"/>
      <c r="BB396" s="27">
        <f>SUM(AZ396:BA396)</f>
        <v/>
      </c>
      <c r="BC396" s="28" t="n"/>
      <c r="BD396" s="28" t="n"/>
      <c r="BE396" s="29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1" t="n"/>
      <c r="BG396" s="21" t="n"/>
      <c r="BH396" s="27">
        <f>SUM(BF396:BG396)</f>
        <v/>
      </c>
      <c r="BI396" s="28" t="n"/>
      <c r="BJ396" s="28" t="n"/>
      <c r="BK396" s="29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1" t="n"/>
      <c r="BM396" s="21" t="n"/>
      <c r="BN396" s="27">
        <f>SUM(BL396:BM396)</f>
        <v/>
      </c>
      <c r="BO396" s="28" t="n"/>
      <c r="BP396" s="31" t="n"/>
      <c r="BQ396" s="29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1" t="n"/>
      <c r="BS396" s="21" t="n"/>
      <c r="BT396" s="27">
        <f>SUM(BR396:BS396)</f>
        <v/>
      </c>
      <c r="BU396" s="28" t="n"/>
      <c r="BV396" s="31" t="n"/>
      <c r="BW396" s="29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1" t="n"/>
      <c r="BY396" s="21" t="n"/>
      <c r="BZ396" s="27">
        <f>SUM(BX396:BY396)</f>
        <v/>
      </c>
      <c r="CA396" s="28" t="n"/>
      <c r="CB396" s="31" t="n"/>
      <c r="CC396" s="29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1" t="n"/>
      <c r="CE396" s="21" t="n"/>
      <c r="CF396" s="27">
        <f>SUM(CD396:CE396)</f>
        <v/>
      </c>
      <c r="CG396" s="28" t="n"/>
      <c r="CH396" s="31" t="n"/>
      <c r="CI396" s="29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1" t="n"/>
      <c r="CK396" s="21" t="n"/>
      <c r="CL396" s="27">
        <f>SUM(CJ396:CK396)</f>
        <v/>
      </c>
      <c r="CM396" s="28" t="n"/>
      <c r="CN396" s="31" t="n"/>
      <c r="CO396" s="29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1" t="n"/>
      <c r="CQ396" s="21" t="n"/>
      <c r="CR396" s="27">
        <f>SUM(CP396:CQ396)</f>
        <v/>
      </c>
      <c r="CS396" s="28" t="n"/>
      <c r="CT396" s="31" t="n"/>
      <c r="CU396" s="29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1" t="n"/>
      <c r="CW396" s="21" t="n"/>
      <c r="CX396" s="27">
        <f>SUM(CV396:CW396)</f>
        <v/>
      </c>
      <c r="CY396" s="28" t="n"/>
      <c r="CZ396" s="31" t="n"/>
      <c r="DA396" s="29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1" t="n"/>
      <c r="DC396" s="21" t="n"/>
      <c r="DD396" s="27">
        <f>SUM(DB396:DC396)</f>
        <v/>
      </c>
      <c r="DE396" s="28" t="n"/>
      <c r="DF396" s="31" t="n"/>
      <c r="DG396" s="29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34">
        <f>SUM(O396,U396,AA396,AG396,AM396,AS396,AY396,BE396,BK396,BQ396,BW396,CC396,CI396,CO396,CU396,DA396,DG396)</f>
        <v/>
      </c>
      <c r="DI396" s="39">
        <f>RANK(DH396,DH$4:DH$503)</f>
        <v/>
      </c>
      <c r="DJ396" s="40" t="inlineStr">
        <is>
          <t>CHOOSE RATING</t>
        </is>
      </c>
      <c r="DK396" s="40" t="inlineStr">
        <is>
          <t>CHOOSE RATING</t>
        </is>
      </c>
      <c r="DL396" s="40" t="inlineStr">
        <is>
          <t>CHOOSE RATING</t>
        </is>
      </c>
      <c r="DM396" s="40" t="inlineStr">
        <is>
          <t>CHOOSE RATING</t>
        </is>
      </c>
      <c r="DN396" s="40" t="inlineStr">
        <is>
          <t>CHOOSE RATING</t>
        </is>
      </c>
      <c r="DO396" s="40" t="inlineStr">
        <is>
          <t>CHOOSE RATING</t>
        </is>
      </c>
      <c r="DP396" s="40" t="inlineStr">
        <is>
          <t>CHOOSE RATING</t>
        </is>
      </c>
      <c r="DQ396" s="40" t="inlineStr">
        <is>
          <t>CHOOSE RATING</t>
        </is>
      </c>
      <c r="DR396" s="43" t="inlineStr">
        <is>
          <t>2024/2025</t>
        </is>
      </c>
      <c r="DS396" s="45" t="inlineStr">
        <is>
          <t>THIRD</t>
        </is>
      </c>
      <c r="DT396" s="40" t="inlineStr">
        <is>
          <t>CHOOSE RATING</t>
        </is>
      </c>
      <c r="DU396" s="40" t="inlineStr">
        <is>
          <t>CHOOSE RATING</t>
        </is>
      </c>
      <c r="DV396" s="40" t="inlineStr">
        <is>
          <t>CHOOSE RATING</t>
        </is>
      </c>
      <c r="DW396" s="40" t="inlineStr">
        <is>
          <t>CHOOSE RATING</t>
        </is>
      </c>
      <c r="DX396" s="40" t="inlineStr">
        <is>
          <t>CHOOSE RATING</t>
        </is>
      </c>
      <c r="DY396" s="40" t="inlineStr">
        <is>
          <t>CHOOSE RATING</t>
        </is>
      </c>
      <c r="DZ396" s="53" t="inlineStr">
        <is>
          <t>CHOOSE RATING</t>
        </is>
      </c>
      <c r="EA396" s="54" t="inlineStr">
        <is>
          <t>Add the Tutor's Comment . . .</t>
        </is>
      </c>
      <c r="EB396" s="55" t="inlineStr">
        <is>
          <t>Choose Principals comment</t>
        </is>
      </c>
      <c r="EC396" s="56" t="n"/>
      <c r="ED396" s="57" t="inlineStr">
        <is>
          <t>Next Term Begins on Monday, 22nd September, 2025</t>
        </is>
      </c>
    </row>
    <row r="397" ht="30.6" customHeight="1" s="6">
      <c r="A397" s="18" t="n">
        <v>394</v>
      </c>
      <c r="B397" s="19" t="n"/>
      <c r="C397" s="20" t="n"/>
      <c r="D397" s="128" t="n"/>
      <c r="E397" s="21" t="n"/>
      <c r="F397" s="22" t="n"/>
      <c r="G397" s="22" t="n"/>
      <c r="H397" s="22" t="n"/>
      <c r="I397" s="26">
        <f>G397-H397</f>
        <v/>
      </c>
      <c r="J397" s="21" t="n"/>
      <c r="K397" s="21" t="n"/>
      <c r="L397" s="27">
        <f>SUM(J397:K397)</f>
        <v/>
      </c>
      <c r="M397" s="28" t="n"/>
      <c r="N397" s="28" t="n"/>
      <c r="O397" s="29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1" t="n"/>
      <c r="Q397" s="21" t="n"/>
      <c r="R397" s="27">
        <f>SUM(P397:Q397)</f>
        <v/>
      </c>
      <c r="S397" s="28" t="n"/>
      <c r="T397" s="28" t="n"/>
      <c r="U397" s="29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1" t="n"/>
      <c r="W397" s="21" t="n"/>
      <c r="X397" s="27">
        <f>SUM(V397:W397)</f>
        <v/>
      </c>
      <c r="Y397" s="28" t="n"/>
      <c r="Z397" s="28" t="n"/>
      <c r="AA397" s="29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1" t="n"/>
      <c r="AC397" s="21" t="n"/>
      <c r="AD397" s="27">
        <f>SUM(AB397:AC397)</f>
        <v/>
      </c>
      <c r="AE397" s="28" t="n"/>
      <c r="AF397" s="28" t="n"/>
      <c r="AG397" s="29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1" t="n"/>
      <c r="AI397" s="21" t="n"/>
      <c r="AJ397" s="27">
        <f>SUM(AH397:AI397)</f>
        <v/>
      </c>
      <c r="AK397" s="28" t="n"/>
      <c r="AL397" s="28" t="n"/>
      <c r="AM397" s="29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1" t="n"/>
      <c r="AO397" s="21" t="n"/>
      <c r="AP397" s="27">
        <f>SUM(AN397:AO397)</f>
        <v/>
      </c>
      <c r="AQ397" s="28" t="n"/>
      <c r="AR397" s="30" t="n"/>
      <c r="AS397" s="29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1" t="n"/>
      <c r="AU397" s="21" t="n"/>
      <c r="AV397" s="27">
        <f>SUM(AT397:AU397)</f>
        <v/>
      </c>
      <c r="AW397" s="28" t="n"/>
      <c r="AX397" s="30" t="n"/>
      <c r="AY397" s="29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1" t="n"/>
      <c r="BA397" s="21" t="n"/>
      <c r="BB397" s="27">
        <f>SUM(AZ397:BA397)</f>
        <v/>
      </c>
      <c r="BC397" s="28" t="n"/>
      <c r="BD397" s="28" t="n"/>
      <c r="BE397" s="29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1" t="n"/>
      <c r="BG397" s="21" t="n"/>
      <c r="BH397" s="27">
        <f>SUM(BF397:BG397)</f>
        <v/>
      </c>
      <c r="BI397" s="28" t="n"/>
      <c r="BJ397" s="28" t="n"/>
      <c r="BK397" s="29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1" t="n"/>
      <c r="BM397" s="21" t="n"/>
      <c r="BN397" s="27">
        <f>SUM(BL397:BM397)</f>
        <v/>
      </c>
      <c r="BO397" s="28" t="n"/>
      <c r="BP397" s="31" t="n"/>
      <c r="BQ397" s="29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1" t="n"/>
      <c r="BS397" s="21" t="n"/>
      <c r="BT397" s="27">
        <f>SUM(BR397:BS397)</f>
        <v/>
      </c>
      <c r="BU397" s="28" t="n"/>
      <c r="BV397" s="31" t="n"/>
      <c r="BW397" s="29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1" t="n"/>
      <c r="BY397" s="21" t="n"/>
      <c r="BZ397" s="27">
        <f>SUM(BX397:BY397)</f>
        <v/>
      </c>
      <c r="CA397" s="28" t="n"/>
      <c r="CB397" s="31" t="n"/>
      <c r="CC397" s="29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1" t="n"/>
      <c r="CE397" s="21" t="n"/>
      <c r="CF397" s="27">
        <f>SUM(CD397:CE397)</f>
        <v/>
      </c>
      <c r="CG397" s="28" t="n"/>
      <c r="CH397" s="31" t="n"/>
      <c r="CI397" s="29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1" t="n"/>
      <c r="CK397" s="21" t="n"/>
      <c r="CL397" s="27">
        <f>SUM(CJ397:CK397)</f>
        <v/>
      </c>
      <c r="CM397" s="28" t="n"/>
      <c r="CN397" s="31" t="n"/>
      <c r="CO397" s="29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1" t="n"/>
      <c r="CQ397" s="21" t="n"/>
      <c r="CR397" s="27">
        <f>SUM(CP397:CQ397)</f>
        <v/>
      </c>
      <c r="CS397" s="28" t="n"/>
      <c r="CT397" s="31" t="n"/>
      <c r="CU397" s="29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1" t="n"/>
      <c r="CW397" s="21" t="n"/>
      <c r="CX397" s="27">
        <f>SUM(CV397:CW397)</f>
        <v/>
      </c>
      <c r="CY397" s="28" t="n"/>
      <c r="CZ397" s="31" t="n"/>
      <c r="DA397" s="29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1" t="n"/>
      <c r="DC397" s="21" t="n"/>
      <c r="DD397" s="27">
        <f>SUM(DB397:DC397)</f>
        <v/>
      </c>
      <c r="DE397" s="28" t="n"/>
      <c r="DF397" s="31" t="n"/>
      <c r="DG397" s="29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34">
        <f>SUM(O397,U397,AA397,AG397,AM397,AS397,AY397,BE397,BK397,BQ397,BW397,CC397,CI397,CO397,CU397,DA397,DG397)</f>
        <v/>
      </c>
      <c r="DI397" s="39">
        <f>RANK(DH397,DH$4:DH$503)</f>
        <v/>
      </c>
      <c r="DJ397" s="40" t="inlineStr">
        <is>
          <t>CHOOSE RATING</t>
        </is>
      </c>
      <c r="DK397" s="40" t="inlineStr">
        <is>
          <t>CHOOSE RATING</t>
        </is>
      </c>
      <c r="DL397" s="40" t="inlineStr">
        <is>
          <t>CHOOSE RATING</t>
        </is>
      </c>
      <c r="DM397" s="40" t="inlineStr">
        <is>
          <t>CHOOSE RATING</t>
        </is>
      </c>
      <c r="DN397" s="40" t="inlineStr">
        <is>
          <t>CHOOSE RATING</t>
        </is>
      </c>
      <c r="DO397" s="40" t="inlineStr">
        <is>
          <t>CHOOSE RATING</t>
        </is>
      </c>
      <c r="DP397" s="40" t="inlineStr">
        <is>
          <t>CHOOSE RATING</t>
        </is>
      </c>
      <c r="DQ397" s="40" t="inlineStr">
        <is>
          <t>CHOOSE RATING</t>
        </is>
      </c>
      <c r="DR397" s="43" t="inlineStr">
        <is>
          <t>2024/2025</t>
        </is>
      </c>
      <c r="DS397" s="45" t="inlineStr">
        <is>
          <t>THIRD</t>
        </is>
      </c>
      <c r="DT397" s="40" t="inlineStr">
        <is>
          <t>CHOOSE RATING</t>
        </is>
      </c>
      <c r="DU397" s="40" t="inlineStr">
        <is>
          <t>CHOOSE RATING</t>
        </is>
      </c>
      <c r="DV397" s="40" t="inlineStr">
        <is>
          <t>CHOOSE RATING</t>
        </is>
      </c>
      <c r="DW397" s="40" t="inlineStr">
        <is>
          <t>CHOOSE RATING</t>
        </is>
      </c>
      <c r="DX397" s="40" t="inlineStr">
        <is>
          <t>CHOOSE RATING</t>
        </is>
      </c>
      <c r="DY397" s="40" t="inlineStr">
        <is>
          <t>CHOOSE RATING</t>
        </is>
      </c>
      <c r="DZ397" s="53" t="inlineStr">
        <is>
          <t>CHOOSE RATING</t>
        </is>
      </c>
      <c r="EA397" s="54" t="inlineStr">
        <is>
          <t>Add the Tutor's Comment . . .</t>
        </is>
      </c>
      <c r="EB397" s="55" t="inlineStr">
        <is>
          <t>Choose Principals comment</t>
        </is>
      </c>
      <c r="EC397" s="56" t="n"/>
      <c r="ED397" s="57" t="inlineStr">
        <is>
          <t>Next Term Begins on Monday, 22nd September, 2025</t>
        </is>
      </c>
    </row>
    <row r="398" ht="30.6" customHeight="1" s="6">
      <c r="A398" s="18" t="n">
        <v>395</v>
      </c>
      <c r="B398" s="19" t="n"/>
      <c r="C398" s="20" t="n"/>
      <c r="D398" s="128" t="n"/>
      <c r="E398" s="21" t="n"/>
      <c r="F398" s="22" t="n"/>
      <c r="G398" s="22" t="n"/>
      <c r="H398" s="22" t="n"/>
      <c r="I398" s="26">
        <f>G398-H398</f>
        <v/>
      </c>
      <c r="J398" s="21" t="n"/>
      <c r="K398" s="21" t="n"/>
      <c r="L398" s="27">
        <f>SUM(J398:K398)</f>
        <v/>
      </c>
      <c r="M398" s="28" t="n"/>
      <c r="N398" s="28" t="n"/>
      <c r="O398" s="29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1" t="n"/>
      <c r="Q398" s="21" t="n"/>
      <c r="R398" s="27">
        <f>SUM(P398:Q398)</f>
        <v/>
      </c>
      <c r="S398" s="28" t="n"/>
      <c r="T398" s="28" t="n"/>
      <c r="U398" s="29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1" t="n"/>
      <c r="W398" s="21" t="n"/>
      <c r="X398" s="27">
        <f>SUM(V398:W398)</f>
        <v/>
      </c>
      <c r="Y398" s="28" t="n"/>
      <c r="Z398" s="28" t="n"/>
      <c r="AA398" s="29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1" t="n"/>
      <c r="AC398" s="21" t="n"/>
      <c r="AD398" s="27">
        <f>SUM(AB398:AC398)</f>
        <v/>
      </c>
      <c r="AE398" s="28" t="n"/>
      <c r="AF398" s="28" t="n"/>
      <c r="AG398" s="29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1" t="n"/>
      <c r="AI398" s="21" t="n"/>
      <c r="AJ398" s="27">
        <f>SUM(AH398:AI398)</f>
        <v/>
      </c>
      <c r="AK398" s="28" t="n"/>
      <c r="AL398" s="28" t="n"/>
      <c r="AM398" s="29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1" t="n"/>
      <c r="AO398" s="21" t="n"/>
      <c r="AP398" s="27">
        <f>SUM(AN398:AO398)</f>
        <v/>
      </c>
      <c r="AQ398" s="28" t="n"/>
      <c r="AR398" s="30" t="n"/>
      <c r="AS398" s="29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1" t="n"/>
      <c r="AU398" s="21" t="n"/>
      <c r="AV398" s="27">
        <f>SUM(AT398:AU398)</f>
        <v/>
      </c>
      <c r="AW398" s="28" t="n"/>
      <c r="AX398" s="30" t="n"/>
      <c r="AY398" s="29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1" t="n"/>
      <c r="BA398" s="21" t="n"/>
      <c r="BB398" s="27">
        <f>SUM(AZ398:BA398)</f>
        <v/>
      </c>
      <c r="BC398" s="28" t="n"/>
      <c r="BD398" s="28" t="n"/>
      <c r="BE398" s="29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1" t="n"/>
      <c r="BG398" s="21" t="n"/>
      <c r="BH398" s="27">
        <f>SUM(BF398:BG398)</f>
        <v/>
      </c>
      <c r="BI398" s="28" t="n"/>
      <c r="BJ398" s="28" t="n"/>
      <c r="BK398" s="29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1" t="n"/>
      <c r="BM398" s="21" t="n"/>
      <c r="BN398" s="27">
        <f>SUM(BL398:BM398)</f>
        <v/>
      </c>
      <c r="BO398" s="28" t="n"/>
      <c r="BP398" s="31" t="n"/>
      <c r="BQ398" s="29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1" t="n"/>
      <c r="BS398" s="21" t="n"/>
      <c r="BT398" s="27">
        <f>SUM(BR398:BS398)</f>
        <v/>
      </c>
      <c r="BU398" s="28" t="n"/>
      <c r="BV398" s="31" t="n"/>
      <c r="BW398" s="29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1" t="n"/>
      <c r="BY398" s="21" t="n"/>
      <c r="BZ398" s="27">
        <f>SUM(BX398:BY398)</f>
        <v/>
      </c>
      <c r="CA398" s="28" t="n"/>
      <c r="CB398" s="31" t="n"/>
      <c r="CC398" s="29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1" t="n"/>
      <c r="CE398" s="21" t="n"/>
      <c r="CF398" s="27">
        <f>SUM(CD398:CE398)</f>
        <v/>
      </c>
      <c r="CG398" s="28" t="n"/>
      <c r="CH398" s="31" t="n"/>
      <c r="CI398" s="29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1" t="n"/>
      <c r="CK398" s="21" t="n"/>
      <c r="CL398" s="27">
        <f>SUM(CJ398:CK398)</f>
        <v/>
      </c>
      <c r="CM398" s="28" t="n"/>
      <c r="CN398" s="31" t="n"/>
      <c r="CO398" s="29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1" t="n"/>
      <c r="CQ398" s="21" t="n"/>
      <c r="CR398" s="27">
        <f>SUM(CP398:CQ398)</f>
        <v/>
      </c>
      <c r="CS398" s="28" t="n"/>
      <c r="CT398" s="31" t="n"/>
      <c r="CU398" s="29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1" t="n"/>
      <c r="CW398" s="21" t="n"/>
      <c r="CX398" s="27">
        <f>SUM(CV398:CW398)</f>
        <v/>
      </c>
      <c r="CY398" s="28" t="n"/>
      <c r="CZ398" s="31" t="n"/>
      <c r="DA398" s="29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1" t="n"/>
      <c r="DC398" s="21" t="n"/>
      <c r="DD398" s="27">
        <f>SUM(DB398:DC398)</f>
        <v/>
      </c>
      <c r="DE398" s="28" t="n"/>
      <c r="DF398" s="31" t="n"/>
      <c r="DG398" s="29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34">
        <f>SUM(O398,U398,AA398,AG398,AM398,AS398,AY398,BE398,BK398,BQ398,BW398,CC398,CI398,CO398,CU398,DA398,DG398)</f>
        <v/>
      </c>
      <c r="DI398" s="39">
        <f>RANK(DH398,DH$4:DH$503)</f>
        <v/>
      </c>
      <c r="DJ398" s="40" t="inlineStr">
        <is>
          <t>CHOOSE RATING</t>
        </is>
      </c>
      <c r="DK398" s="40" t="inlineStr">
        <is>
          <t>CHOOSE RATING</t>
        </is>
      </c>
      <c r="DL398" s="40" t="inlineStr">
        <is>
          <t>CHOOSE RATING</t>
        </is>
      </c>
      <c r="DM398" s="40" t="inlineStr">
        <is>
          <t>CHOOSE RATING</t>
        </is>
      </c>
      <c r="DN398" s="40" t="inlineStr">
        <is>
          <t>CHOOSE RATING</t>
        </is>
      </c>
      <c r="DO398" s="40" t="inlineStr">
        <is>
          <t>CHOOSE RATING</t>
        </is>
      </c>
      <c r="DP398" s="40" t="inlineStr">
        <is>
          <t>CHOOSE RATING</t>
        </is>
      </c>
      <c r="DQ398" s="40" t="inlineStr">
        <is>
          <t>CHOOSE RATING</t>
        </is>
      </c>
      <c r="DR398" s="43" t="inlineStr">
        <is>
          <t>2024/2025</t>
        </is>
      </c>
      <c r="DS398" s="45" t="inlineStr">
        <is>
          <t>THIRD</t>
        </is>
      </c>
      <c r="DT398" s="40" t="inlineStr">
        <is>
          <t>CHOOSE RATING</t>
        </is>
      </c>
      <c r="DU398" s="40" t="inlineStr">
        <is>
          <t>CHOOSE RATING</t>
        </is>
      </c>
      <c r="DV398" s="40" t="inlineStr">
        <is>
          <t>CHOOSE RATING</t>
        </is>
      </c>
      <c r="DW398" s="40" t="inlineStr">
        <is>
          <t>CHOOSE RATING</t>
        </is>
      </c>
      <c r="DX398" s="40" t="inlineStr">
        <is>
          <t>CHOOSE RATING</t>
        </is>
      </c>
      <c r="DY398" s="40" t="inlineStr">
        <is>
          <t>CHOOSE RATING</t>
        </is>
      </c>
      <c r="DZ398" s="53" t="inlineStr">
        <is>
          <t>CHOOSE RATING</t>
        </is>
      </c>
      <c r="EA398" s="54" t="inlineStr">
        <is>
          <t>Add the Tutor's Comment . . .</t>
        </is>
      </c>
      <c r="EB398" s="55" t="inlineStr">
        <is>
          <t>Choose Principals comment</t>
        </is>
      </c>
      <c r="EC398" s="56" t="n"/>
      <c r="ED398" s="57" t="inlineStr">
        <is>
          <t>Next Term Begins on Monday, 22nd September, 2025</t>
        </is>
      </c>
    </row>
    <row r="399" ht="30.6" customHeight="1" s="6">
      <c r="A399" s="18" t="n">
        <v>396</v>
      </c>
      <c r="B399" s="19" t="n"/>
      <c r="C399" s="20" t="n"/>
      <c r="D399" s="128" t="n"/>
      <c r="E399" s="21" t="n"/>
      <c r="F399" s="22" t="n"/>
      <c r="G399" s="22" t="n"/>
      <c r="H399" s="22" t="n"/>
      <c r="I399" s="26">
        <f>G399-H399</f>
        <v/>
      </c>
      <c r="J399" s="21" t="n"/>
      <c r="K399" s="21" t="n"/>
      <c r="L399" s="27">
        <f>SUM(J399:K399)</f>
        <v/>
      </c>
      <c r="M399" s="28" t="n"/>
      <c r="N399" s="28" t="n"/>
      <c r="O399" s="29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1" t="n"/>
      <c r="Q399" s="21" t="n"/>
      <c r="R399" s="27">
        <f>SUM(P399:Q399)</f>
        <v/>
      </c>
      <c r="S399" s="28" t="n"/>
      <c r="T399" s="28" t="n"/>
      <c r="U399" s="29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1" t="n"/>
      <c r="W399" s="21" t="n"/>
      <c r="X399" s="27">
        <f>SUM(V399:W399)</f>
        <v/>
      </c>
      <c r="Y399" s="28" t="n"/>
      <c r="Z399" s="28" t="n"/>
      <c r="AA399" s="29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1" t="n"/>
      <c r="AC399" s="21" t="n"/>
      <c r="AD399" s="27">
        <f>SUM(AB399:AC399)</f>
        <v/>
      </c>
      <c r="AE399" s="28" t="n"/>
      <c r="AF399" s="28" t="n"/>
      <c r="AG399" s="29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1" t="n"/>
      <c r="AI399" s="21" t="n"/>
      <c r="AJ399" s="27">
        <f>SUM(AH399:AI399)</f>
        <v/>
      </c>
      <c r="AK399" s="28" t="n"/>
      <c r="AL399" s="28" t="n"/>
      <c r="AM399" s="29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1" t="n"/>
      <c r="AO399" s="21" t="n"/>
      <c r="AP399" s="27">
        <f>SUM(AN399:AO399)</f>
        <v/>
      </c>
      <c r="AQ399" s="28" t="n"/>
      <c r="AR399" s="30" t="n"/>
      <c r="AS399" s="29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1" t="n"/>
      <c r="AU399" s="21" t="n"/>
      <c r="AV399" s="27">
        <f>SUM(AT399:AU399)</f>
        <v/>
      </c>
      <c r="AW399" s="28" t="n"/>
      <c r="AX399" s="30" t="n"/>
      <c r="AY399" s="29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1" t="n"/>
      <c r="BA399" s="21" t="n"/>
      <c r="BB399" s="27">
        <f>SUM(AZ399:BA399)</f>
        <v/>
      </c>
      <c r="BC399" s="28" t="n"/>
      <c r="BD399" s="28" t="n"/>
      <c r="BE399" s="29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1" t="n"/>
      <c r="BG399" s="21" t="n"/>
      <c r="BH399" s="27">
        <f>SUM(BF399:BG399)</f>
        <v/>
      </c>
      <c r="BI399" s="28" t="n"/>
      <c r="BJ399" s="28" t="n"/>
      <c r="BK399" s="29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1" t="n"/>
      <c r="BM399" s="21" t="n"/>
      <c r="BN399" s="27">
        <f>SUM(BL399:BM399)</f>
        <v/>
      </c>
      <c r="BO399" s="28" t="n"/>
      <c r="BP399" s="31" t="n"/>
      <c r="BQ399" s="29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1" t="n"/>
      <c r="BS399" s="21" t="n"/>
      <c r="BT399" s="27">
        <f>SUM(BR399:BS399)</f>
        <v/>
      </c>
      <c r="BU399" s="28" t="n"/>
      <c r="BV399" s="31" t="n"/>
      <c r="BW399" s="29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1" t="n"/>
      <c r="BY399" s="21" t="n"/>
      <c r="BZ399" s="27">
        <f>SUM(BX399:BY399)</f>
        <v/>
      </c>
      <c r="CA399" s="28" t="n"/>
      <c r="CB399" s="31" t="n"/>
      <c r="CC399" s="29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1" t="n"/>
      <c r="CE399" s="21" t="n"/>
      <c r="CF399" s="27">
        <f>SUM(CD399:CE399)</f>
        <v/>
      </c>
      <c r="CG399" s="28" t="n"/>
      <c r="CH399" s="31" t="n"/>
      <c r="CI399" s="29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1" t="n"/>
      <c r="CK399" s="21" t="n"/>
      <c r="CL399" s="27">
        <f>SUM(CJ399:CK399)</f>
        <v/>
      </c>
      <c r="CM399" s="28" t="n"/>
      <c r="CN399" s="31" t="n"/>
      <c r="CO399" s="29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1" t="n"/>
      <c r="CQ399" s="21" t="n"/>
      <c r="CR399" s="27">
        <f>SUM(CP399:CQ399)</f>
        <v/>
      </c>
      <c r="CS399" s="28" t="n"/>
      <c r="CT399" s="31" t="n"/>
      <c r="CU399" s="29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1" t="n"/>
      <c r="CW399" s="21" t="n"/>
      <c r="CX399" s="27">
        <f>SUM(CV399:CW399)</f>
        <v/>
      </c>
      <c r="CY399" s="28" t="n"/>
      <c r="CZ399" s="31" t="n"/>
      <c r="DA399" s="29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1" t="n"/>
      <c r="DC399" s="21" t="n"/>
      <c r="DD399" s="27">
        <f>SUM(DB399:DC399)</f>
        <v/>
      </c>
      <c r="DE399" s="28" t="n"/>
      <c r="DF399" s="31" t="n"/>
      <c r="DG399" s="29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34">
        <f>SUM(O399,U399,AA399,AG399,AM399,AS399,AY399,BE399,BK399,BQ399,BW399,CC399,CI399,CO399,CU399,DA399,DG399)</f>
        <v/>
      </c>
      <c r="DI399" s="39">
        <f>RANK(DH399,DH$4:DH$503)</f>
        <v/>
      </c>
      <c r="DJ399" s="40" t="inlineStr">
        <is>
          <t>CHOOSE RATING</t>
        </is>
      </c>
      <c r="DK399" s="40" t="inlineStr">
        <is>
          <t>CHOOSE RATING</t>
        </is>
      </c>
      <c r="DL399" s="40" t="inlineStr">
        <is>
          <t>CHOOSE RATING</t>
        </is>
      </c>
      <c r="DM399" s="40" t="inlineStr">
        <is>
          <t>CHOOSE RATING</t>
        </is>
      </c>
      <c r="DN399" s="40" t="inlineStr">
        <is>
          <t>CHOOSE RATING</t>
        </is>
      </c>
      <c r="DO399" s="40" t="inlineStr">
        <is>
          <t>CHOOSE RATING</t>
        </is>
      </c>
      <c r="DP399" s="40" t="inlineStr">
        <is>
          <t>CHOOSE RATING</t>
        </is>
      </c>
      <c r="DQ399" s="40" t="inlineStr">
        <is>
          <t>CHOOSE RATING</t>
        </is>
      </c>
      <c r="DR399" s="43" t="inlineStr">
        <is>
          <t>2024/2025</t>
        </is>
      </c>
      <c r="DS399" s="45" t="inlineStr">
        <is>
          <t>THIRD</t>
        </is>
      </c>
      <c r="DT399" s="40" t="inlineStr">
        <is>
          <t>CHOOSE RATING</t>
        </is>
      </c>
      <c r="DU399" s="40" t="inlineStr">
        <is>
          <t>CHOOSE RATING</t>
        </is>
      </c>
      <c r="DV399" s="40" t="inlineStr">
        <is>
          <t>CHOOSE RATING</t>
        </is>
      </c>
      <c r="DW399" s="40" t="inlineStr">
        <is>
          <t>CHOOSE RATING</t>
        </is>
      </c>
      <c r="DX399" s="40" t="inlineStr">
        <is>
          <t>CHOOSE RATING</t>
        </is>
      </c>
      <c r="DY399" s="40" t="inlineStr">
        <is>
          <t>CHOOSE RATING</t>
        </is>
      </c>
      <c r="DZ399" s="53" t="inlineStr">
        <is>
          <t>CHOOSE RATING</t>
        </is>
      </c>
      <c r="EA399" s="54" t="inlineStr">
        <is>
          <t>Add the Tutor's Comment . . .</t>
        </is>
      </c>
      <c r="EB399" s="55" t="inlineStr">
        <is>
          <t>Choose Principals comment</t>
        </is>
      </c>
      <c r="EC399" s="56" t="n"/>
      <c r="ED399" s="57" t="inlineStr">
        <is>
          <t>Next Term Begins on Monday, 22nd September, 2025</t>
        </is>
      </c>
    </row>
    <row r="400" ht="30.6" customHeight="1" s="6">
      <c r="A400" s="18" t="n">
        <v>397</v>
      </c>
      <c r="B400" s="19" t="n"/>
      <c r="C400" s="20" t="n"/>
      <c r="D400" s="128" t="n"/>
      <c r="E400" s="21" t="n"/>
      <c r="F400" s="22" t="n"/>
      <c r="G400" s="22" t="n"/>
      <c r="H400" s="22" t="n"/>
      <c r="I400" s="26">
        <f>G400-H400</f>
        <v/>
      </c>
      <c r="J400" s="21" t="n"/>
      <c r="K400" s="21" t="n"/>
      <c r="L400" s="27">
        <f>SUM(J400:K400)</f>
        <v/>
      </c>
      <c r="M400" s="28" t="n"/>
      <c r="N400" s="28" t="n"/>
      <c r="O400" s="29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1" t="n"/>
      <c r="Q400" s="21" t="n"/>
      <c r="R400" s="27">
        <f>SUM(P400:Q400)</f>
        <v/>
      </c>
      <c r="S400" s="28" t="n"/>
      <c r="T400" s="28" t="n"/>
      <c r="U400" s="29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1" t="n"/>
      <c r="W400" s="21" t="n"/>
      <c r="X400" s="27">
        <f>SUM(V400:W400)</f>
        <v/>
      </c>
      <c r="Y400" s="28" t="n"/>
      <c r="Z400" s="28" t="n"/>
      <c r="AA400" s="29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1" t="n"/>
      <c r="AC400" s="21" t="n"/>
      <c r="AD400" s="27">
        <f>SUM(AB400:AC400)</f>
        <v/>
      </c>
      <c r="AE400" s="28" t="n"/>
      <c r="AF400" s="28" t="n"/>
      <c r="AG400" s="29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1" t="n"/>
      <c r="AI400" s="21" t="n"/>
      <c r="AJ400" s="27">
        <f>SUM(AH400:AI400)</f>
        <v/>
      </c>
      <c r="AK400" s="28" t="n"/>
      <c r="AL400" s="28" t="n"/>
      <c r="AM400" s="29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1" t="n"/>
      <c r="AO400" s="21" t="n"/>
      <c r="AP400" s="27">
        <f>SUM(AN400:AO400)</f>
        <v/>
      </c>
      <c r="AQ400" s="28" t="n"/>
      <c r="AR400" s="30" t="n"/>
      <c r="AS400" s="29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1" t="n"/>
      <c r="AU400" s="21" t="n"/>
      <c r="AV400" s="27">
        <f>SUM(AT400:AU400)</f>
        <v/>
      </c>
      <c r="AW400" s="28" t="n"/>
      <c r="AX400" s="30" t="n"/>
      <c r="AY400" s="29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1" t="n"/>
      <c r="BA400" s="21" t="n"/>
      <c r="BB400" s="27">
        <f>SUM(AZ400:BA400)</f>
        <v/>
      </c>
      <c r="BC400" s="28" t="n"/>
      <c r="BD400" s="28" t="n"/>
      <c r="BE400" s="29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1" t="n"/>
      <c r="BG400" s="21" t="n"/>
      <c r="BH400" s="27">
        <f>SUM(BF400:BG400)</f>
        <v/>
      </c>
      <c r="BI400" s="28" t="n"/>
      <c r="BJ400" s="28" t="n"/>
      <c r="BK400" s="29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1" t="n"/>
      <c r="BM400" s="21" t="n"/>
      <c r="BN400" s="27">
        <f>SUM(BL400:BM400)</f>
        <v/>
      </c>
      <c r="BO400" s="28" t="n"/>
      <c r="BP400" s="31" t="n"/>
      <c r="BQ400" s="29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1" t="n"/>
      <c r="BS400" s="21" t="n"/>
      <c r="BT400" s="27">
        <f>SUM(BR400:BS400)</f>
        <v/>
      </c>
      <c r="BU400" s="28" t="n"/>
      <c r="BV400" s="31" t="n"/>
      <c r="BW400" s="29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1" t="n"/>
      <c r="BY400" s="21" t="n"/>
      <c r="BZ400" s="27">
        <f>SUM(BX400:BY400)</f>
        <v/>
      </c>
      <c r="CA400" s="28" t="n"/>
      <c r="CB400" s="31" t="n"/>
      <c r="CC400" s="29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1" t="n"/>
      <c r="CE400" s="21" t="n"/>
      <c r="CF400" s="27">
        <f>SUM(CD400:CE400)</f>
        <v/>
      </c>
      <c r="CG400" s="28" t="n"/>
      <c r="CH400" s="31" t="n"/>
      <c r="CI400" s="29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1" t="n"/>
      <c r="CK400" s="21" t="n"/>
      <c r="CL400" s="27">
        <f>SUM(CJ400:CK400)</f>
        <v/>
      </c>
      <c r="CM400" s="28" t="n"/>
      <c r="CN400" s="31" t="n"/>
      <c r="CO400" s="29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1" t="n"/>
      <c r="CQ400" s="21" t="n"/>
      <c r="CR400" s="27">
        <f>SUM(CP400:CQ400)</f>
        <v/>
      </c>
      <c r="CS400" s="28" t="n"/>
      <c r="CT400" s="31" t="n"/>
      <c r="CU400" s="29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1" t="n"/>
      <c r="CW400" s="21" t="n"/>
      <c r="CX400" s="27">
        <f>SUM(CV400:CW400)</f>
        <v/>
      </c>
      <c r="CY400" s="28" t="n"/>
      <c r="CZ400" s="31" t="n"/>
      <c r="DA400" s="29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1" t="n"/>
      <c r="DC400" s="21" t="n"/>
      <c r="DD400" s="27">
        <f>SUM(DB400:DC400)</f>
        <v/>
      </c>
      <c r="DE400" s="28" t="n"/>
      <c r="DF400" s="31" t="n"/>
      <c r="DG400" s="29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34">
        <f>SUM(O400,U400,AA400,AG400,AM400,AS400,AY400,BE400,BK400,BQ400,BW400,CC400,CI400,CO400,CU400,DA400,DG400)</f>
        <v/>
      </c>
      <c r="DI400" s="39">
        <f>RANK(DH400,DH$4:DH$503)</f>
        <v/>
      </c>
      <c r="DJ400" s="40" t="inlineStr">
        <is>
          <t>CHOOSE RATING</t>
        </is>
      </c>
      <c r="DK400" s="40" t="inlineStr">
        <is>
          <t>CHOOSE RATING</t>
        </is>
      </c>
      <c r="DL400" s="40" t="inlineStr">
        <is>
          <t>CHOOSE RATING</t>
        </is>
      </c>
      <c r="DM400" s="40" t="inlineStr">
        <is>
          <t>CHOOSE RATING</t>
        </is>
      </c>
      <c r="DN400" s="40" t="inlineStr">
        <is>
          <t>CHOOSE RATING</t>
        </is>
      </c>
      <c r="DO400" s="40" t="inlineStr">
        <is>
          <t>CHOOSE RATING</t>
        </is>
      </c>
      <c r="DP400" s="40" t="inlineStr">
        <is>
          <t>CHOOSE RATING</t>
        </is>
      </c>
      <c r="DQ400" s="40" t="inlineStr">
        <is>
          <t>CHOOSE RATING</t>
        </is>
      </c>
      <c r="DR400" s="43" t="inlineStr">
        <is>
          <t>2024/2025</t>
        </is>
      </c>
      <c r="DS400" s="45" t="inlineStr">
        <is>
          <t>THIRD</t>
        </is>
      </c>
      <c r="DT400" s="40" t="inlineStr">
        <is>
          <t>CHOOSE RATING</t>
        </is>
      </c>
      <c r="DU400" s="40" t="inlineStr">
        <is>
          <t>CHOOSE RATING</t>
        </is>
      </c>
      <c r="DV400" s="40" t="inlineStr">
        <is>
          <t>CHOOSE RATING</t>
        </is>
      </c>
      <c r="DW400" s="40" t="inlineStr">
        <is>
          <t>CHOOSE RATING</t>
        </is>
      </c>
      <c r="DX400" s="40" t="inlineStr">
        <is>
          <t>CHOOSE RATING</t>
        </is>
      </c>
      <c r="DY400" s="40" t="inlineStr">
        <is>
          <t>CHOOSE RATING</t>
        </is>
      </c>
      <c r="DZ400" s="53" t="inlineStr">
        <is>
          <t>CHOOSE RATING</t>
        </is>
      </c>
      <c r="EA400" s="54" t="inlineStr">
        <is>
          <t>Add the Tutor's Comment . . .</t>
        </is>
      </c>
      <c r="EB400" s="55" t="inlineStr">
        <is>
          <t>Choose Principals comment</t>
        </is>
      </c>
      <c r="EC400" s="56" t="n"/>
      <c r="ED400" s="57" t="inlineStr">
        <is>
          <t>Next Term Begins on Monday, 22nd September, 2025</t>
        </is>
      </c>
    </row>
    <row r="401" ht="30.6" customHeight="1" s="6">
      <c r="A401" s="18" t="n">
        <v>398</v>
      </c>
      <c r="B401" s="19" t="n"/>
      <c r="C401" s="20" t="n"/>
      <c r="D401" s="128" t="n"/>
      <c r="E401" s="21" t="n"/>
      <c r="F401" s="22" t="n"/>
      <c r="G401" s="22" t="n"/>
      <c r="H401" s="22" t="n"/>
      <c r="I401" s="26">
        <f>G401-H401</f>
        <v/>
      </c>
      <c r="J401" s="21" t="n"/>
      <c r="K401" s="21" t="n"/>
      <c r="L401" s="27">
        <f>SUM(J401:K401)</f>
        <v/>
      </c>
      <c r="M401" s="28" t="n"/>
      <c r="N401" s="28" t="n"/>
      <c r="O401" s="29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1" t="n"/>
      <c r="Q401" s="21" t="n"/>
      <c r="R401" s="27">
        <f>SUM(P401:Q401)</f>
        <v/>
      </c>
      <c r="S401" s="28" t="n"/>
      <c r="T401" s="28" t="n"/>
      <c r="U401" s="29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1" t="n"/>
      <c r="W401" s="21" t="n"/>
      <c r="X401" s="27">
        <f>SUM(V401:W401)</f>
        <v/>
      </c>
      <c r="Y401" s="28" t="n"/>
      <c r="Z401" s="28" t="n"/>
      <c r="AA401" s="29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1" t="n"/>
      <c r="AC401" s="21" t="n"/>
      <c r="AD401" s="27">
        <f>SUM(AB401:AC401)</f>
        <v/>
      </c>
      <c r="AE401" s="28" t="n"/>
      <c r="AF401" s="28" t="n"/>
      <c r="AG401" s="29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1" t="n"/>
      <c r="AI401" s="21" t="n"/>
      <c r="AJ401" s="27">
        <f>SUM(AH401:AI401)</f>
        <v/>
      </c>
      <c r="AK401" s="28" t="n"/>
      <c r="AL401" s="28" t="n"/>
      <c r="AM401" s="29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1" t="n"/>
      <c r="AO401" s="21" t="n"/>
      <c r="AP401" s="27">
        <f>SUM(AN401:AO401)</f>
        <v/>
      </c>
      <c r="AQ401" s="28" t="n"/>
      <c r="AR401" s="30" t="n"/>
      <c r="AS401" s="29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1" t="n"/>
      <c r="AU401" s="21" t="n"/>
      <c r="AV401" s="27">
        <f>SUM(AT401:AU401)</f>
        <v/>
      </c>
      <c r="AW401" s="28" t="n"/>
      <c r="AX401" s="30" t="n"/>
      <c r="AY401" s="29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1" t="n"/>
      <c r="BA401" s="21" t="n"/>
      <c r="BB401" s="27">
        <f>SUM(AZ401:BA401)</f>
        <v/>
      </c>
      <c r="BC401" s="28" t="n"/>
      <c r="BD401" s="28" t="n"/>
      <c r="BE401" s="29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1" t="n"/>
      <c r="BG401" s="21" t="n"/>
      <c r="BH401" s="27">
        <f>SUM(BF401:BG401)</f>
        <v/>
      </c>
      <c r="BI401" s="28" t="n"/>
      <c r="BJ401" s="28" t="n"/>
      <c r="BK401" s="29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1" t="n"/>
      <c r="BM401" s="21" t="n"/>
      <c r="BN401" s="27">
        <f>SUM(BL401:BM401)</f>
        <v/>
      </c>
      <c r="BO401" s="28" t="n"/>
      <c r="BP401" s="31" t="n"/>
      <c r="BQ401" s="29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1" t="n"/>
      <c r="BS401" s="21" t="n"/>
      <c r="BT401" s="27">
        <f>SUM(BR401:BS401)</f>
        <v/>
      </c>
      <c r="BU401" s="28" t="n"/>
      <c r="BV401" s="31" t="n"/>
      <c r="BW401" s="29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1" t="n"/>
      <c r="BY401" s="21" t="n"/>
      <c r="BZ401" s="27">
        <f>SUM(BX401:BY401)</f>
        <v/>
      </c>
      <c r="CA401" s="28" t="n"/>
      <c r="CB401" s="31" t="n"/>
      <c r="CC401" s="29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1" t="n"/>
      <c r="CE401" s="21" t="n"/>
      <c r="CF401" s="27">
        <f>SUM(CD401:CE401)</f>
        <v/>
      </c>
      <c r="CG401" s="28" t="n"/>
      <c r="CH401" s="31" t="n"/>
      <c r="CI401" s="29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1" t="n"/>
      <c r="CK401" s="21" t="n"/>
      <c r="CL401" s="27">
        <f>SUM(CJ401:CK401)</f>
        <v/>
      </c>
      <c r="CM401" s="28" t="n"/>
      <c r="CN401" s="31" t="n"/>
      <c r="CO401" s="29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1" t="n"/>
      <c r="CQ401" s="21" t="n"/>
      <c r="CR401" s="27">
        <f>SUM(CP401:CQ401)</f>
        <v/>
      </c>
      <c r="CS401" s="28" t="n"/>
      <c r="CT401" s="31" t="n"/>
      <c r="CU401" s="29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1" t="n"/>
      <c r="CW401" s="21" t="n"/>
      <c r="CX401" s="27">
        <f>SUM(CV401:CW401)</f>
        <v/>
      </c>
      <c r="CY401" s="28" t="n"/>
      <c r="CZ401" s="31" t="n"/>
      <c r="DA401" s="29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1" t="n"/>
      <c r="DC401" s="21" t="n"/>
      <c r="DD401" s="27">
        <f>SUM(DB401:DC401)</f>
        <v/>
      </c>
      <c r="DE401" s="28" t="n"/>
      <c r="DF401" s="31" t="n"/>
      <c r="DG401" s="29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34">
        <f>SUM(O401,U401,AA401,AG401,AM401,AS401,AY401,BE401,BK401,BQ401,BW401,CC401,CI401,CO401,CU401,DA401,DG401)</f>
        <v/>
      </c>
      <c r="DI401" s="39">
        <f>RANK(DH401,DH$4:DH$503)</f>
        <v/>
      </c>
      <c r="DJ401" s="40" t="inlineStr">
        <is>
          <t>CHOOSE RATING</t>
        </is>
      </c>
      <c r="DK401" s="40" t="inlineStr">
        <is>
          <t>CHOOSE RATING</t>
        </is>
      </c>
      <c r="DL401" s="40" t="inlineStr">
        <is>
          <t>CHOOSE RATING</t>
        </is>
      </c>
      <c r="DM401" s="40" t="inlineStr">
        <is>
          <t>CHOOSE RATING</t>
        </is>
      </c>
      <c r="DN401" s="40" t="inlineStr">
        <is>
          <t>CHOOSE RATING</t>
        </is>
      </c>
      <c r="DO401" s="40" t="inlineStr">
        <is>
          <t>CHOOSE RATING</t>
        </is>
      </c>
      <c r="DP401" s="40" t="inlineStr">
        <is>
          <t>CHOOSE RATING</t>
        </is>
      </c>
      <c r="DQ401" s="40" t="inlineStr">
        <is>
          <t>CHOOSE RATING</t>
        </is>
      </c>
      <c r="DR401" s="43" t="inlineStr">
        <is>
          <t>2024/2025</t>
        </is>
      </c>
      <c r="DS401" s="45" t="inlineStr">
        <is>
          <t>THIRD</t>
        </is>
      </c>
      <c r="DT401" s="40" t="inlineStr">
        <is>
          <t>CHOOSE RATING</t>
        </is>
      </c>
      <c r="DU401" s="40" t="inlineStr">
        <is>
          <t>CHOOSE RATING</t>
        </is>
      </c>
      <c r="DV401" s="40" t="inlineStr">
        <is>
          <t>CHOOSE RATING</t>
        </is>
      </c>
      <c r="DW401" s="40" t="inlineStr">
        <is>
          <t>CHOOSE RATING</t>
        </is>
      </c>
      <c r="DX401" s="40" t="inlineStr">
        <is>
          <t>CHOOSE RATING</t>
        </is>
      </c>
      <c r="DY401" s="40" t="inlineStr">
        <is>
          <t>CHOOSE RATING</t>
        </is>
      </c>
      <c r="DZ401" s="53" t="inlineStr">
        <is>
          <t>CHOOSE RATING</t>
        </is>
      </c>
      <c r="EA401" s="54" t="inlineStr">
        <is>
          <t>Add the Tutor's Comment . . .</t>
        </is>
      </c>
      <c r="EB401" s="55" t="inlineStr">
        <is>
          <t>Choose Principals comment</t>
        </is>
      </c>
      <c r="EC401" s="56" t="n"/>
      <c r="ED401" s="57" t="inlineStr">
        <is>
          <t>Next Term Begins on Monday, 22nd September, 2025</t>
        </is>
      </c>
    </row>
    <row r="402" ht="30.6" customHeight="1" s="6">
      <c r="A402" s="18" t="n">
        <v>399</v>
      </c>
      <c r="B402" s="19" t="n"/>
      <c r="C402" s="20" t="n"/>
      <c r="D402" s="128" t="n"/>
      <c r="E402" s="21" t="n"/>
      <c r="F402" s="22" t="n"/>
      <c r="G402" s="22" t="n"/>
      <c r="H402" s="22" t="n"/>
      <c r="I402" s="26">
        <f>G402-H402</f>
        <v/>
      </c>
      <c r="J402" s="21" t="n"/>
      <c r="K402" s="21" t="n"/>
      <c r="L402" s="27">
        <f>SUM(J402:K402)</f>
        <v/>
      </c>
      <c r="M402" s="28" t="n"/>
      <c r="N402" s="28" t="n"/>
      <c r="O402" s="29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1" t="n"/>
      <c r="Q402" s="21" t="n"/>
      <c r="R402" s="27">
        <f>SUM(P402:Q402)</f>
        <v/>
      </c>
      <c r="S402" s="28" t="n"/>
      <c r="T402" s="28" t="n"/>
      <c r="U402" s="29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1" t="n"/>
      <c r="W402" s="21" t="n"/>
      <c r="X402" s="27">
        <f>SUM(V402:W402)</f>
        <v/>
      </c>
      <c r="Y402" s="28" t="n"/>
      <c r="Z402" s="28" t="n"/>
      <c r="AA402" s="29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1" t="n"/>
      <c r="AC402" s="21" t="n"/>
      <c r="AD402" s="27">
        <f>SUM(AB402:AC402)</f>
        <v/>
      </c>
      <c r="AE402" s="28" t="n"/>
      <c r="AF402" s="28" t="n"/>
      <c r="AG402" s="29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1" t="n"/>
      <c r="AI402" s="21" t="n"/>
      <c r="AJ402" s="27">
        <f>SUM(AH402:AI402)</f>
        <v/>
      </c>
      <c r="AK402" s="28" t="n"/>
      <c r="AL402" s="28" t="n"/>
      <c r="AM402" s="29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1" t="n"/>
      <c r="AO402" s="21" t="n"/>
      <c r="AP402" s="27">
        <f>SUM(AN402:AO402)</f>
        <v/>
      </c>
      <c r="AQ402" s="28" t="n"/>
      <c r="AR402" s="30" t="n"/>
      <c r="AS402" s="29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1" t="n"/>
      <c r="AU402" s="21" t="n"/>
      <c r="AV402" s="27">
        <f>SUM(AT402:AU402)</f>
        <v/>
      </c>
      <c r="AW402" s="28" t="n"/>
      <c r="AX402" s="30" t="n"/>
      <c r="AY402" s="29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1" t="n"/>
      <c r="BA402" s="21" t="n"/>
      <c r="BB402" s="27">
        <f>SUM(AZ402:BA402)</f>
        <v/>
      </c>
      <c r="BC402" s="28" t="n"/>
      <c r="BD402" s="28" t="n"/>
      <c r="BE402" s="29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1" t="n"/>
      <c r="BG402" s="21" t="n"/>
      <c r="BH402" s="27">
        <f>SUM(BF402:BG402)</f>
        <v/>
      </c>
      <c r="BI402" s="28" t="n"/>
      <c r="BJ402" s="28" t="n"/>
      <c r="BK402" s="29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1" t="n"/>
      <c r="BM402" s="21" t="n"/>
      <c r="BN402" s="27">
        <f>SUM(BL402:BM402)</f>
        <v/>
      </c>
      <c r="BO402" s="28" t="n"/>
      <c r="BP402" s="31" t="n"/>
      <c r="BQ402" s="29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1" t="n"/>
      <c r="BS402" s="21" t="n"/>
      <c r="BT402" s="27">
        <f>SUM(BR402:BS402)</f>
        <v/>
      </c>
      <c r="BU402" s="28" t="n"/>
      <c r="BV402" s="31" t="n"/>
      <c r="BW402" s="29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1" t="n"/>
      <c r="BY402" s="21" t="n"/>
      <c r="BZ402" s="27">
        <f>SUM(BX402:BY402)</f>
        <v/>
      </c>
      <c r="CA402" s="28" t="n"/>
      <c r="CB402" s="31" t="n"/>
      <c r="CC402" s="29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1" t="n"/>
      <c r="CE402" s="21" t="n"/>
      <c r="CF402" s="27">
        <f>SUM(CD402:CE402)</f>
        <v/>
      </c>
      <c r="CG402" s="28" t="n"/>
      <c r="CH402" s="31" t="n"/>
      <c r="CI402" s="29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1" t="n"/>
      <c r="CK402" s="21" t="n"/>
      <c r="CL402" s="27">
        <f>SUM(CJ402:CK402)</f>
        <v/>
      </c>
      <c r="CM402" s="28" t="n"/>
      <c r="CN402" s="31" t="n"/>
      <c r="CO402" s="29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1" t="n"/>
      <c r="CQ402" s="21" t="n"/>
      <c r="CR402" s="27">
        <f>SUM(CP402:CQ402)</f>
        <v/>
      </c>
      <c r="CS402" s="28" t="n"/>
      <c r="CT402" s="31" t="n"/>
      <c r="CU402" s="29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1" t="n"/>
      <c r="CW402" s="21" t="n"/>
      <c r="CX402" s="27">
        <f>SUM(CV402:CW402)</f>
        <v/>
      </c>
      <c r="CY402" s="28" t="n"/>
      <c r="CZ402" s="31" t="n"/>
      <c r="DA402" s="29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1" t="n"/>
      <c r="DC402" s="21" t="n"/>
      <c r="DD402" s="27">
        <f>SUM(DB402:DC402)</f>
        <v/>
      </c>
      <c r="DE402" s="28" t="n"/>
      <c r="DF402" s="31" t="n"/>
      <c r="DG402" s="29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34">
        <f>SUM(O402,U402,AA402,AG402,AM402,AS402,AY402,BE402,BK402,BQ402,BW402,CC402,CI402,CO402,CU402,DA402,DG402)</f>
        <v/>
      </c>
      <c r="DI402" s="39">
        <f>RANK(DH402,DH$4:DH$503)</f>
        <v/>
      </c>
      <c r="DJ402" s="40" t="inlineStr">
        <is>
          <t>CHOOSE RATING</t>
        </is>
      </c>
      <c r="DK402" s="40" t="inlineStr">
        <is>
          <t>CHOOSE RATING</t>
        </is>
      </c>
      <c r="DL402" s="40" t="inlineStr">
        <is>
          <t>CHOOSE RATING</t>
        </is>
      </c>
      <c r="DM402" s="40" t="inlineStr">
        <is>
          <t>CHOOSE RATING</t>
        </is>
      </c>
      <c r="DN402" s="40" t="inlineStr">
        <is>
          <t>CHOOSE RATING</t>
        </is>
      </c>
      <c r="DO402" s="40" t="inlineStr">
        <is>
          <t>CHOOSE RATING</t>
        </is>
      </c>
      <c r="DP402" s="40" t="inlineStr">
        <is>
          <t>CHOOSE RATING</t>
        </is>
      </c>
      <c r="DQ402" s="40" t="inlineStr">
        <is>
          <t>CHOOSE RATING</t>
        </is>
      </c>
      <c r="DR402" s="43" t="inlineStr">
        <is>
          <t>2024/2025</t>
        </is>
      </c>
      <c r="DS402" s="45" t="inlineStr">
        <is>
          <t>THIRD</t>
        </is>
      </c>
      <c r="DT402" s="40" t="inlineStr">
        <is>
          <t>CHOOSE RATING</t>
        </is>
      </c>
      <c r="DU402" s="40" t="inlineStr">
        <is>
          <t>CHOOSE RATING</t>
        </is>
      </c>
      <c r="DV402" s="40" t="inlineStr">
        <is>
          <t>CHOOSE RATING</t>
        </is>
      </c>
      <c r="DW402" s="40" t="inlineStr">
        <is>
          <t>CHOOSE RATING</t>
        </is>
      </c>
      <c r="DX402" s="40" t="inlineStr">
        <is>
          <t>CHOOSE RATING</t>
        </is>
      </c>
      <c r="DY402" s="40" t="inlineStr">
        <is>
          <t>CHOOSE RATING</t>
        </is>
      </c>
      <c r="DZ402" s="53" t="inlineStr">
        <is>
          <t>CHOOSE RATING</t>
        </is>
      </c>
      <c r="EA402" s="54" t="inlineStr">
        <is>
          <t>Add the Tutor's Comment . . .</t>
        </is>
      </c>
      <c r="EB402" s="55" t="inlineStr">
        <is>
          <t>Choose Principals comment</t>
        </is>
      </c>
      <c r="EC402" s="56" t="n"/>
      <c r="ED402" s="57" t="inlineStr">
        <is>
          <t>Next Term Begins on Monday, 22nd September, 2025</t>
        </is>
      </c>
    </row>
    <row r="403" ht="30.6" customHeight="1" s="6">
      <c r="A403" s="18" t="n">
        <v>400</v>
      </c>
      <c r="B403" s="19" t="n"/>
      <c r="C403" s="20" t="n"/>
      <c r="D403" s="128" t="n"/>
      <c r="E403" s="21" t="n"/>
      <c r="F403" s="22" t="n"/>
      <c r="G403" s="22" t="n"/>
      <c r="H403" s="22" t="n"/>
      <c r="I403" s="26">
        <f>G403-H403</f>
        <v/>
      </c>
      <c r="J403" s="21" t="n"/>
      <c r="K403" s="21" t="n"/>
      <c r="L403" s="27">
        <f>SUM(J403:K403)</f>
        <v/>
      </c>
      <c r="M403" s="28" t="n"/>
      <c r="N403" s="28" t="n"/>
      <c r="O403" s="29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1" t="n"/>
      <c r="Q403" s="21" t="n"/>
      <c r="R403" s="27">
        <f>SUM(P403:Q403)</f>
        <v/>
      </c>
      <c r="S403" s="28" t="n"/>
      <c r="T403" s="28" t="n"/>
      <c r="U403" s="29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1" t="n"/>
      <c r="W403" s="21" t="n"/>
      <c r="X403" s="27">
        <f>SUM(V403:W403)</f>
        <v/>
      </c>
      <c r="Y403" s="28" t="n"/>
      <c r="Z403" s="28" t="n"/>
      <c r="AA403" s="29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1" t="n"/>
      <c r="AC403" s="21" t="n"/>
      <c r="AD403" s="27">
        <f>SUM(AB403:AC403)</f>
        <v/>
      </c>
      <c r="AE403" s="28" t="n"/>
      <c r="AF403" s="28" t="n"/>
      <c r="AG403" s="29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1" t="n"/>
      <c r="AI403" s="21" t="n"/>
      <c r="AJ403" s="27">
        <f>SUM(AH403:AI403)</f>
        <v/>
      </c>
      <c r="AK403" s="28" t="n"/>
      <c r="AL403" s="28" t="n"/>
      <c r="AM403" s="29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1" t="n"/>
      <c r="AO403" s="21" t="n"/>
      <c r="AP403" s="27">
        <f>SUM(AN403:AO403)</f>
        <v/>
      </c>
      <c r="AQ403" s="28" t="n"/>
      <c r="AR403" s="30" t="n"/>
      <c r="AS403" s="29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1" t="n"/>
      <c r="AU403" s="21" t="n"/>
      <c r="AV403" s="27">
        <f>SUM(AT403:AU403)</f>
        <v/>
      </c>
      <c r="AW403" s="28" t="n"/>
      <c r="AX403" s="30" t="n"/>
      <c r="AY403" s="29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1" t="n"/>
      <c r="BA403" s="21" t="n"/>
      <c r="BB403" s="27">
        <f>SUM(AZ403:BA403)</f>
        <v/>
      </c>
      <c r="BC403" s="28" t="n"/>
      <c r="BD403" s="28" t="n"/>
      <c r="BE403" s="29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1" t="n"/>
      <c r="BG403" s="21" t="n"/>
      <c r="BH403" s="27">
        <f>SUM(BF403:BG403)</f>
        <v/>
      </c>
      <c r="BI403" s="28" t="n"/>
      <c r="BJ403" s="28" t="n"/>
      <c r="BK403" s="29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1" t="n"/>
      <c r="BM403" s="21" t="n"/>
      <c r="BN403" s="27">
        <f>SUM(BL403:BM403)</f>
        <v/>
      </c>
      <c r="BO403" s="28" t="n"/>
      <c r="BP403" s="31" t="n"/>
      <c r="BQ403" s="29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1" t="n"/>
      <c r="BS403" s="21" t="n"/>
      <c r="BT403" s="27">
        <f>SUM(BR403:BS403)</f>
        <v/>
      </c>
      <c r="BU403" s="28" t="n"/>
      <c r="BV403" s="31" t="n"/>
      <c r="BW403" s="29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1" t="n"/>
      <c r="BY403" s="21" t="n"/>
      <c r="BZ403" s="27">
        <f>SUM(BX403:BY403)</f>
        <v/>
      </c>
      <c r="CA403" s="28" t="n"/>
      <c r="CB403" s="31" t="n"/>
      <c r="CC403" s="29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1" t="n"/>
      <c r="CE403" s="21" t="n"/>
      <c r="CF403" s="27">
        <f>SUM(CD403:CE403)</f>
        <v/>
      </c>
      <c r="CG403" s="28" t="n"/>
      <c r="CH403" s="31" t="n"/>
      <c r="CI403" s="29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1" t="n"/>
      <c r="CK403" s="21" t="n"/>
      <c r="CL403" s="27">
        <f>SUM(CJ403:CK403)</f>
        <v/>
      </c>
      <c r="CM403" s="28" t="n"/>
      <c r="CN403" s="31" t="n"/>
      <c r="CO403" s="29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1" t="n"/>
      <c r="CQ403" s="21" t="n"/>
      <c r="CR403" s="27">
        <f>SUM(CP403:CQ403)</f>
        <v/>
      </c>
      <c r="CS403" s="28" t="n"/>
      <c r="CT403" s="31" t="n"/>
      <c r="CU403" s="29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1" t="n"/>
      <c r="CW403" s="21" t="n"/>
      <c r="CX403" s="27">
        <f>SUM(CV403:CW403)</f>
        <v/>
      </c>
      <c r="CY403" s="28" t="n"/>
      <c r="CZ403" s="31" t="n"/>
      <c r="DA403" s="29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1" t="n"/>
      <c r="DC403" s="21" t="n"/>
      <c r="DD403" s="27">
        <f>SUM(DB403:DC403)</f>
        <v/>
      </c>
      <c r="DE403" s="28" t="n"/>
      <c r="DF403" s="31" t="n"/>
      <c r="DG403" s="29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34">
        <f>SUM(O403,U403,AA403,AG403,AM403,AS403,AY403,BE403,BK403,BQ403,BW403,CC403,CI403,CO403,CU403,DA403,DG403)</f>
        <v/>
      </c>
      <c r="DI403" s="39">
        <f>RANK(DH403,DH$4:DH$503)</f>
        <v/>
      </c>
      <c r="DJ403" s="40" t="inlineStr">
        <is>
          <t>CHOOSE RATING</t>
        </is>
      </c>
      <c r="DK403" s="40" t="inlineStr">
        <is>
          <t>CHOOSE RATING</t>
        </is>
      </c>
      <c r="DL403" s="40" t="inlineStr">
        <is>
          <t>CHOOSE RATING</t>
        </is>
      </c>
      <c r="DM403" s="40" t="inlineStr">
        <is>
          <t>CHOOSE RATING</t>
        </is>
      </c>
      <c r="DN403" s="40" t="inlineStr">
        <is>
          <t>CHOOSE RATING</t>
        </is>
      </c>
      <c r="DO403" s="40" t="inlineStr">
        <is>
          <t>CHOOSE RATING</t>
        </is>
      </c>
      <c r="DP403" s="40" t="inlineStr">
        <is>
          <t>CHOOSE RATING</t>
        </is>
      </c>
      <c r="DQ403" s="40" t="inlineStr">
        <is>
          <t>CHOOSE RATING</t>
        </is>
      </c>
      <c r="DR403" s="43" t="inlineStr">
        <is>
          <t>2024/2025</t>
        </is>
      </c>
      <c r="DS403" s="45" t="inlineStr">
        <is>
          <t>THIRD</t>
        </is>
      </c>
      <c r="DT403" s="40" t="inlineStr">
        <is>
          <t>CHOOSE RATING</t>
        </is>
      </c>
      <c r="DU403" s="40" t="inlineStr">
        <is>
          <t>CHOOSE RATING</t>
        </is>
      </c>
      <c r="DV403" s="40" t="inlineStr">
        <is>
          <t>CHOOSE RATING</t>
        </is>
      </c>
      <c r="DW403" s="40" t="inlineStr">
        <is>
          <t>CHOOSE RATING</t>
        </is>
      </c>
      <c r="DX403" s="40" t="inlineStr">
        <is>
          <t>CHOOSE RATING</t>
        </is>
      </c>
      <c r="DY403" s="40" t="inlineStr">
        <is>
          <t>CHOOSE RATING</t>
        </is>
      </c>
      <c r="DZ403" s="53" t="inlineStr">
        <is>
          <t>CHOOSE RATING</t>
        </is>
      </c>
      <c r="EA403" s="54" t="inlineStr">
        <is>
          <t>Add the Tutor's Comment . . .</t>
        </is>
      </c>
      <c r="EB403" s="55" t="inlineStr">
        <is>
          <t>Choose Principals comment</t>
        </is>
      </c>
      <c r="EC403" s="56" t="n"/>
      <c r="ED403" s="57" t="inlineStr">
        <is>
          <t>Next Term Begins on Monday, 22nd September, 2025</t>
        </is>
      </c>
    </row>
    <row r="404" ht="30.6" customHeight="1" s="6">
      <c r="A404" s="18" t="n">
        <v>401</v>
      </c>
      <c r="B404" s="19" t="n"/>
      <c r="C404" s="20" t="n"/>
      <c r="D404" s="128" t="n"/>
      <c r="E404" s="21" t="n"/>
      <c r="F404" s="22" t="n"/>
      <c r="G404" s="22" t="n"/>
      <c r="H404" s="22" t="n"/>
      <c r="I404" s="26">
        <f>G404-H404</f>
        <v/>
      </c>
      <c r="J404" s="21" t="n"/>
      <c r="K404" s="21" t="n"/>
      <c r="L404" s="27">
        <f>SUM(J404:K404)</f>
        <v/>
      </c>
      <c r="M404" s="28" t="n"/>
      <c r="N404" s="28" t="n"/>
      <c r="O404" s="29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1" t="n"/>
      <c r="Q404" s="21" t="n"/>
      <c r="R404" s="27">
        <f>SUM(P404:Q404)</f>
        <v/>
      </c>
      <c r="S404" s="28" t="n"/>
      <c r="T404" s="28" t="n"/>
      <c r="U404" s="29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1" t="n"/>
      <c r="W404" s="21" t="n"/>
      <c r="X404" s="27">
        <f>SUM(V404:W404)</f>
        <v/>
      </c>
      <c r="Y404" s="28" t="n"/>
      <c r="Z404" s="28" t="n"/>
      <c r="AA404" s="29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1" t="n"/>
      <c r="AC404" s="21" t="n"/>
      <c r="AD404" s="27">
        <f>SUM(AB404:AC404)</f>
        <v/>
      </c>
      <c r="AE404" s="28" t="n"/>
      <c r="AF404" s="28" t="n"/>
      <c r="AG404" s="29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1" t="n"/>
      <c r="AI404" s="21" t="n"/>
      <c r="AJ404" s="27">
        <f>SUM(AH404:AI404)</f>
        <v/>
      </c>
      <c r="AK404" s="28" t="n"/>
      <c r="AL404" s="28" t="n"/>
      <c r="AM404" s="29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1" t="n"/>
      <c r="AO404" s="21" t="n"/>
      <c r="AP404" s="27">
        <f>SUM(AN404:AO404)</f>
        <v/>
      </c>
      <c r="AQ404" s="28" t="n"/>
      <c r="AR404" s="30" t="n"/>
      <c r="AS404" s="29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1" t="n"/>
      <c r="AU404" s="21" t="n"/>
      <c r="AV404" s="27">
        <f>SUM(AT404:AU404)</f>
        <v/>
      </c>
      <c r="AW404" s="28" t="n"/>
      <c r="AX404" s="30" t="n"/>
      <c r="AY404" s="29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1" t="n"/>
      <c r="BA404" s="21" t="n"/>
      <c r="BB404" s="27">
        <f>SUM(AZ404:BA404)</f>
        <v/>
      </c>
      <c r="BC404" s="28" t="n"/>
      <c r="BD404" s="28" t="n"/>
      <c r="BE404" s="29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1" t="n"/>
      <c r="BG404" s="21" t="n"/>
      <c r="BH404" s="27">
        <f>SUM(BF404:BG404)</f>
        <v/>
      </c>
      <c r="BI404" s="28" t="n"/>
      <c r="BJ404" s="28" t="n"/>
      <c r="BK404" s="29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1" t="n"/>
      <c r="BM404" s="21" t="n"/>
      <c r="BN404" s="27">
        <f>SUM(BL404:BM404)</f>
        <v/>
      </c>
      <c r="BO404" s="28" t="n"/>
      <c r="BP404" s="31" t="n"/>
      <c r="BQ404" s="29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1" t="n"/>
      <c r="BS404" s="21" t="n"/>
      <c r="BT404" s="27">
        <f>SUM(BR404:BS404)</f>
        <v/>
      </c>
      <c r="BU404" s="28" t="n"/>
      <c r="BV404" s="31" t="n"/>
      <c r="BW404" s="29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1" t="n"/>
      <c r="BY404" s="21" t="n"/>
      <c r="BZ404" s="27">
        <f>SUM(BX404:BY404)</f>
        <v/>
      </c>
      <c r="CA404" s="28" t="n"/>
      <c r="CB404" s="31" t="n"/>
      <c r="CC404" s="29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1" t="n"/>
      <c r="CE404" s="21" t="n"/>
      <c r="CF404" s="27">
        <f>SUM(CD404:CE404)</f>
        <v/>
      </c>
      <c r="CG404" s="28" t="n"/>
      <c r="CH404" s="31" t="n"/>
      <c r="CI404" s="29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1" t="n"/>
      <c r="CK404" s="21" t="n"/>
      <c r="CL404" s="27">
        <f>SUM(CJ404:CK404)</f>
        <v/>
      </c>
      <c r="CM404" s="28" t="n"/>
      <c r="CN404" s="31" t="n"/>
      <c r="CO404" s="29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1" t="n"/>
      <c r="CQ404" s="21" t="n"/>
      <c r="CR404" s="27">
        <f>SUM(CP404:CQ404)</f>
        <v/>
      </c>
      <c r="CS404" s="28" t="n"/>
      <c r="CT404" s="31" t="n"/>
      <c r="CU404" s="29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1" t="n"/>
      <c r="CW404" s="21" t="n"/>
      <c r="CX404" s="27">
        <f>SUM(CV404:CW404)</f>
        <v/>
      </c>
      <c r="CY404" s="28" t="n"/>
      <c r="CZ404" s="31" t="n"/>
      <c r="DA404" s="29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1" t="n"/>
      <c r="DC404" s="21" t="n"/>
      <c r="DD404" s="27">
        <f>SUM(DB404:DC404)</f>
        <v/>
      </c>
      <c r="DE404" s="28" t="n"/>
      <c r="DF404" s="31" t="n"/>
      <c r="DG404" s="29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34">
        <f>SUM(O404,U404,AA404,AG404,AM404,AS404,AY404,BE404,BK404,BQ404,BW404,CC404,CI404,CO404,CU404,DA404,DG404)</f>
        <v/>
      </c>
      <c r="DI404" s="39">
        <f>RANK(DH404,DH$4:DH$503)</f>
        <v/>
      </c>
      <c r="DJ404" s="40" t="inlineStr">
        <is>
          <t>CHOOSE RATING</t>
        </is>
      </c>
      <c r="DK404" s="40" t="inlineStr">
        <is>
          <t>CHOOSE RATING</t>
        </is>
      </c>
      <c r="DL404" s="40" t="inlineStr">
        <is>
          <t>CHOOSE RATING</t>
        </is>
      </c>
      <c r="DM404" s="40" t="inlineStr">
        <is>
          <t>CHOOSE RATING</t>
        </is>
      </c>
      <c r="DN404" s="40" t="inlineStr">
        <is>
          <t>CHOOSE RATING</t>
        </is>
      </c>
      <c r="DO404" s="40" t="inlineStr">
        <is>
          <t>CHOOSE RATING</t>
        </is>
      </c>
      <c r="DP404" s="40" t="inlineStr">
        <is>
          <t>CHOOSE RATING</t>
        </is>
      </c>
      <c r="DQ404" s="40" t="inlineStr">
        <is>
          <t>CHOOSE RATING</t>
        </is>
      </c>
      <c r="DR404" s="43" t="inlineStr">
        <is>
          <t>2024/2025</t>
        </is>
      </c>
      <c r="DS404" s="45" t="inlineStr">
        <is>
          <t>THIRD</t>
        </is>
      </c>
      <c r="DT404" s="40" t="inlineStr">
        <is>
          <t>CHOOSE RATING</t>
        </is>
      </c>
      <c r="DU404" s="40" t="inlineStr">
        <is>
          <t>CHOOSE RATING</t>
        </is>
      </c>
      <c r="DV404" s="40" t="inlineStr">
        <is>
          <t>CHOOSE RATING</t>
        </is>
      </c>
      <c r="DW404" s="40" t="inlineStr">
        <is>
          <t>CHOOSE RATING</t>
        </is>
      </c>
      <c r="DX404" s="40" t="inlineStr">
        <is>
          <t>CHOOSE RATING</t>
        </is>
      </c>
      <c r="DY404" s="40" t="inlineStr">
        <is>
          <t>CHOOSE RATING</t>
        </is>
      </c>
      <c r="DZ404" s="53" t="inlineStr">
        <is>
          <t>CHOOSE RATING</t>
        </is>
      </c>
      <c r="EA404" s="54" t="inlineStr">
        <is>
          <t>Add the Tutor's Comment . . .</t>
        </is>
      </c>
      <c r="EB404" s="55" t="inlineStr">
        <is>
          <t>Choose Principals comment</t>
        </is>
      </c>
      <c r="EC404" s="56" t="n"/>
      <c r="ED404" s="57" t="inlineStr">
        <is>
          <t>Next Term Begins on Monday, 22nd September, 2025</t>
        </is>
      </c>
    </row>
    <row r="405" ht="30.6" customHeight="1" s="6">
      <c r="A405" s="18" t="n">
        <v>402</v>
      </c>
      <c r="B405" s="19" t="n"/>
      <c r="C405" s="20" t="n"/>
      <c r="D405" s="128" t="n"/>
      <c r="E405" s="21" t="n"/>
      <c r="F405" s="22" t="n"/>
      <c r="G405" s="22" t="n"/>
      <c r="H405" s="22" t="n"/>
      <c r="I405" s="26">
        <f>G405-H405</f>
        <v/>
      </c>
      <c r="J405" s="21" t="n"/>
      <c r="K405" s="21" t="n"/>
      <c r="L405" s="27">
        <f>SUM(J405:K405)</f>
        <v/>
      </c>
      <c r="M405" s="28" t="n"/>
      <c r="N405" s="28" t="n"/>
      <c r="O405" s="29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1" t="n"/>
      <c r="Q405" s="21" t="n"/>
      <c r="R405" s="27">
        <f>SUM(P405:Q405)</f>
        <v/>
      </c>
      <c r="S405" s="28" t="n"/>
      <c r="T405" s="28" t="n"/>
      <c r="U405" s="29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1" t="n"/>
      <c r="W405" s="21" t="n"/>
      <c r="X405" s="27">
        <f>SUM(V405:W405)</f>
        <v/>
      </c>
      <c r="Y405" s="28" t="n"/>
      <c r="Z405" s="28" t="n"/>
      <c r="AA405" s="29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1" t="n"/>
      <c r="AC405" s="21" t="n"/>
      <c r="AD405" s="27">
        <f>SUM(AB405:AC405)</f>
        <v/>
      </c>
      <c r="AE405" s="28" t="n"/>
      <c r="AF405" s="28" t="n"/>
      <c r="AG405" s="29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1" t="n"/>
      <c r="AI405" s="21" t="n"/>
      <c r="AJ405" s="27">
        <f>SUM(AH405:AI405)</f>
        <v/>
      </c>
      <c r="AK405" s="28" t="n"/>
      <c r="AL405" s="28" t="n"/>
      <c r="AM405" s="29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1" t="n"/>
      <c r="AO405" s="21" t="n"/>
      <c r="AP405" s="27">
        <f>SUM(AN405:AO405)</f>
        <v/>
      </c>
      <c r="AQ405" s="28" t="n"/>
      <c r="AR405" s="30" t="n"/>
      <c r="AS405" s="29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1" t="n"/>
      <c r="AU405" s="21" t="n"/>
      <c r="AV405" s="27">
        <f>SUM(AT405:AU405)</f>
        <v/>
      </c>
      <c r="AW405" s="28" t="n"/>
      <c r="AX405" s="30" t="n"/>
      <c r="AY405" s="29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1" t="n"/>
      <c r="BA405" s="21" t="n"/>
      <c r="BB405" s="27">
        <f>SUM(AZ405:BA405)</f>
        <v/>
      </c>
      <c r="BC405" s="28" t="n"/>
      <c r="BD405" s="28" t="n"/>
      <c r="BE405" s="29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1" t="n"/>
      <c r="BG405" s="21" t="n"/>
      <c r="BH405" s="27">
        <f>SUM(BF405:BG405)</f>
        <v/>
      </c>
      <c r="BI405" s="28" t="n"/>
      <c r="BJ405" s="28" t="n"/>
      <c r="BK405" s="29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1" t="n"/>
      <c r="BM405" s="21" t="n"/>
      <c r="BN405" s="27">
        <f>SUM(BL405:BM405)</f>
        <v/>
      </c>
      <c r="BO405" s="28" t="n"/>
      <c r="BP405" s="31" t="n"/>
      <c r="BQ405" s="29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1" t="n"/>
      <c r="BS405" s="21" t="n"/>
      <c r="BT405" s="27">
        <f>SUM(BR405:BS405)</f>
        <v/>
      </c>
      <c r="BU405" s="28" t="n"/>
      <c r="BV405" s="31" t="n"/>
      <c r="BW405" s="29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1" t="n"/>
      <c r="BY405" s="21" t="n"/>
      <c r="BZ405" s="27">
        <f>SUM(BX405:BY405)</f>
        <v/>
      </c>
      <c r="CA405" s="28" t="n"/>
      <c r="CB405" s="31" t="n"/>
      <c r="CC405" s="29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1" t="n"/>
      <c r="CE405" s="21" t="n"/>
      <c r="CF405" s="27">
        <f>SUM(CD405:CE405)</f>
        <v/>
      </c>
      <c r="CG405" s="28" t="n"/>
      <c r="CH405" s="31" t="n"/>
      <c r="CI405" s="29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1" t="n"/>
      <c r="CK405" s="21" t="n"/>
      <c r="CL405" s="27">
        <f>SUM(CJ405:CK405)</f>
        <v/>
      </c>
      <c r="CM405" s="28" t="n"/>
      <c r="CN405" s="31" t="n"/>
      <c r="CO405" s="29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1" t="n"/>
      <c r="CQ405" s="21" t="n"/>
      <c r="CR405" s="27">
        <f>SUM(CP405:CQ405)</f>
        <v/>
      </c>
      <c r="CS405" s="28" t="n"/>
      <c r="CT405" s="31" t="n"/>
      <c r="CU405" s="29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1" t="n"/>
      <c r="CW405" s="21" t="n"/>
      <c r="CX405" s="27">
        <f>SUM(CV405:CW405)</f>
        <v/>
      </c>
      <c r="CY405" s="28" t="n"/>
      <c r="CZ405" s="31" t="n"/>
      <c r="DA405" s="29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1" t="n"/>
      <c r="DC405" s="21" t="n"/>
      <c r="DD405" s="27">
        <f>SUM(DB405:DC405)</f>
        <v/>
      </c>
      <c r="DE405" s="28" t="n"/>
      <c r="DF405" s="31" t="n"/>
      <c r="DG405" s="29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34">
        <f>SUM(O405,U405,AA405,AG405,AM405,AS405,AY405,BE405,BK405,BQ405,BW405,CC405,CI405,CO405,CU405,DA405,DG405)</f>
        <v/>
      </c>
      <c r="DI405" s="39">
        <f>RANK(DH405,DH$4:DH$503)</f>
        <v/>
      </c>
      <c r="DJ405" s="40" t="inlineStr">
        <is>
          <t>CHOOSE RATING</t>
        </is>
      </c>
      <c r="DK405" s="40" t="inlineStr">
        <is>
          <t>CHOOSE RATING</t>
        </is>
      </c>
      <c r="DL405" s="40" t="inlineStr">
        <is>
          <t>CHOOSE RATING</t>
        </is>
      </c>
      <c r="DM405" s="40" t="inlineStr">
        <is>
          <t>CHOOSE RATING</t>
        </is>
      </c>
      <c r="DN405" s="40" t="inlineStr">
        <is>
          <t>CHOOSE RATING</t>
        </is>
      </c>
      <c r="DO405" s="40" t="inlineStr">
        <is>
          <t>CHOOSE RATING</t>
        </is>
      </c>
      <c r="DP405" s="40" t="inlineStr">
        <is>
          <t>CHOOSE RATING</t>
        </is>
      </c>
      <c r="DQ405" s="40" t="inlineStr">
        <is>
          <t>CHOOSE RATING</t>
        </is>
      </c>
      <c r="DR405" s="43" t="inlineStr">
        <is>
          <t>2024/2025</t>
        </is>
      </c>
      <c r="DS405" s="45" t="inlineStr">
        <is>
          <t>THIRD</t>
        </is>
      </c>
      <c r="DT405" s="40" t="inlineStr">
        <is>
          <t>CHOOSE RATING</t>
        </is>
      </c>
      <c r="DU405" s="40" t="inlineStr">
        <is>
          <t>CHOOSE RATING</t>
        </is>
      </c>
      <c r="DV405" s="40" t="inlineStr">
        <is>
          <t>CHOOSE RATING</t>
        </is>
      </c>
      <c r="DW405" s="40" t="inlineStr">
        <is>
          <t>CHOOSE RATING</t>
        </is>
      </c>
      <c r="DX405" s="40" t="inlineStr">
        <is>
          <t>CHOOSE RATING</t>
        </is>
      </c>
      <c r="DY405" s="40" t="inlineStr">
        <is>
          <t>CHOOSE RATING</t>
        </is>
      </c>
      <c r="DZ405" s="53" t="inlineStr">
        <is>
          <t>CHOOSE RATING</t>
        </is>
      </c>
      <c r="EA405" s="54" t="inlineStr">
        <is>
          <t>Add the Tutor's Comment . . .</t>
        </is>
      </c>
      <c r="EB405" s="55" t="inlineStr">
        <is>
          <t>Choose Principals comment</t>
        </is>
      </c>
      <c r="EC405" s="56" t="n"/>
      <c r="ED405" s="57" t="inlineStr">
        <is>
          <t>Next Term Begins on Monday, 22nd September, 2025</t>
        </is>
      </c>
    </row>
    <row r="406" ht="30.6" customHeight="1" s="6">
      <c r="A406" s="18" t="n">
        <v>403</v>
      </c>
      <c r="B406" s="19" t="n"/>
      <c r="C406" s="20" t="n"/>
      <c r="D406" s="128" t="n"/>
      <c r="E406" s="21" t="n"/>
      <c r="F406" s="22" t="n"/>
      <c r="G406" s="22" t="n"/>
      <c r="H406" s="22" t="n"/>
      <c r="I406" s="26">
        <f>G406-H406</f>
        <v/>
      </c>
      <c r="J406" s="21" t="n"/>
      <c r="K406" s="21" t="n"/>
      <c r="L406" s="27">
        <f>SUM(J406:K406)</f>
        <v/>
      </c>
      <c r="M406" s="28" t="n"/>
      <c r="N406" s="28" t="n"/>
      <c r="O406" s="29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1" t="n"/>
      <c r="Q406" s="21" t="n"/>
      <c r="R406" s="27">
        <f>SUM(P406:Q406)</f>
        <v/>
      </c>
      <c r="S406" s="28" t="n"/>
      <c r="T406" s="28" t="n"/>
      <c r="U406" s="29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1" t="n"/>
      <c r="W406" s="21" t="n"/>
      <c r="X406" s="27">
        <f>SUM(V406:W406)</f>
        <v/>
      </c>
      <c r="Y406" s="28" t="n"/>
      <c r="Z406" s="28" t="n"/>
      <c r="AA406" s="29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1" t="n"/>
      <c r="AC406" s="21" t="n"/>
      <c r="AD406" s="27">
        <f>SUM(AB406:AC406)</f>
        <v/>
      </c>
      <c r="AE406" s="28" t="n"/>
      <c r="AF406" s="28" t="n"/>
      <c r="AG406" s="29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1" t="n"/>
      <c r="AI406" s="21" t="n"/>
      <c r="AJ406" s="27">
        <f>SUM(AH406:AI406)</f>
        <v/>
      </c>
      <c r="AK406" s="28" t="n"/>
      <c r="AL406" s="28" t="n"/>
      <c r="AM406" s="29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1" t="n"/>
      <c r="AO406" s="21" t="n"/>
      <c r="AP406" s="27">
        <f>SUM(AN406:AO406)</f>
        <v/>
      </c>
      <c r="AQ406" s="28" t="n"/>
      <c r="AR406" s="30" t="n"/>
      <c r="AS406" s="29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1" t="n"/>
      <c r="AU406" s="21" t="n"/>
      <c r="AV406" s="27">
        <f>SUM(AT406:AU406)</f>
        <v/>
      </c>
      <c r="AW406" s="28" t="n"/>
      <c r="AX406" s="30" t="n"/>
      <c r="AY406" s="29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1" t="n"/>
      <c r="BA406" s="21" t="n"/>
      <c r="BB406" s="27">
        <f>SUM(AZ406:BA406)</f>
        <v/>
      </c>
      <c r="BC406" s="28" t="n"/>
      <c r="BD406" s="28" t="n"/>
      <c r="BE406" s="29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1" t="n"/>
      <c r="BG406" s="21" t="n"/>
      <c r="BH406" s="27">
        <f>SUM(BF406:BG406)</f>
        <v/>
      </c>
      <c r="BI406" s="28" t="n"/>
      <c r="BJ406" s="28" t="n"/>
      <c r="BK406" s="29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1" t="n"/>
      <c r="BM406" s="21" t="n"/>
      <c r="BN406" s="27">
        <f>SUM(BL406:BM406)</f>
        <v/>
      </c>
      <c r="BO406" s="28" t="n"/>
      <c r="BP406" s="31" t="n"/>
      <c r="BQ406" s="29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1" t="n"/>
      <c r="BS406" s="21" t="n"/>
      <c r="BT406" s="27">
        <f>SUM(BR406:BS406)</f>
        <v/>
      </c>
      <c r="BU406" s="28" t="n"/>
      <c r="BV406" s="31" t="n"/>
      <c r="BW406" s="29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1" t="n"/>
      <c r="BY406" s="21" t="n"/>
      <c r="BZ406" s="27">
        <f>SUM(BX406:BY406)</f>
        <v/>
      </c>
      <c r="CA406" s="28" t="n"/>
      <c r="CB406" s="31" t="n"/>
      <c r="CC406" s="29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1" t="n"/>
      <c r="CE406" s="21" t="n"/>
      <c r="CF406" s="27">
        <f>SUM(CD406:CE406)</f>
        <v/>
      </c>
      <c r="CG406" s="28" t="n"/>
      <c r="CH406" s="31" t="n"/>
      <c r="CI406" s="29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1" t="n"/>
      <c r="CK406" s="21" t="n"/>
      <c r="CL406" s="27">
        <f>SUM(CJ406:CK406)</f>
        <v/>
      </c>
      <c r="CM406" s="28" t="n"/>
      <c r="CN406" s="31" t="n"/>
      <c r="CO406" s="29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1" t="n"/>
      <c r="CQ406" s="21" t="n"/>
      <c r="CR406" s="27">
        <f>SUM(CP406:CQ406)</f>
        <v/>
      </c>
      <c r="CS406" s="28" t="n"/>
      <c r="CT406" s="31" t="n"/>
      <c r="CU406" s="29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1" t="n"/>
      <c r="CW406" s="21" t="n"/>
      <c r="CX406" s="27">
        <f>SUM(CV406:CW406)</f>
        <v/>
      </c>
      <c r="CY406" s="28" t="n"/>
      <c r="CZ406" s="31" t="n"/>
      <c r="DA406" s="29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1" t="n"/>
      <c r="DC406" s="21" t="n"/>
      <c r="DD406" s="27">
        <f>SUM(DB406:DC406)</f>
        <v/>
      </c>
      <c r="DE406" s="28" t="n"/>
      <c r="DF406" s="31" t="n"/>
      <c r="DG406" s="29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34">
        <f>SUM(O406,U406,AA406,AG406,AM406,AS406,AY406,BE406,BK406,BQ406,BW406,CC406,CI406,CO406,CU406,DA406,DG406)</f>
        <v/>
      </c>
      <c r="DI406" s="39">
        <f>RANK(DH406,DH$4:DH$503)</f>
        <v/>
      </c>
      <c r="DJ406" s="40" t="inlineStr">
        <is>
          <t>CHOOSE RATING</t>
        </is>
      </c>
      <c r="DK406" s="40" t="inlineStr">
        <is>
          <t>CHOOSE RATING</t>
        </is>
      </c>
      <c r="DL406" s="40" t="inlineStr">
        <is>
          <t>CHOOSE RATING</t>
        </is>
      </c>
      <c r="DM406" s="40" t="inlineStr">
        <is>
          <t>CHOOSE RATING</t>
        </is>
      </c>
      <c r="DN406" s="40" t="inlineStr">
        <is>
          <t>CHOOSE RATING</t>
        </is>
      </c>
      <c r="DO406" s="40" t="inlineStr">
        <is>
          <t>CHOOSE RATING</t>
        </is>
      </c>
      <c r="DP406" s="40" t="inlineStr">
        <is>
          <t>CHOOSE RATING</t>
        </is>
      </c>
      <c r="DQ406" s="40" t="inlineStr">
        <is>
          <t>CHOOSE RATING</t>
        </is>
      </c>
      <c r="DR406" s="43" t="inlineStr">
        <is>
          <t>2024/2025</t>
        </is>
      </c>
      <c r="DS406" s="45" t="inlineStr">
        <is>
          <t>THIRD</t>
        </is>
      </c>
      <c r="DT406" s="40" t="inlineStr">
        <is>
          <t>CHOOSE RATING</t>
        </is>
      </c>
      <c r="DU406" s="40" t="inlineStr">
        <is>
          <t>CHOOSE RATING</t>
        </is>
      </c>
      <c r="DV406" s="40" t="inlineStr">
        <is>
          <t>CHOOSE RATING</t>
        </is>
      </c>
      <c r="DW406" s="40" t="inlineStr">
        <is>
          <t>CHOOSE RATING</t>
        </is>
      </c>
      <c r="DX406" s="40" t="inlineStr">
        <is>
          <t>CHOOSE RATING</t>
        </is>
      </c>
      <c r="DY406" s="40" t="inlineStr">
        <is>
          <t>CHOOSE RATING</t>
        </is>
      </c>
      <c r="DZ406" s="53" t="inlineStr">
        <is>
          <t>CHOOSE RATING</t>
        </is>
      </c>
      <c r="EA406" s="54" t="inlineStr">
        <is>
          <t>Add the Tutor's Comment . . .</t>
        </is>
      </c>
      <c r="EB406" s="55" t="inlineStr">
        <is>
          <t>Choose Principals comment</t>
        </is>
      </c>
      <c r="EC406" s="56" t="n"/>
      <c r="ED406" s="57" t="inlineStr">
        <is>
          <t>Next Term Begins on Monday, 22nd September, 2025</t>
        </is>
      </c>
    </row>
    <row r="407" ht="30.6" customHeight="1" s="6">
      <c r="A407" s="18" t="n">
        <v>404</v>
      </c>
      <c r="B407" s="19" t="n"/>
      <c r="C407" s="20" t="n"/>
      <c r="D407" s="128" t="n"/>
      <c r="E407" s="21" t="n"/>
      <c r="F407" s="22" t="n"/>
      <c r="G407" s="22" t="n"/>
      <c r="H407" s="22" t="n"/>
      <c r="I407" s="26">
        <f>G407-H407</f>
        <v/>
      </c>
      <c r="J407" s="21" t="n"/>
      <c r="K407" s="21" t="n"/>
      <c r="L407" s="27">
        <f>SUM(J407:K407)</f>
        <v/>
      </c>
      <c r="M407" s="28" t="n"/>
      <c r="N407" s="28" t="n"/>
      <c r="O407" s="29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1" t="n"/>
      <c r="Q407" s="21" t="n"/>
      <c r="R407" s="27">
        <f>SUM(P407:Q407)</f>
        <v/>
      </c>
      <c r="S407" s="28" t="n"/>
      <c r="T407" s="28" t="n"/>
      <c r="U407" s="29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1" t="n"/>
      <c r="W407" s="21" t="n"/>
      <c r="X407" s="27">
        <f>SUM(V407:W407)</f>
        <v/>
      </c>
      <c r="Y407" s="28" t="n"/>
      <c r="Z407" s="28" t="n"/>
      <c r="AA407" s="29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1" t="n"/>
      <c r="AC407" s="21" t="n"/>
      <c r="AD407" s="27">
        <f>SUM(AB407:AC407)</f>
        <v/>
      </c>
      <c r="AE407" s="28" t="n"/>
      <c r="AF407" s="28" t="n"/>
      <c r="AG407" s="29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1" t="n"/>
      <c r="AI407" s="21" t="n"/>
      <c r="AJ407" s="27">
        <f>SUM(AH407:AI407)</f>
        <v/>
      </c>
      <c r="AK407" s="28" t="n"/>
      <c r="AL407" s="28" t="n"/>
      <c r="AM407" s="29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1" t="n"/>
      <c r="AO407" s="21" t="n"/>
      <c r="AP407" s="27">
        <f>SUM(AN407:AO407)</f>
        <v/>
      </c>
      <c r="AQ407" s="28" t="n"/>
      <c r="AR407" s="30" t="n"/>
      <c r="AS407" s="29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1" t="n"/>
      <c r="AU407" s="21" t="n"/>
      <c r="AV407" s="27">
        <f>SUM(AT407:AU407)</f>
        <v/>
      </c>
      <c r="AW407" s="28" t="n"/>
      <c r="AX407" s="30" t="n"/>
      <c r="AY407" s="29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1" t="n"/>
      <c r="BA407" s="21" t="n"/>
      <c r="BB407" s="27">
        <f>SUM(AZ407:BA407)</f>
        <v/>
      </c>
      <c r="BC407" s="28" t="n"/>
      <c r="BD407" s="28" t="n"/>
      <c r="BE407" s="29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1" t="n"/>
      <c r="BG407" s="21" t="n"/>
      <c r="BH407" s="27">
        <f>SUM(BF407:BG407)</f>
        <v/>
      </c>
      <c r="BI407" s="28" t="n"/>
      <c r="BJ407" s="28" t="n"/>
      <c r="BK407" s="29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1" t="n"/>
      <c r="BM407" s="21" t="n"/>
      <c r="BN407" s="27">
        <f>SUM(BL407:BM407)</f>
        <v/>
      </c>
      <c r="BO407" s="28" t="n"/>
      <c r="BP407" s="31" t="n"/>
      <c r="BQ407" s="29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1" t="n"/>
      <c r="BS407" s="21" t="n"/>
      <c r="BT407" s="27">
        <f>SUM(BR407:BS407)</f>
        <v/>
      </c>
      <c r="BU407" s="28" t="n"/>
      <c r="BV407" s="31" t="n"/>
      <c r="BW407" s="29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1" t="n"/>
      <c r="BY407" s="21" t="n"/>
      <c r="BZ407" s="27">
        <f>SUM(BX407:BY407)</f>
        <v/>
      </c>
      <c r="CA407" s="28" t="n"/>
      <c r="CB407" s="31" t="n"/>
      <c r="CC407" s="29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1" t="n"/>
      <c r="CE407" s="21" t="n"/>
      <c r="CF407" s="27">
        <f>SUM(CD407:CE407)</f>
        <v/>
      </c>
      <c r="CG407" s="28" t="n"/>
      <c r="CH407" s="31" t="n"/>
      <c r="CI407" s="29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1" t="n"/>
      <c r="CK407" s="21" t="n"/>
      <c r="CL407" s="27">
        <f>SUM(CJ407:CK407)</f>
        <v/>
      </c>
      <c r="CM407" s="28" t="n"/>
      <c r="CN407" s="31" t="n"/>
      <c r="CO407" s="29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1" t="n"/>
      <c r="CQ407" s="21" t="n"/>
      <c r="CR407" s="27">
        <f>SUM(CP407:CQ407)</f>
        <v/>
      </c>
      <c r="CS407" s="28" t="n"/>
      <c r="CT407" s="31" t="n"/>
      <c r="CU407" s="29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1" t="n"/>
      <c r="CW407" s="21" t="n"/>
      <c r="CX407" s="27">
        <f>SUM(CV407:CW407)</f>
        <v/>
      </c>
      <c r="CY407" s="28" t="n"/>
      <c r="CZ407" s="31" t="n"/>
      <c r="DA407" s="29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1" t="n"/>
      <c r="DC407" s="21" t="n"/>
      <c r="DD407" s="27">
        <f>SUM(DB407:DC407)</f>
        <v/>
      </c>
      <c r="DE407" s="28" t="n"/>
      <c r="DF407" s="31" t="n"/>
      <c r="DG407" s="29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34">
        <f>SUM(O407,U407,AA407,AG407,AM407,AS407,AY407,BE407,BK407,BQ407,BW407,CC407,CI407,CO407,CU407,DA407,DG407)</f>
        <v/>
      </c>
      <c r="DI407" s="39">
        <f>RANK(DH407,DH$4:DH$503)</f>
        <v/>
      </c>
      <c r="DJ407" s="40" t="inlineStr">
        <is>
          <t>CHOOSE RATING</t>
        </is>
      </c>
      <c r="DK407" s="40" t="inlineStr">
        <is>
          <t>CHOOSE RATING</t>
        </is>
      </c>
      <c r="DL407" s="40" t="inlineStr">
        <is>
          <t>CHOOSE RATING</t>
        </is>
      </c>
      <c r="DM407" s="40" t="inlineStr">
        <is>
          <t>CHOOSE RATING</t>
        </is>
      </c>
      <c r="DN407" s="40" t="inlineStr">
        <is>
          <t>CHOOSE RATING</t>
        </is>
      </c>
      <c r="DO407" s="40" t="inlineStr">
        <is>
          <t>CHOOSE RATING</t>
        </is>
      </c>
      <c r="DP407" s="40" t="inlineStr">
        <is>
          <t>CHOOSE RATING</t>
        </is>
      </c>
      <c r="DQ407" s="40" t="inlineStr">
        <is>
          <t>CHOOSE RATING</t>
        </is>
      </c>
      <c r="DR407" s="43" t="inlineStr">
        <is>
          <t>2024/2025</t>
        </is>
      </c>
      <c r="DS407" s="45" t="inlineStr">
        <is>
          <t>THIRD</t>
        </is>
      </c>
      <c r="DT407" s="40" t="inlineStr">
        <is>
          <t>CHOOSE RATING</t>
        </is>
      </c>
      <c r="DU407" s="40" t="inlineStr">
        <is>
          <t>CHOOSE RATING</t>
        </is>
      </c>
      <c r="DV407" s="40" t="inlineStr">
        <is>
          <t>CHOOSE RATING</t>
        </is>
      </c>
      <c r="DW407" s="40" t="inlineStr">
        <is>
          <t>CHOOSE RATING</t>
        </is>
      </c>
      <c r="DX407" s="40" t="inlineStr">
        <is>
          <t>CHOOSE RATING</t>
        </is>
      </c>
      <c r="DY407" s="40" t="inlineStr">
        <is>
          <t>CHOOSE RATING</t>
        </is>
      </c>
      <c r="DZ407" s="53" t="inlineStr">
        <is>
          <t>CHOOSE RATING</t>
        </is>
      </c>
      <c r="EA407" s="54" t="inlineStr">
        <is>
          <t>Add the Tutor's Comment . . .</t>
        </is>
      </c>
      <c r="EB407" s="55" t="inlineStr">
        <is>
          <t>Choose Principals comment</t>
        </is>
      </c>
      <c r="EC407" s="56" t="n"/>
      <c r="ED407" s="57" t="inlineStr">
        <is>
          <t>Next Term Begins on Monday, 22nd September, 2025</t>
        </is>
      </c>
    </row>
    <row r="408" ht="30.6" customHeight="1" s="6">
      <c r="A408" s="18" t="n">
        <v>405</v>
      </c>
      <c r="B408" s="19" t="n"/>
      <c r="C408" s="20" t="n"/>
      <c r="D408" s="128" t="n"/>
      <c r="E408" s="21" t="n"/>
      <c r="F408" s="22" t="n"/>
      <c r="G408" s="22" t="n"/>
      <c r="H408" s="22" t="n"/>
      <c r="I408" s="26">
        <f>G408-H408</f>
        <v/>
      </c>
      <c r="J408" s="21" t="n"/>
      <c r="K408" s="21" t="n"/>
      <c r="L408" s="27">
        <f>SUM(J408:K408)</f>
        <v/>
      </c>
      <c r="M408" s="28" t="n"/>
      <c r="N408" s="28" t="n"/>
      <c r="O408" s="29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1" t="n"/>
      <c r="Q408" s="21" t="n"/>
      <c r="R408" s="27">
        <f>SUM(P408:Q408)</f>
        <v/>
      </c>
      <c r="S408" s="28" t="n"/>
      <c r="T408" s="28" t="n"/>
      <c r="U408" s="29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1" t="n"/>
      <c r="W408" s="21" t="n"/>
      <c r="X408" s="27">
        <f>SUM(V408:W408)</f>
        <v/>
      </c>
      <c r="Y408" s="28" t="n"/>
      <c r="Z408" s="28" t="n"/>
      <c r="AA408" s="29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1" t="n"/>
      <c r="AC408" s="21" t="n"/>
      <c r="AD408" s="27">
        <f>SUM(AB408:AC408)</f>
        <v/>
      </c>
      <c r="AE408" s="28" t="n"/>
      <c r="AF408" s="28" t="n"/>
      <c r="AG408" s="29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1" t="n"/>
      <c r="AI408" s="21" t="n"/>
      <c r="AJ408" s="27">
        <f>SUM(AH408:AI408)</f>
        <v/>
      </c>
      <c r="AK408" s="28" t="n"/>
      <c r="AL408" s="28" t="n"/>
      <c r="AM408" s="29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1" t="n"/>
      <c r="AO408" s="21" t="n"/>
      <c r="AP408" s="27">
        <f>SUM(AN408:AO408)</f>
        <v/>
      </c>
      <c r="AQ408" s="28" t="n"/>
      <c r="AR408" s="30" t="n"/>
      <c r="AS408" s="29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1" t="n"/>
      <c r="AU408" s="21" t="n"/>
      <c r="AV408" s="27">
        <f>SUM(AT408:AU408)</f>
        <v/>
      </c>
      <c r="AW408" s="28" t="n"/>
      <c r="AX408" s="30" t="n"/>
      <c r="AY408" s="29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1" t="n"/>
      <c r="BA408" s="21" t="n"/>
      <c r="BB408" s="27">
        <f>SUM(AZ408:BA408)</f>
        <v/>
      </c>
      <c r="BC408" s="28" t="n"/>
      <c r="BD408" s="28" t="n"/>
      <c r="BE408" s="29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1" t="n"/>
      <c r="BG408" s="21" t="n"/>
      <c r="BH408" s="27">
        <f>SUM(BF408:BG408)</f>
        <v/>
      </c>
      <c r="BI408" s="28" t="n"/>
      <c r="BJ408" s="28" t="n"/>
      <c r="BK408" s="29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1" t="n"/>
      <c r="BM408" s="21" t="n"/>
      <c r="BN408" s="27">
        <f>SUM(BL408:BM408)</f>
        <v/>
      </c>
      <c r="BO408" s="28" t="n"/>
      <c r="BP408" s="31" t="n"/>
      <c r="BQ408" s="29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1" t="n"/>
      <c r="BS408" s="21" t="n"/>
      <c r="BT408" s="27">
        <f>SUM(BR408:BS408)</f>
        <v/>
      </c>
      <c r="BU408" s="28" t="n"/>
      <c r="BV408" s="31" t="n"/>
      <c r="BW408" s="29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1" t="n"/>
      <c r="BY408" s="21" t="n"/>
      <c r="BZ408" s="27">
        <f>SUM(BX408:BY408)</f>
        <v/>
      </c>
      <c r="CA408" s="28" t="n"/>
      <c r="CB408" s="31" t="n"/>
      <c r="CC408" s="29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1" t="n"/>
      <c r="CE408" s="21" t="n"/>
      <c r="CF408" s="27">
        <f>SUM(CD408:CE408)</f>
        <v/>
      </c>
      <c r="CG408" s="28" t="n"/>
      <c r="CH408" s="31" t="n"/>
      <c r="CI408" s="29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1" t="n"/>
      <c r="CK408" s="21" t="n"/>
      <c r="CL408" s="27">
        <f>SUM(CJ408:CK408)</f>
        <v/>
      </c>
      <c r="CM408" s="28" t="n"/>
      <c r="CN408" s="31" t="n"/>
      <c r="CO408" s="29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1" t="n"/>
      <c r="CQ408" s="21" t="n"/>
      <c r="CR408" s="27">
        <f>SUM(CP408:CQ408)</f>
        <v/>
      </c>
      <c r="CS408" s="28" t="n"/>
      <c r="CT408" s="31" t="n"/>
      <c r="CU408" s="29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1" t="n"/>
      <c r="CW408" s="21" t="n"/>
      <c r="CX408" s="27">
        <f>SUM(CV408:CW408)</f>
        <v/>
      </c>
      <c r="CY408" s="28" t="n"/>
      <c r="CZ408" s="31" t="n"/>
      <c r="DA408" s="29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1" t="n"/>
      <c r="DC408" s="21" t="n"/>
      <c r="DD408" s="27">
        <f>SUM(DB408:DC408)</f>
        <v/>
      </c>
      <c r="DE408" s="28" t="n"/>
      <c r="DF408" s="31" t="n"/>
      <c r="DG408" s="29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34">
        <f>SUM(O408,U408,AA408,AG408,AM408,AS408,AY408,BE408,BK408,BQ408,BW408,CC408,CI408,CO408,CU408,DA408,DG408)</f>
        <v/>
      </c>
      <c r="DI408" s="39">
        <f>RANK(DH408,DH$4:DH$503)</f>
        <v/>
      </c>
      <c r="DJ408" s="40" t="inlineStr">
        <is>
          <t>CHOOSE RATING</t>
        </is>
      </c>
      <c r="DK408" s="40" t="inlineStr">
        <is>
          <t>CHOOSE RATING</t>
        </is>
      </c>
      <c r="DL408" s="40" t="inlineStr">
        <is>
          <t>CHOOSE RATING</t>
        </is>
      </c>
      <c r="DM408" s="40" t="inlineStr">
        <is>
          <t>CHOOSE RATING</t>
        </is>
      </c>
      <c r="DN408" s="40" t="inlineStr">
        <is>
          <t>CHOOSE RATING</t>
        </is>
      </c>
      <c r="DO408" s="40" t="inlineStr">
        <is>
          <t>CHOOSE RATING</t>
        </is>
      </c>
      <c r="DP408" s="40" t="inlineStr">
        <is>
          <t>CHOOSE RATING</t>
        </is>
      </c>
      <c r="DQ408" s="40" t="inlineStr">
        <is>
          <t>CHOOSE RATING</t>
        </is>
      </c>
      <c r="DR408" s="43" t="inlineStr">
        <is>
          <t>2024/2025</t>
        </is>
      </c>
      <c r="DS408" s="45" t="inlineStr">
        <is>
          <t>THIRD</t>
        </is>
      </c>
      <c r="DT408" s="40" t="inlineStr">
        <is>
          <t>CHOOSE RATING</t>
        </is>
      </c>
      <c r="DU408" s="40" t="inlineStr">
        <is>
          <t>CHOOSE RATING</t>
        </is>
      </c>
      <c r="DV408" s="40" t="inlineStr">
        <is>
          <t>CHOOSE RATING</t>
        </is>
      </c>
      <c r="DW408" s="40" t="inlineStr">
        <is>
          <t>CHOOSE RATING</t>
        </is>
      </c>
      <c r="DX408" s="40" t="inlineStr">
        <is>
          <t>CHOOSE RATING</t>
        </is>
      </c>
      <c r="DY408" s="40" t="inlineStr">
        <is>
          <t>CHOOSE RATING</t>
        </is>
      </c>
      <c r="DZ408" s="53" t="inlineStr">
        <is>
          <t>CHOOSE RATING</t>
        </is>
      </c>
      <c r="EA408" s="54" t="inlineStr">
        <is>
          <t>Add the Tutor's Comment . . .</t>
        </is>
      </c>
      <c r="EB408" s="55" t="inlineStr">
        <is>
          <t>Choose Principals comment</t>
        </is>
      </c>
      <c r="EC408" s="56" t="n"/>
      <c r="ED408" s="57" t="inlineStr">
        <is>
          <t>Next Term Begins on Monday, 22nd September, 2025</t>
        </is>
      </c>
    </row>
    <row r="409" ht="30.6" customHeight="1" s="6">
      <c r="A409" s="18" t="n">
        <v>406</v>
      </c>
      <c r="B409" s="19" t="n"/>
      <c r="C409" s="20" t="n"/>
      <c r="D409" s="128" t="n"/>
      <c r="E409" s="21" t="n"/>
      <c r="F409" s="22" t="n"/>
      <c r="G409" s="22" t="n"/>
      <c r="H409" s="22" t="n"/>
      <c r="I409" s="26">
        <f>G409-H409</f>
        <v/>
      </c>
      <c r="J409" s="21" t="n"/>
      <c r="K409" s="21" t="n"/>
      <c r="L409" s="27">
        <f>SUM(J409:K409)</f>
        <v/>
      </c>
      <c r="M409" s="28" t="n"/>
      <c r="N409" s="28" t="n"/>
      <c r="O409" s="29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1" t="n"/>
      <c r="Q409" s="21" t="n"/>
      <c r="R409" s="27">
        <f>SUM(P409:Q409)</f>
        <v/>
      </c>
      <c r="S409" s="28" t="n"/>
      <c r="T409" s="28" t="n"/>
      <c r="U409" s="29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1" t="n"/>
      <c r="W409" s="21" t="n"/>
      <c r="X409" s="27">
        <f>SUM(V409:W409)</f>
        <v/>
      </c>
      <c r="Y409" s="28" t="n"/>
      <c r="Z409" s="28" t="n"/>
      <c r="AA409" s="29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1" t="n"/>
      <c r="AC409" s="21" t="n"/>
      <c r="AD409" s="27">
        <f>SUM(AB409:AC409)</f>
        <v/>
      </c>
      <c r="AE409" s="28" t="n"/>
      <c r="AF409" s="28" t="n"/>
      <c r="AG409" s="29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1" t="n"/>
      <c r="AI409" s="21" t="n"/>
      <c r="AJ409" s="27">
        <f>SUM(AH409:AI409)</f>
        <v/>
      </c>
      <c r="AK409" s="28" t="n"/>
      <c r="AL409" s="28" t="n"/>
      <c r="AM409" s="29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1" t="n"/>
      <c r="AO409" s="21" t="n"/>
      <c r="AP409" s="27">
        <f>SUM(AN409:AO409)</f>
        <v/>
      </c>
      <c r="AQ409" s="28" t="n"/>
      <c r="AR409" s="30" t="n"/>
      <c r="AS409" s="29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1" t="n"/>
      <c r="AU409" s="21" t="n"/>
      <c r="AV409" s="27">
        <f>SUM(AT409:AU409)</f>
        <v/>
      </c>
      <c r="AW409" s="28" t="n"/>
      <c r="AX409" s="30" t="n"/>
      <c r="AY409" s="29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1" t="n"/>
      <c r="BA409" s="21" t="n"/>
      <c r="BB409" s="27">
        <f>SUM(AZ409:BA409)</f>
        <v/>
      </c>
      <c r="BC409" s="28" t="n"/>
      <c r="BD409" s="28" t="n"/>
      <c r="BE409" s="29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1" t="n"/>
      <c r="BG409" s="21" t="n"/>
      <c r="BH409" s="27">
        <f>SUM(BF409:BG409)</f>
        <v/>
      </c>
      <c r="BI409" s="28" t="n"/>
      <c r="BJ409" s="28" t="n"/>
      <c r="BK409" s="29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1" t="n"/>
      <c r="BM409" s="21" t="n"/>
      <c r="BN409" s="27">
        <f>SUM(BL409:BM409)</f>
        <v/>
      </c>
      <c r="BO409" s="28" t="n"/>
      <c r="BP409" s="31" t="n"/>
      <c r="BQ409" s="29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1" t="n"/>
      <c r="BS409" s="21" t="n"/>
      <c r="BT409" s="27">
        <f>SUM(BR409:BS409)</f>
        <v/>
      </c>
      <c r="BU409" s="28" t="n"/>
      <c r="BV409" s="31" t="n"/>
      <c r="BW409" s="29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1" t="n"/>
      <c r="BY409" s="21" t="n"/>
      <c r="BZ409" s="27">
        <f>SUM(BX409:BY409)</f>
        <v/>
      </c>
      <c r="CA409" s="28" t="n"/>
      <c r="CB409" s="31" t="n"/>
      <c r="CC409" s="29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1" t="n"/>
      <c r="CE409" s="21" t="n"/>
      <c r="CF409" s="27">
        <f>SUM(CD409:CE409)</f>
        <v/>
      </c>
      <c r="CG409" s="28" t="n"/>
      <c r="CH409" s="31" t="n"/>
      <c r="CI409" s="29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1" t="n"/>
      <c r="CK409" s="21" t="n"/>
      <c r="CL409" s="27">
        <f>SUM(CJ409:CK409)</f>
        <v/>
      </c>
      <c r="CM409" s="28" t="n"/>
      <c r="CN409" s="31" t="n"/>
      <c r="CO409" s="29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1" t="n"/>
      <c r="CQ409" s="21" t="n"/>
      <c r="CR409" s="27">
        <f>SUM(CP409:CQ409)</f>
        <v/>
      </c>
      <c r="CS409" s="28" t="n"/>
      <c r="CT409" s="31" t="n"/>
      <c r="CU409" s="29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1" t="n"/>
      <c r="CW409" s="21" t="n"/>
      <c r="CX409" s="27">
        <f>SUM(CV409:CW409)</f>
        <v/>
      </c>
      <c r="CY409" s="28" t="n"/>
      <c r="CZ409" s="31" t="n"/>
      <c r="DA409" s="29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1" t="n"/>
      <c r="DC409" s="21" t="n"/>
      <c r="DD409" s="27">
        <f>SUM(DB409:DC409)</f>
        <v/>
      </c>
      <c r="DE409" s="28" t="n"/>
      <c r="DF409" s="31" t="n"/>
      <c r="DG409" s="29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34">
        <f>SUM(O409,U409,AA409,AG409,AM409,AS409,AY409,BE409,BK409,BQ409,BW409,CC409,CI409,CO409,CU409,DA409,DG409)</f>
        <v/>
      </c>
      <c r="DI409" s="39">
        <f>RANK(DH409,DH$4:DH$503)</f>
        <v/>
      </c>
      <c r="DJ409" s="40" t="inlineStr">
        <is>
          <t>CHOOSE RATING</t>
        </is>
      </c>
      <c r="DK409" s="40" t="inlineStr">
        <is>
          <t>CHOOSE RATING</t>
        </is>
      </c>
      <c r="DL409" s="40" t="inlineStr">
        <is>
          <t>CHOOSE RATING</t>
        </is>
      </c>
      <c r="DM409" s="40" t="inlineStr">
        <is>
          <t>CHOOSE RATING</t>
        </is>
      </c>
      <c r="DN409" s="40" t="inlineStr">
        <is>
          <t>CHOOSE RATING</t>
        </is>
      </c>
      <c r="DO409" s="40" t="inlineStr">
        <is>
          <t>CHOOSE RATING</t>
        </is>
      </c>
      <c r="DP409" s="40" t="inlineStr">
        <is>
          <t>CHOOSE RATING</t>
        </is>
      </c>
      <c r="DQ409" s="40" t="inlineStr">
        <is>
          <t>CHOOSE RATING</t>
        </is>
      </c>
      <c r="DR409" s="43" t="inlineStr">
        <is>
          <t>2024/2025</t>
        </is>
      </c>
      <c r="DS409" s="45" t="inlineStr">
        <is>
          <t>THIRD</t>
        </is>
      </c>
      <c r="DT409" s="40" t="inlineStr">
        <is>
          <t>CHOOSE RATING</t>
        </is>
      </c>
      <c r="DU409" s="40" t="inlineStr">
        <is>
          <t>CHOOSE RATING</t>
        </is>
      </c>
      <c r="DV409" s="40" t="inlineStr">
        <is>
          <t>CHOOSE RATING</t>
        </is>
      </c>
      <c r="DW409" s="40" t="inlineStr">
        <is>
          <t>CHOOSE RATING</t>
        </is>
      </c>
      <c r="DX409" s="40" t="inlineStr">
        <is>
          <t>CHOOSE RATING</t>
        </is>
      </c>
      <c r="DY409" s="40" t="inlineStr">
        <is>
          <t>CHOOSE RATING</t>
        </is>
      </c>
      <c r="DZ409" s="53" t="inlineStr">
        <is>
          <t>CHOOSE RATING</t>
        </is>
      </c>
      <c r="EA409" s="54" t="inlineStr">
        <is>
          <t>Add the Tutor's Comment . . .</t>
        </is>
      </c>
      <c r="EB409" s="55" t="inlineStr">
        <is>
          <t>Choose Principals comment</t>
        </is>
      </c>
      <c r="EC409" s="56" t="n"/>
      <c r="ED409" s="57" t="inlineStr">
        <is>
          <t>Next Term Begins on Monday, 22nd September, 2025</t>
        </is>
      </c>
    </row>
    <row r="410" ht="30.6" customHeight="1" s="6">
      <c r="A410" s="18" t="n">
        <v>407</v>
      </c>
      <c r="B410" s="19" t="n"/>
      <c r="C410" s="20" t="n"/>
      <c r="D410" s="128" t="n"/>
      <c r="E410" s="21" t="n"/>
      <c r="F410" s="22" t="n"/>
      <c r="G410" s="22" t="n"/>
      <c r="H410" s="22" t="n"/>
      <c r="I410" s="26">
        <f>G410-H410</f>
        <v/>
      </c>
      <c r="J410" s="21" t="n"/>
      <c r="K410" s="21" t="n"/>
      <c r="L410" s="27">
        <f>SUM(J410:K410)</f>
        <v/>
      </c>
      <c r="M410" s="28" t="n"/>
      <c r="N410" s="28" t="n"/>
      <c r="O410" s="29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1" t="n"/>
      <c r="Q410" s="21" t="n"/>
      <c r="R410" s="27">
        <f>SUM(P410:Q410)</f>
        <v/>
      </c>
      <c r="S410" s="28" t="n"/>
      <c r="T410" s="28" t="n"/>
      <c r="U410" s="29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1" t="n"/>
      <c r="W410" s="21" t="n"/>
      <c r="X410" s="27">
        <f>SUM(V410:W410)</f>
        <v/>
      </c>
      <c r="Y410" s="28" t="n"/>
      <c r="Z410" s="28" t="n"/>
      <c r="AA410" s="29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1" t="n"/>
      <c r="AC410" s="21" t="n"/>
      <c r="AD410" s="27">
        <f>SUM(AB410:AC410)</f>
        <v/>
      </c>
      <c r="AE410" s="28" t="n"/>
      <c r="AF410" s="28" t="n"/>
      <c r="AG410" s="29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1" t="n"/>
      <c r="AI410" s="21" t="n"/>
      <c r="AJ410" s="27">
        <f>SUM(AH410:AI410)</f>
        <v/>
      </c>
      <c r="AK410" s="28" t="n"/>
      <c r="AL410" s="28" t="n"/>
      <c r="AM410" s="29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1" t="n"/>
      <c r="AO410" s="21" t="n"/>
      <c r="AP410" s="27">
        <f>SUM(AN410:AO410)</f>
        <v/>
      </c>
      <c r="AQ410" s="28" t="n"/>
      <c r="AR410" s="30" t="n"/>
      <c r="AS410" s="29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1" t="n"/>
      <c r="AU410" s="21" t="n"/>
      <c r="AV410" s="27">
        <f>SUM(AT410:AU410)</f>
        <v/>
      </c>
      <c r="AW410" s="28" t="n"/>
      <c r="AX410" s="30" t="n"/>
      <c r="AY410" s="29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1" t="n"/>
      <c r="BA410" s="21" t="n"/>
      <c r="BB410" s="27">
        <f>SUM(AZ410:BA410)</f>
        <v/>
      </c>
      <c r="BC410" s="28" t="n"/>
      <c r="BD410" s="28" t="n"/>
      <c r="BE410" s="29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1" t="n"/>
      <c r="BG410" s="21" t="n"/>
      <c r="BH410" s="27">
        <f>SUM(BF410:BG410)</f>
        <v/>
      </c>
      <c r="BI410" s="28" t="n"/>
      <c r="BJ410" s="28" t="n"/>
      <c r="BK410" s="29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1" t="n"/>
      <c r="BM410" s="21" t="n"/>
      <c r="BN410" s="27">
        <f>SUM(BL410:BM410)</f>
        <v/>
      </c>
      <c r="BO410" s="28" t="n"/>
      <c r="BP410" s="31" t="n"/>
      <c r="BQ410" s="29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1" t="n"/>
      <c r="BS410" s="21" t="n"/>
      <c r="BT410" s="27">
        <f>SUM(BR410:BS410)</f>
        <v/>
      </c>
      <c r="BU410" s="28" t="n"/>
      <c r="BV410" s="31" t="n"/>
      <c r="BW410" s="29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1" t="n"/>
      <c r="BY410" s="21" t="n"/>
      <c r="BZ410" s="27">
        <f>SUM(BX410:BY410)</f>
        <v/>
      </c>
      <c r="CA410" s="28" t="n"/>
      <c r="CB410" s="31" t="n"/>
      <c r="CC410" s="29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1" t="n"/>
      <c r="CE410" s="21" t="n"/>
      <c r="CF410" s="27">
        <f>SUM(CD410:CE410)</f>
        <v/>
      </c>
      <c r="CG410" s="28" t="n"/>
      <c r="CH410" s="31" t="n"/>
      <c r="CI410" s="29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1" t="n"/>
      <c r="CK410" s="21" t="n"/>
      <c r="CL410" s="27">
        <f>SUM(CJ410:CK410)</f>
        <v/>
      </c>
      <c r="CM410" s="28" t="n"/>
      <c r="CN410" s="31" t="n"/>
      <c r="CO410" s="29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1" t="n"/>
      <c r="CQ410" s="21" t="n"/>
      <c r="CR410" s="27">
        <f>SUM(CP410:CQ410)</f>
        <v/>
      </c>
      <c r="CS410" s="28" t="n"/>
      <c r="CT410" s="31" t="n"/>
      <c r="CU410" s="29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1" t="n"/>
      <c r="CW410" s="21" t="n"/>
      <c r="CX410" s="27">
        <f>SUM(CV410:CW410)</f>
        <v/>
      </c>
      <c r="CY410" s="28" t="n"/>
      <c r="CZ410" s="31" t="n"/>
      <c r="DA410" s="29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1" t="n"/>
      <c r="DC410" s="21" t="n"/>
      <c r="DD410" s="27">
        <f>SUM(DB410:DC410)</f>
        <v/>
      </c>
      <c r="DE410" s="28" t="n"/>
      <c r="DF410" s="31" t="n"/>
      <c r="DG410" s="29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34">
        <f>SUM(O410,U410,AA410,AG410,AM410,AS410,AY410,BE410,BK410,BQ410,BW410,CC410,CI410,CO410,CU410,DA410,DG410)</f>
        <v/>
      </c>
      <c r="DI410" s="39">
        <f>RANK(DH410,DH$4:DH$503)</f>
        <v/>
      </c>
      <c r="DJ410" s="40" t="inlineStr">
        <is>
          <t>CHOOSE RATING</t>
        </is>
      </c>
      <c r="DK410" s="40" t="inlineStr">
        <is>
          <t>CHOOSE RATING</t>
        </is>
      </c>
      <c r="DL410" s="40" t="inlineStr">
        <is>
          <t>CHOOSE RATING</t>
        </is>
      </c>
      <c r="DM410" s="40" t="inlineStr">
        <is>
          <t>CHOOSE RATING</t>
        </is>
      </c>
      <c r="DN410" s="40" t="inlineStr">
        <is>
          <t>CHOOSE RATING</t>
        </is>
      </c>
      <c r="DO410" s="40" t="inlineStr">
        <is>
          <t>CHOOSE RATING</t>
        </is>
      </c>
      <c r="DP410" s="40" t="inlineStr">
        <is>
          <t>CHOOSE RATING</t>
        </is>
      </c>
      <c r="DQ410" s="40" t="inlineStr">
        <is>
          <t>CHOOSE RATING</t>
        </is>
      </c>
      <c r="DR410" s="43" t="inlineStr">
        <is>
          <t>2024/2025</t>
        </is>
      </c>
      <c r="DS410" s="45" t="inlineStr">
        <is>
          <t>THIRD</t>
        </is>
      </c>
      <c r="DT410" s="40" t="inlineStr">
        <is>
          <t>CHOOSE RATING</t>
        </is>
      </c>
      <c r="DU410" s="40" t="inlineStr">
        <is>
          <t>CHOOSE RATING</t>
        </is>
      </c>
      <c r="DV410" s="40" t="inlineStr">
        <is>
          <t>CHOOSE RATING</t>
        </is>
      </c>
      <c r="DW410" s="40" t="inlineStr">
        <is>
          <t>CHOOSE RATING</t>
        </is>
      </c>
      <c r="DX410" s="40" t="inlineStr">
        <is>
          <t>CHOOSE RATING</t>
        </is>
      </c>
      <c r="DY410" s="40" t="inlineStr">
        <is>
          <t>CHOOSE RATING</t>
        </is>
      </c>
      <c r="DZ410" s="53" t="inlineStr">
        <is>
          <t>CHOOSE RATING</t>
        </is>
      </c>
      <c r="EA410" s="54" t="inlineStr">
        <is>
          <t>Add the Tutor's Comment . . .</t>
        </is>
      </c>
      <c r="EB410" s="55" t="inlineStr">
        <is>
          <t>Choose Principals comment</t>
        </is>
      </c>
      <c r="EC410" s="56" t="n"/>
      <c r="ED410" s="57" t="inlineStr">
        <is>
          <t>Next Term Begins on Monday, 22nd September, 2025</t>
        </is>
      </c>
    </row>
    <row r="411" ht="30.6" customHeight="1" s="6">
      <c r="A411" s="18" t="n">
        <v>408</v>
      </c>
      <c r="B411" s="19" t="n"/>
      <c r="C411" s="20" t="n"/>
      <c r="D411" s="128" t="n"/>
      <c r="E411" s="21" t="n"/>
      <c r="F411" s="22" t="n"/>
      <c r="G411" s="22" t="n"/>
      <c r="H411" s="22" t="n"/>
      <c r="I411" s="26">
        <f>G411-H411</f>
        <v/>
      </c>
      <c r="J411" s="21" t="n"/>
      <c r="K411" s="21" t="n"/>
      <c r="L411" s="27">
        <f>SUM(J411:K411)</f>
        <v/>
      </c>
      <c r="M411" s="28" t="n"/>
      <c r="N411" s="28" t="n"/>
      <c r="O411" s="29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1" t="n"/>
      <c r="Q411" s="21" t="n"/>
      <c r="R411" s="27">
        <f>SUM(P411:Q411)</f>
        <v/>
      </c>
      <c r="S411" s="28" t="n"/>
      <c r="T411" s="28" t="n"/>
      <c r="U411" s="29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1" t="n"/>
      <c r="W411" s="21" t="n"/>
      <c r="X411" s="27">
        <f>SUM(V411:W411)</f>
        <v/>
      </c>
      <c r="Y411" s="28" t="n"/>
      <c r="Z411" s="28" t="n"/>
      <c r="AA411" s="29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1" t="n"/>
      <c r="AC411" s="21" t="n"/>
      <c r="AD411" s="27">
        <f>SUM(AB411:AC411)</f>
        <v/>
      </c>
      <c r="AE411" s="28" t="n"/>
      <c r="AF411" s="28" t="n"/>
      <c r="AG411" s="29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1" t="n"/>
      <c r="AI411" s="21" t="n"/>
      <c r="AJ411" s="27">
        <f>SUM(AH411:AI411)</f>
        <v/>
      </c>
      <c r="AK411" s="28" t="n"/>
      <c r="AL411" s="28" t="n"/>
      <c r="AM411" s="29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1" t="n"/>
      <c r="AO411" s="21" t="n"/>
      <c r="AP411" s="27">
        <f>SUM(AN411:AO411)</f>
        <v/>
      </c>
      <c r="AQ411" s="28" t="n"/>
      <c r="AR411" s="30" t="n"/>
      <c r="AS411" s="29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1" t="n"/>
      <c r="AU411" s="21" t="n"/>
      <c r="AV411" s="27">
        <f>SUM(AT411:AU411)</f>
        <v/>
      </c>
      <c r="AW411" s="28" t="n"/>
      <c r="AX411" s="30" t="n"/>
      <c r="AY411" s="29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1" t="n"/>
      <c r="BA411" s="21" t="n"/>
      <c r="BB411" s="27">
        <f>SUM(AZ411:BA411)</f>
        <v/>
      </c>
      <c r="BC411" s="28" t="n"/>
      <c r="BD411" s="28" t="n"/>
      <c r="BE411" s="29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1" t="n"/>
      <c r="BG411" s="21" t="n"/>
      <c r="BH411" s="27">
        <f>SUM(BF411:BG411)</f>
        <v/>
      </c>
      <c r="BI411" s="28" t="n"/>
      <c r="BJ411" s="28" t="n"/>
      <c r="BK411" s="29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1" t="n"/>
      <c r="BM411" s="21" t="n"/>
      <c r="BN411" s="27">
        <f>SUM(BL411:BM411)</f>
        <v/>
      </c>
      <c r="BO411" s="28" t="n"/>
      <c r="BP411" s="31" t="n"/>
      <c r="BQ411" s="29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1" t="n"/>
      <c r="BS411" s="21" t="n"/>
      <c r="BT411" s="27">
        <f>SUM(BR411:BS411)</f>
        <v/>
      </c>
      <c r="BU411" s="28" t="n"/>
      <c r="BV411" s="31" t="n"/>
      <c r="BW411" s="29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1" t="n"/>
      <c r="BY411" s="21" t="n"/>
      <c r="BZ411" s="27">
        <f>SUM(BX411:BY411)</f>
        <v/>
      </c>
      <c r="CA411" s="28" t="n"/>
      <c r="CB411" s="31" t="n"/>
      <c r="CC411" s="29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1" t="n"/>
      <c r="CE411" s="21" t="n"/>
      <c r="CF411" s="27">
        <f>SUM(CD411:CE411)</f>
        <v/>
      </c>
      <c r="CG411" s="28" t="n"/>
      <c r="CH411" s="31" t="n"/>
      <c r="CI411" s="29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1" t="n"/>
      <c r="CK411" s="21" t="n"/>
      <c r="CL411" s="27">
        <f>SUM(CJ411:CK411)</f>
        <v/>
      </c>
      <c r="CM411" s="28" t="n"/>
      <c r="CN411" s="31" t="n"/>
      <c r="CO411" s="29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1" t="n"/>
      <c r="CQ411" s="21" t="n"/>
      <c r="CR411" s="27">
        <f>SUM(CP411:CQ411)</f>
        <v/>
      </c>
      <c r="CS411" s="28" t="n"/>
      <c r="CT411" s="31" t="n"/>
      <c r="CU411" s="29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1" t="n"/>
      <c r="CW411" s="21" t="n"/>
      <c r="CX411" s="27">
        <f>SUM(CV411:CW411)</f>
        <v/>
      </c>
      <c r="CY411" s="28" t="n"/>
      <c r="CZ411" s="31" t="n"/>
      <c r="DA411" s="29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1" t="n"/>
      <c r="DC411" s="21" t="n"/>
      <c r="DD411" s="27">
        <f>SUM(DB411:DC411)</f>
        <v/>
      </c>
      <c r="DE411" s="28" t="n"/>
      <c r="DF411" s="31" t="n"/>
      <c r="DG411" s="29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34">
        <f>SUM(O411,U411,AA411,AG411,AM411,AS411,AY411,BE411,BK411,BQ411,BW411,CC411,CI411,CO411,CU411,DA411,DG411)</f>
        <v/>
      </c>
      <c r="DI411" s="39">
        <f>RANK(DH411,DH$4:DH$503)</f>
        <v/>
      </c>
      <c r="DJ411" s="40" t="inlineStr">
        <is>
          <t>CHOOSE RATING</t>
        </is>
      </c>
      <c r="DK411" s="40" t="inlineStr">
        <is>
          <t>CHOOSE RATING</t>
        </is>
      </c>
      <c r="DL411" s="40" t="inlineStr">
        <is>
          <t>CHOOSE RATING</t>
        </is>
      </c>
      <c r="DM411" s="40" t="inlineStr">
        <is>
          <t>CHOOSE RATING</t>
        </is>
      </c>
      <c r="DN411" s="40" t="inlineStr">
        <is>
          <t>CHOOSE RATING</t>
        </is>
      </c>
      <c r="DO411" s="40" t="inlineStr">
        <is>
          <t>CHOOSE RATING</t>
        </is>
      </c>
      <c r="DP411" s="40" t="inlineStr">
        <is>
          <t>CHOOSE RATING</t>
        </is>
      </c>
      <c r="DQ411" s="40" t="inlineStr">
        <is>
          <t>CHOOSE RATING</t>
        </is>
      </c>
      <c r="DR411" s="43" t="inlineStr">
        <is>
          <t>2024/2025</t>
        </is>
      </c>
      <c r="DS411" s="45" t="inlineStr">
        <is>
          <t>THIRD</t>
        </is>
      </c>
      <c r="DT411" s="40" t="inlineStr">
        <is>
          <t>CHOOSE RATING</t>
        </is>
      </c>
      <c r="DU411" s="40" t="inlineStr">
        <is>
          <t>CHOOSE RATING</t>
        </is>
      </c>
      <c r="DV411" s="40" t="inlineStr">
        <is>
          <t>CHOOSE RATING</t>
        </is>
      </c>
      <c r="DW411" s="40" t="inlineStr">
        <is>
          <t>CHOOSE RATING</t>
        </is>
      </c>
      <c r="DX411" s="40" t="inlineStr">
        <is>
          <t>CHOOSE RATING</t>
        </is>
      </c>
      <c r="DY411" s="40" t="inlineStr">
        <is>
          <t>CHOOSE RATING</t>
        </is>
      </c>
      <c r="DZ411" s="53" t="inlineStr">
        <is>
          <t>CHOOSE RATING</t>
        </is>
      </c>
      <c r="EA411" s="54" t="inlineStr">
        <is>
          <t>Add the Tutor's Comment . . .</t>
        </is>
      </c>
      <c r="EB411" s="55" t="inlineStr">
        <is>
          <t>Choose Principals comment</t>
        </is>
      </c>
      <c r="EC411" s="56" t="n"/>
      <c r="ED411" s="57" t="inlineStr">
        <is>
          <t>Next Term Begins on Monday, 22nd September, 2025</t>
        </is>
      </c>
    </row>
    <row r="412" ht="30.6" customHeight="1" s="6">
      <c r="A412" s="18" t="n">
        <v>409</v>
      </c>
      <c r="B412" s="19" t="n"/>
      <c r="C412" s="20" t="n"/>
      <c r="D412" s="128" t="n"/>
      <c r="E412" s="21" t="n"/>
      <c r="F412" s="22" t="n"/>
      <c r="G412" s="22" t="n"/>
      <c r="H412" s="22" t="n"/>
      <c r="I412" s="26">
        <f>G412-H412</f>
        <v/>
      </c>
      <c r="J412" s="21" t="n"/>
      <c r="K412" s="21" t="n"/>
      <c r="L412" s="27">
        <f>SUM(J412:K412)</f>
        <v/>
      </c>
      <c r="M412" s="28" t="n"/>
      <c r="N412" s="28" t="n"/>
      <c r="O412" s="29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1" t="n"/>
      <c r="Q412" s="21" t="n"/>
      <c r="R412" s="27">
        <f>SUM(P412:Q412)</f>
        <v/>
      </c>
      <c r="S412" s="28" t="n"/>
      <c r="T412" s="28" t="n"/>
      <c r="U412" s="29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1" t="n"/>
      <c r="W412" s="21" t="n"/>
      <c r="X412" s="27">
        <f>SUM(V412:W412)</f>
        <v/>
      </c>
      <c r="Y412" s="28" t="n"/>
      <c r="Z412" s="28" t="n"/>
      <c r="AA412" s="29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1" t="n"/>
      <c r="AC412" s="21" t="n"/>
      <c r="AD412" s="27">
        <f>SUM(AB412:AC412)</f>
        <v/>
      </c>
      <c r="AE412" s="28" t="n"/>
      <c r="AF412" s="28" t="n"/>
      <c r="AG412" s="29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1" t="n"/>
      <c r="AI412" s="21" t="n"/>
      <c r="AJ412" s="27">
        <f>SUM(AH412:AI412)</f>
        <v/>
      </c>
      <c r="AK412" s="28" t="n"/>
      <c r="AL412" s="28" t="n"/>
      <c r="AM412" s="29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1" t="n"/>
      <c r="AO412" s="21" t="n"/>
      <c r="AP412" s="27">
        <f>SUM(AN412:AO412)</f>
        <v/>
      </c>
      <c r="AQ412" s="28" t="n"/>
      <c r="AR412" s="30" t="n"/>
      <c r="AS412" s="29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1" t="n"/>
      <c r="AU412" s="21" t="n"/>
      <c r="AV412" s="27">
        <f>SUM(AT412:AU412)</f>
        <v/>
      </c>
      <c r="AW412" s="28" t="n"/>
      <c r="AX412" s="30" t="n"/>
      <c r="AY412" s="29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1" t="n"/>
      <c r="BA412" s="21" t="n"/>
      <c r="BB412" s="27">
        <f>SUM(AZ412:BA412)</f>
        <v/>
      </c>
      <c r="BC412" s="28" t="n"/>
      <c r="BD412" s="28" t="n"/>
      <c r="BE412" s="29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1" t="n"/>
      <c r="BG412" s="21" t="n"/>
      <c r="BH412" s="27">
        <f>SUM(BF412:BG412)</f>
        <v/>
      </c>
      <c r="BI412" s="28" t="n"/>
      <c r="BJ412" s="28" t="n"/>
      <c r="BK412" s="29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1" t="n"/>
      <c r="BM412" s="21" t="n"/>
      <c r="BN412" s="27">
        <f>SUM(BL412:BM412)</f>
        <v/>
      </c>
      <c r="BO412" s="28" t="n"/>
      <c r="BP412" s="31" t="n"/>
      <c r="BQ412" s="29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1" t="n"/>
      <c r="BS412" s="21" t="n"/>
      <c r="BT412" s="27">
        <f>SUM(BR412:BS412)</f>
        <v/>
      </c>
      <c r="BU412" s="28" t="n"/>
      <c r="BV412" s="31" t="n"/>
      <c r="BW412" s="29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1" t="n"/>
      <c r="BY412" s="21" t="n"/>
      <c r="BZ412" s="27">
        <f>SUM(BX412:BY412)</f>
        <v/>
      </c>
      <c r="CA412" s="28" t="n"/>
      <c r="CB412" s="31" t="n"/>
      <c r="CC412" s="29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1" t="n"/>
      <c r="CE412" s="21" t="n"/>
      <c r="CF412" s="27">
        <f>SUM(CD412:CE412)</f>
        <v/>
      </c>
      <c r="CG412" s="28" t="n"/>
      <c r="CH412" s="31" t="n"/>
      <c r="CI412" s="29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1" t="n"/>
      <c r="CK412" s="21" t="n"/>
      <c r="CL412" s="27">
        <f>SUM(CJ412:CK412)</f>
        <v/>
      </c>
      <c r="CM412" s="28" t="n"/>
      <c r="CN412" s="31" t="n"/>
      <c r="CO412" s="29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1" t="n"/>
      <c r="CQ412" s="21" t="n"/>
      <c r="CR412" s="27">
        <f>SUM(CP412:CQ412)</f>
        <v/>
      </c>
      <c r="CS412" s="28" t="n"/>
      <c r="CT412" s="31" t="n"/>
      <c r="CU412" s="29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1" t="n"/>
      <c r="CW412" s="21" t="n"/>
      <c r="CX412" s="27">
        <f>SUM(CV412:CW412)</f>
        <v/>
      </c>
      <c r="CY412" s="28" t="n"/>
      <c r="CZ412" s="31" t="n"/>
      <c r="DA412" s="29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1" t="n"/>
      <c r="DC412" s="21" t="n"/>
      <c r="DD412" s="27">
        <f>SUM(DB412:DC412)</f>
        <v/>
      </c>
      <c r="DE412" s="28" t="n"/>
      <c r="DF412" s="31" t="n"/>
      <c r="DG412" s="29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34">
        <f>SUM(O412,U412,AA412,AG412,AM412,AS412,AY412,BE412,BK412,BQ412,BW412,CC412,CI412,CO412,CU412,DA412,DG412)</f>
        <v/>
      </c>
      <c r="DI412" s="39">
        <f>RANK(DH412,DH$4:DH$503)</f>
        <v/>
      </c>
      <c r="DJ412" s="40" t="inlineStr">
        <is>
          <t>CHOOSE RATING</t>
        </is>
      </c>
      <c r="DK412" s="40" t="inlineStr">
        <is>
          <t>CHOOSE RATING</t>
        </is>
      </c>
      <c r="DL412" s="40" t="inlineStr">
        <is>
          <t>CHOOSE RATING</t>
        </is>
      </c>
      <c r="DM412" s="40" t="inlineStr">
        <is>
          <t>CHOOSE RATING</t>
        </is>
      </c>
      <c r="DN412" s="40" t="inlineStr">
        <is>
          <t>CHOOSE RATING</t>
        </is>
      </c>
      <c r="DO412" s="40" t="inlineStr">
        <is>
          <t>CHOOSE RATING</t>
        </is>
      </c>
      <c r="DP412" s="40" t="inlineStr">
        <is>
          <t>CHOOSE RATING</t>
        </is>
      </c>
      <c r="DQ412" s="40" t="inlineStr">
        <is>
          <t>CHOOSE RATING</t>
        </is>
      </c>
      <c r="DR412" s="43" t="inlineStr">
        <is>
          <t>2024/2025</t>
        </is>
      </c>
      <c r="DS412" s="45" t="inlineStr">
        <is>
          <t>THIRD</t>
        </is>
      </c>
      <c r="DT412" s="40" t="inlineStr">
        <is>
          <t>CHOOSE RATING</t>
        </is>
      </c>
      <c r="DU412" s="40" t="inlineStr">
        <is>
          <t>CHOOSE RATING</t>
        </is>
      </c>
      <c r="DV412" s="40" t="inlineStr">
        <is>
          <t>CHOOSE RATING</t>
        </is>
      </c>
      <c r="DW412" s="40" t="inlineStr">
        <is>
          <t>CHOOSE RATING</t>
        </is>
      </c>
      <c r="DX412" s="40" t="inlineStr">
        <is>
          <t>CHOOSE RATING</t>
        </is>
      </c>
      <c r="DY412" s="40" t="inlineStr">
        <is>
          <t>CHOOSE RATING</t>
        </is>
      </c>
      <c r="DZ412" s="53" t="inlineStr">
        <is>
          <t>CHOOSE RATING</t>
        </is>
      </c>
      <c r="EA412" s="54" t="inlineStr">
        <is>
          <t>Add the Tutor's Comment . . .</t>
        </is>
      </c>
      <c r="EB412" s="55" t="inlineStr">
        <is>
          <t>Choose Principals comment</t>
        </is>
      </c>
      <c r="EC412" s="56" t="n"/>
      <c r="ED412" s="57" t="inlineStr">
        <is>
          <t>Next Term Begins on Monday, 22nd September, 2025</t>
        </is>
      </c>
    </row>
    <row r="413" ht="30.6" customHeight="1" s="6">
      <c r="A413" s="18" t="n">
        <v>410</v>
      </c>
      <c r="B413" s="19" t="n"/>
      <c r="C413" s="20" t="n"/>
      <c r="D413" s="128" t="n"/>
      <c r="E413" s="21" t="n"/>
      <c r="F413" s="22" t="n"/>
      <c r="G413" s="22" t="n"/>
      <c r="H413" s="22" t="n"/>
      <c r="I413" s="26">
        <f>G413-H413</f>
        <v/>
      </c>
      <c r="J413" s="21" t="n"/>
      <c r="K413" s="21" t="n"/>
      <c r="L413" s="27">
        <f>SUM(J413:K413)</f>
        <v/>
      </c>
      <c r="M413" s="28" t="n"/>
      <c r="N413" s="28" t="n"/>
      <c r="O413" s="29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1" t="n"/>
      <c r="Q413" s="21" t="n"/>
      <c r="R413" s="27">
        <f>SUM(P413:Q413)</f>
        <v/>
      </c>
      <c r="S413" s="28" t="n"/>
      <c r="T413" s="28" t="n"/>
      <c r="U413" s="29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1" t="n"/>
      <c r="W413" s="21" t="n"/>
      <c r="X413" s="27">
        <f>SUM(V413:W413)</f>
        <v/>
      </c>
      <c r="Y413" s="28" t="n"/>
      <c r="Z413" s="28" t="n"/>
      <c r="AA413" s="29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1" t="n"/>
      <c r="AC413" s="21" t="n"/>
      <c r="AD413" s="27">
        <f>SUM(AB413:AC413)</f>
        <v/>
      </c>
      <c r="AE413" s="28" t="n"/>
      <c r="AF413" s="28" t="n"/>
      <c r="AG413" s="29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1" t="n"/>
      <c r="AI413" s="21" t="n"/>
      <c r="AJ413" s="27">
        <f>SUM(AH413:AI413)</f>
        <v/>
      </c>
      <c r="AK413" s="28" t="n"/>
      <c r="AL413" s="28" t="n"/>
      <c r="AM413" s="29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1" t="n"/>
      <c r="AO413" s="21" t="n"/>
      <c r="AP413" s="27">
        <f>SUM(AN413:AO413)</f>
        <v/>
      </c>
      <c r="AQ413" s="28" t="n"/>
      <c r="AR413" s="30" t="n"/>
      <c r="AS413" s="29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1" t="n"/>
      <c r="AU413" s="21" t="n"/>
      <c r="AV413" s="27">
        <f>SUM(AT413:AU413)</f>
        <v/>
      </c>
      <c r="AW413" s="28" t="n"/>
      <c r="AX413" s="30" t="n"/>
      <c r="AY413" s="29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1" t="n"/>
      <c r="BA413" s="21" t="n"/>
      <c r="BB413" s="27">
        <f>SUM(AZ413:BA413)</f>
        <v/>
      </c>
      <c r="BC413" s="28" t="n"/>
      <c r="BD413" s="28" t="n"/>
      <c r="BE413" s="29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1" t="n"/>
      <c r="BG413" s="21" t="n"/>
      <c r="BH413" s="27">
        <f>SUM(BF413:BG413)</f>
        <v/>
      </c>
      <c r="BI413" s="28" t="n"/>
      <c r="BJ413" s="28" t="n"/>
      <c r="BK413" s="29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1" t="n"/>
      <c r="BM413" s="21" t="n"/>
      <c r="BN413" s="27">
        <f>SUM(BL413:BM413)</f>
        <v/>
      </c>
      <c r="BO413" s="28" t="n"/>
      <c r="BP413" s="31" t="n"/>
      <c r="BQ413" s="29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1" t="n"/>
      <c r="BS413" s="21" t="n"/>
      <c r="BT413" s="27">
        <f>SUM(BR413:BS413)</f>
        <v/>
      </c>
      <c r="BU413" s="28" t="n"/>
      <c r="BV413" s="31" t="n"/>
      <c r="BW413" s="29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1" t="n"/>
      <c r="BY413" s="21" t="n"/>
      <c r="BZ413" s="27">
        <f>SUM(BX413:BY413)</f>
        <v/>
      </c>
      <c r="CA413" s="28" t="n"/>
      <c r="CB413" s="31" t="n"/>
      <c r="CC413" s="29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1" t="n"/>
      <c r="CE413" s="21" t="n"/>
      <c r="CF413" s="27">
        <f>SUM(CD413:CE413)</f>
        <v/>
      </c>
      <c r="CG413" s="28" t="n"/>
      <c r="CH413" s="31" t="n"/>
      <c r="CI413" s="29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1" t="n"/>
      <c r="CK413" s="21" t="n"/>
      <c r="CL413" s="27">
        <f>SUM(CJ413:CK413)</f>
        <v/>
      </c>
      <c r="CM413" s="28" t="n"/>
      <c r="CN413" s="31" t="n"/>
      <c r="CO413" s="29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1" t="n"/>
      <c r="CQ413" s="21" t="n"/>
      <c r="CR413" s="27">
        <f>SUM(CP413:CQ413)</f>
        <v/>
      </c>
      <c r="CS413" s="28" t="n"/>
      <c r="CT413" s="31" t="n"/>
      <c r="CU413" s="29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1" t="n"/>
      <c r="CW413" s="21" t="n"/>
      <c r="CX413" s="27">
        <f>SUM(CV413:CW413)</f>
        <v/>
      </c>
      <c r="CY413" s="28" t="n"/>
      <c r="CZ413" s="31" t="n"/>
      <c r="DA413" s="29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1" t="n"/>
      <c r="DC413" s="21" t="n"/>
      <c r="DD413" s="27">
        <f>SUM(DB413:DC413)</f>
        <v/>
      </c>
      <c r="DE413" s="28" t="n"/>
      <c r="DF413" s="31" t="n"/>
      <c r="DG413" s="29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34">
        <f>SUM(O413,U413,AA413,AG413,AM413,AS413,AY413,BE413,BK413,BQ413,BW413,CC413,CI413,CO413,CU413,DA413,DG413)</f>
        <v/>
      </c>
      <c r="DI413" s="39">
        <f>RANK(DH413,DH$4:DH$503)</f>
        <v/>
      </c>
      <c r="DJ413" s="40" t="inlineStr">
        <is>
          <t>CHOOSE RATING</t>
        </is>
      </c>
      <c r="DK413" s="40" t="inlineStr">
        <is>
          <t>CHOOSE RATING</t>
        </is>
      </c>
      <c r="DL413" s="40" t="inlineStr">
        <is>
          <t>CHOOSE RATING</t>
        </is>
      </c>
      <c r="DM413" s="40" t="inlineStr">
        <is>
          <t>CHOOSE RATING</t>
        </is>
      </c>
      <c r="DN413" s="40" t="inlineStr">
        <is>
          <t>CHOOSE RATING</t>
        </is>
      </c>
      <c r="DO413" s="40" t="inlineStr">
        <is>
          <t>CHOOSE RATING</t>
        </is>
      </c>
      <c r="DP413" s="40" t="inlineStr">
        <is>
          <t>CHOOSE RATING</t>
        </is>
      </c>
      <c r="DQ413" s="40" t="inlineStr">
        <is>
          <t>CHOOSE RATING</t>
        </is>
      </c>
      <c r="DR413" s="43" t="inlineStr">
        <is>
          <t>2024/2025</t>
        </is>
      </c>
      <c r="DS413" s="45" t="inlineStr">
        <is>
          <t>THIRD</t>
        </is>
      </c>
      <c r="DT413" s="40" t="inlineStr">
        <is>
          <t>CHOOSE RATING</t>
        </is>
      </c>
      <c r="DU413" s="40" t="inlineStr">
        <is>
          <t>CHOOSE RATING</t>
        </is>
      </c>
      <c r="DV413" s="40" t="inlineStr">
        <is>
          <t>CHOOSE RATING</t>
        </is>
      </c>
      <c r="DW413" s="40" t="inlineStr">
        <is>
          <t>CHOOSE RATING</t>
        </is>
      </c>
      <c r="DX413" s="40" t="inlineStr">
        <is>
          <t>CHOOSE RATING</t>
        </is>
      </c>
      <c r="DY413" s="40" t="inlineStr">
        <is>
          <t>CHOOSE RATING</t>
        </is>
      </c>
      <c r="DZ413" s="53" t="inlineStr">
        <is>
          <t>CHOOSE RATING</t>
        </is>
      </c>
      <c r="EA413" s="54" t="inlineStr">
        <is>
          <t>Add the Tutor's Comment . . .</t>
        </is>
      </c>
      <c r="EB413" s="55" t="inlineStr">
        <is>
          <t>Choose Principals comment</t>
        </is>
      </c>
      <c r="EC413" s="56" t="n"/>
      <c r="ED413" s="57" t="inlineStr">
        <is>
          <t>Next Term Begins on Monday, 22nd September, 2025</t>
        </is>
      </c>
    </row>
    <row r="414" ht="30.6" customHeight="1" s="6">
      <c r="A414" s="18" t="n">
        <v>411</v>
      </c>
      <c r="B414" s="19" t="n"/>
      <c r="C414" s="20" t="n"/>
      <c r="D414" s="128" t="n"/>
      <c r="E414" s="21" t="n"/>
      <c r="F414" s="22" t="n"/>
      <c r="G414" s="22" t="n"/>
      <c r="H414" s="22" t="n"/>
      <c r="I414" s="26">
        <f>G414-H414</f>
        <v/>
      </c>
      <c r="J414" s="21" t="n"/>
      <c r="K414" s="21" t="n"/>
      <c r="L414" s="27">
        <f>SUM(J414:K414)</f>
        <v/>
      </c>
      <c r="M414" s="28" t="n"/>
      <c r="N414" s="28" t="n"/>
      <c r="O414" s="29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1" t="n"/>
      <c r="Q414" s="21" t="n"/>
      <c r="R414" s="27">
        <f>SUM(P414:Q414)</f>
        <v/>
      </c>
      <c r="S414" s="28" t="n"/>
      <c r="T414" s="28" t="n"/>
      <c r="U414" s="29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1" t="n"/>
      <c r="W414" s="21" t="n"/>
      <c r="X414" s="27">
        <f>SUM(V414:W414)</f>
        <v/>
      </c>
      <c r="Y414" s="28" t="n"/>
      <c r="Z414" s="28" t="n"/>
      <c r="AA414" s="29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1" t="n"/>
      <c r="AC414" s="21" t="n"/>
      <c r="AD414" s="27">
        <f>SUM(AB414:AC414)</f>
        <v/>
      </c>
      <c r="AE414" s="28" t="n"/>
      <c r="AF414" s="28" t="n"/>
      <c r="AG414" s="29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1" t="n"/>
      <c r="AI414" s="21" t="n"/>
      <c r="AJ414" s="27">
        <f>SUM(AH414:AI414)</f>
        <v/>
      </c>
      <c r="AK414" s="28" t="n"/>
      <c r="AL414" s="28" t="n"/>
      <c r="AM414" s="29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1" t="n"/>
      <c r="AO414" s="21" t="n"/>
      <c r="AP414" s="27">
        <f>SUM(AN414:AO414)</f>
        <v/>
      </c>
      <c r="AQ414" s="28" t="n"/>
      <c r="AR414" s="30" t="n"/>
      <c r="AS414" s="29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1" t="n"/>
      <c r="AU414" s="21" t="n"/>
      <c r="AV414" s="27">
        <f>SUM(AT414:AU414)</f>
        <v/>
      </c>
      <c r="AW414" s="28" t="n"/>
      <c r="AX414" s="30" t="n"/>
      <c r="AY414" s="29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1" t="n"/>
      <c r="BA414" s="21" t="n"/>
      <c r="BB414" s="27">
        <f>SUM(AZ414:BA414)</f>
        <v/>
      </c>
      <c r="BC414" s="28" t="n"/>
      <c r="BD414" s="28" t="n"/>
      <c r="BE414" s="29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1" t="n"/>
      <c r="BG414" s="21" t="n"/>
      <c r="BH414" s="27">
        <f>SUM(BF414:BG414)</f>
        <v/>
      </c>
      <c r="BI414" s="28" t="n"/>
      <c r="BJ414" s="28" t="n"/>
      <c r="BK414" s="29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1" t="n"/>
      <c r="BM414" s="21" t="n"/>
      <c r="BN414" s="27">
        <f>SUM(BL414:BM414)</f>
        <v/>
      </c>
      <c r="BO414" s="28" t="n"/>
      <c r="BP414" s="31" t="n"/>
      <c r="BQ414" s="29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1" t="n"/>
      <c r="BS414" s="21" t="n"/>
      <c r="BT414" s="27">
        <f>SUM(BR414:BS414)</f>
        <v/>
      </c>
      <c r="BU414" s="28" t="n"/>
      <c r="BV414" s="31" t="n"/>
      <c r="BW414" s="29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1" t="n"/>
      <c r="BY414" s="21" t="n"/>
      <c r="BZ414" s="27">
        <f>SUM(BX414:BY414)</f>
        <v/>
      </c>
      <c r="CA414" s="28" t="n"/>
      <c r="CB414" s="31" t="n"/>
      <c r="CC414" s="29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1" t="n"/>
      <c r="CE414" s="21" t="n"/>
      <c r="CF414" s="27">
        <f>SUM(CD414:CE414)</f>
        <v/>
      </c>
      <c r="CG414" s="28" t="n"/>
      <c r="CH414" s="31" t="n"/>
      <c r="CI414" s="29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1" t="n"/>
      <c r="CK414" s="21" t="n"/>
      <c r="CL414" s="27">
        <f>SUM(CJ414:CK414)</f>
        <v/>
      </c>
      <c r="CM414" s="28" t="n"/>
      <c r="CN414" s="31" t="n"/>
      <c r="CO414" s="29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1" t="n"/>
      <c r="CQ414" s="21" t="n"/>
      <c r="CR414" s="27">
        <f>SUM(CP414:CQ414)</f>
        <v/>
      </c>
      <c r="CS414" s="28" t="n"/>
      <c r="CT414" s="31" t="n"/>
      <c r="CU414" s="29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1" t="n"/>
      <c r="CW414" s="21" t="n"/>
      <c r="CX414" s="27">
        <f>SUM(CV414:CW414)</f>
        <v/>
      </c>
      <c r="CY414" s="28" t="n"/>
      <c r="CZ414" s="31" t="n"/>
      <c r="DA414" s="29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1" t="n"/>
      <c r="DC414" s="21" t="n"/>
      <c r="DD414" s="27">
        <f>SUM(DB414:DC414)</f>
        <v/>
      </c>
      <c r="DE414" s="28" t="n"/>
      <c r="DF414" s="31" t="n"/>
      <c r="DG414" s="29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34">
        <f>SUM(O414,U414,AA414,AG414,AM414,AS414,AY414,BE414,BK414,BQ414,BW414,CC414,CI414,CO414,CU414,DA414,DG414)</f>
        <v/>
      </c>
      <c r="DI414" s="39">
        <f>RANK(DH414,DH$4:DH$503)</f>
        <v/>
      </c>
      <c r="DJ414" s="40" t="inlineStr">
        <is>
          <t>CHOOSE RATING</t>
        </is>
      </c>
      <c r="DK414" s="40" t="inlineStr">
        <is>
          <t>CHOOSE RATING</t>
        </is>
      </c>
      <c r="DL414" s="40" t="inlineStr">
        <is>
          <t>CHOOSE RATING</t>
        </is>
      </c>
      <c r="DM414" s="40" t="inlineStr">
        <is>
          <t>CHOOSE RATING</t>
        </is>
      </c>
      <c r="DN414" s="40" t="inlineStr">
        <is>
          <t>CHOOSE RATING</t>
        </is>
      </c>
      <c r="DO414" s="40" t="inlineStr">
        <is>
          <t>CHOOSE RATING</t>
        </is>
      </c>
      <c r="DP414" s="40" t="inlineStr">
        <is>
          <t>CHOOSE RATING</t>
        </is>
      </c>
      <c r="DQ414" s="40" t="inlineStr">
        <is>
          <t>CHOOSE RATING</t>
        </is>
      </c>
      <c r="DR414" s="43" t="inlineStr">
        <is>
          <t>2024/2025</t>
        </is>
      </c>
      <c r="DS414" s="45" t="inlineStr">
        <is>
          <t>THIRD</t>
        </is>
      </c>
      <c r="DT414" s="40" t="inlineStr">
        <is>
          <t>CHOOSE RATING</t>
        </is>
      </c>
      <c r="DU414" s="40" t="inlineStr">
        <is>
          <t>CHOOSE RATING</t>
        </is>
      </c>
      <c r="DV414" s="40" t="inlineStr">
        <is>
          <t>CHOOSE RATING</t>
        </is>
      </c>
      <c r="DW414" s="40" t="inlineStr">
        <is>
          <t>CHOOSE RATING</t>
        </is>
      </c>
      <c r="DX414" s="40" t="inlineStr">
        <is>
          <t>CHOOSE RATING</t>
        </is>
      </c>
      <c r="DY414" s="40" t="inlineStr">
        <is>
          <t>CHOOSE RATING</t>
        </is>
      </c>
      <c r="DZ414" s="53" t="inlineStr">
        <is>
          <t>CHOOSE RATING</t>
        </is>
      </c>
      <c r="EA414" s="54" t="inlineStr">
        <is>
          <t>Add the Tutor's Comment . . .</t>
        </is>
      </c>
      <c r="EB414" s="55" t="inlineStr">
        <is>
          <t>Choose Principals comment</t>
        </is>
      </c>
      <c r="EC414" s="56" t="n"/>
      <c r="ED414" s="57" t="inlineStr">
        <is>
          <t>Next Term Begins on Monday, 22nd September, 2025</t>
        </is>
      </c>
    </row>
    <row r="415" ht="30.6" customHeight="1" s="6">
      <c r="A415" s="18" t="n">
        <v>412</v>
      </c>
      <c r="B415" s="19" t="n"/>
      <c r="C415" s="20" t="n"/>
      <c r="D415" s="128" t="n"/>
      <c r="E415" s="21" t="n"/>
      <c r="F415" s="22" t="n"/>
      <c r="G415" s="22" t="n"/>
      <c r="H415" s="22" t="n"/>
      <c r="I415" s="26">
        <f>G415-H415</f>
        <v/>
      </c>
      <c r="J415" s="21" t="n"/>
      <c r="K415" s="21" t="n"/>
      <c r="L415" s="27">
        <f>SUM(J415:K415)</f>
        <v/>
      </c>
      <c r="M415" s="28" t="n"/>
      <c r="N415" s="28" t="n"/>
      <c r="O415" s="29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1" t="n"/>
      <c r="Q415" s="21" t="n"/>
      <c r="R415" s="27">
        <f>SUM(P415:Q415)</f>
        <v/>
      </c>
      <c r="S415" s="28" t="n"/>
      <c r="T415" s="28" t="n"/>
      <c r="U415" s="29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1" t="n"/>
      <c r="W415" s="21" t="n"/>
      <c r="X415" s="27">
        <f>SUM(V415:W415)</f>
        <v/>
      </c>
      <c r="Y415" s="28" t="n"/>
      <c r="Z415" s="28" t="n"/>
      <c r="AA415" s="29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1" t="n"/>
      <c r="AC415" s="21" t="n"/>
      <c r="AD415" s="27">
        <f>SUM(AB415:AC415)</f>
        <v/>
      </c>
      <c r="AE415" s="28" t="n"/>
      <c r="AF415" s="28" t="n"/>
      <c r="AG415" s="29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1" t="n"/>
      <c r="AI415" s="21" t="n"/>
      <c r="AJ415" s="27">
        <f>SUM(AH415:AI415)</f>
        <v/>
      </c>
      <c r="AK415" s="28" t="n"/>
      <c r="AL415" s="28" t="n"/>
      <c r="AM415" s="29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1" t="n"/>
      <c r="AO415" s="21" t="n"/>
      <c r="AP415" s="27">
        <f>SUM(AN415:AO415)</f>
        <v/>
      </c>
      <c r="AQ415" s="28" t="n"/>
      <c r="AR415" s="30" t="n"/>
      <c r="AS415" s="29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1" t="n"/>
      <c r="AU415" s="21" t="n"/>
      <c r="AV415" s="27">
        <f>SUM(AT415:AU415)</f>
        <v/>
      </c>
      <c r="AW415" s="28" t="n"/>
      <c r="AX415" s="30" t="n"/>
      <c r="AY415" s="29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1" t="n"/>
      <c r="BA415" s="21" t="n"/>
      <c r="BB415" s="27">
        <f>SUM(AZ415:BA415)</f>
        <v/>
      </c>
      <c r="BC415" s="28" t="n"/>
      <c r="BD415" s="28" t="n"/>
      <c r="BE415" s="29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1" t="n"/>
      <c r="BG415" s="21" t="n"/>
      <c r="BH415" s="27">
        <f>SUM(BF415:BG415)</f>
        <v/>
      </c>
      <c r="BI415" s="28" t="n"/>
      <c r="BJ415" s="28" t="n"/>
      <c r="BK415" s="29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1" t="n"/>
      <c r="BM415" s="21" t="n"/>
      <c r="BN415" s="27">
        <f>SUM(BL415:BM415)</f>
        <v/>
      </c>
      <c r="BO415" s="28" t="n"/>
      <c r="BP415" s="31" t="n"/>
      <c r="BQ415" s="29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1" t="n"/>
      <c r="BS415" s="21" t="n"/>
      <c r="BT415" s="27">
        <f>SUM(BR415:BS415)</f>
        <v/>
      </c>
      <c r="BU415" s="28" t="n"/>
      <c r="BV415" s="31" t="n"/>
      <c r="BW415" s="29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1" t="n"/>
      <c r="BY415" s="21" t="n"/>
      <c r="BZ415" s="27">
        <f>SUM(BX415:BY415)</f>
        <v/>
      </c>
      <c r="CA415" s="28" t="n"/>
      <c r="CB415" s="31" t="n"/>
      <c r="CC415" s="29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1" t="n"/>
      <c r="CE415" s="21" t="n"/>
      <c r="CF415" s="27">
        <f>SUM(CD415:CE415)</f>
        <v/>
      </c>
      <c r="CG415" s="28" t="n"/>
      <c r="CH415" s="31" t="n"/>
      <c r="CI415" s="29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1" t="n"/>
      <c r="CK415" s="21" t="n"/>
      <c r="CL415" s="27">
        <f>SUM(CJ415:CK415)</f>
        <v/>
      </c>
      <c r="CM415" s="28" t="n"/>
      <c r="CN415" s="31" t="n"/>
      <c r="CO415" s="29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1" t="n"/>
      <c r="CQ415" s="21" t="n"/>
      <c r="CR415" s="27">
        <f>SUM(CP415:CQ415)</f>
        <v/>
      </c>
      <c r="CS415" s="28" t="n"/>
      <c r="CT415" s="31" t="n"/>
      <c r="CU415" s="29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1" t="n"/>
      <c r="CW415" s="21" t="n"/>
      <c r="CX415" s="27">
        <f>SUM(CV415:CW415)</f>
        <v/>
      </c>
      <c r="CY415" s="28" t="n"/>
      <c r="CZ415" s="31" t="n"/>
      <c r="DA415" s="29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1" t="n"/>
      <c r="DC415" s="21" t="n"/>
      <c r="DD415" s="27">
        <f>SUM(DB415:DC415)</f>
        <v/>
      </c>
      <c r="DE415" s="28" t="n"/>
      <c r="DF415" s="31" t="n"/>
      <c r="DG415" s="29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34">
        <f>SUM(O415,U415,AA415,AG415,AM415,AS415,AY415,BE415,BK415,BQ415,BW415,CC415,CI415,CO415,CU415,DA415,DG415)</f>
        <v/>
      </c>
      <c r="DI415" s="39">
        <f>RANK(DH415,DH$4:DH$503)</f>
        <v/>
      </c>
      <c r="DJ415" s="40" t="inlineStr">
        <is>
          <t>CHOOSE RATING</t>
        </is>
      </c>
      <c r="DK415" s="40" t="inlineStr">
        <is>
          <t>CHOOSE RATING</t>
        </is>
      </c>
      <c r="DL415" s="40" t="inlineStr">
        <is>
          <t>CHOOSE RATING</t>
        </is>
      </c>
      <c r="DM415" s="40" t="inlineStr">
        <is>
          <t>CHOOSE RATING</t>
        </is>
      </c>
      <c r="DN415" s="40" t="inlineStr">
        <is>
          <t>CHOOSE RATING</t>
        </is>
      </c>
      <c r="DO415" s="40" t="inlineStr">
        <is>
          <t>CHOOSE RATING</t>
        </is>
      </c>
      <c r="DP415" s="40" t="inlineStr">
        <is>
          <t>CHOOSE RATING</t>
        </is>
      </c>
      <c r="DQ415" s="40" t="inlineStr">
        <is>
          <t>CHOOSE RATING</t>
        </is>
      </c>
      <c r="DR415" s="43" t="inlineStr">
        <is>
          <t>2024/2025</t>
        </is>
      </c>
      <c r="DS415" s="45" t="inlineStr">
        <is>
          <t>THIRD</t>
        </is>
      </c>
      <c r="DT415" s="40" t="inlineStr">
        <is>
          <t>CHOOSE RATING</t>
        </is>
      </c>
      <c r="DU415" s="40" t="inlineStr">
        <is>
          <t>CHOOSE RATING</t>
        </is>
      </c>
      <c r="DV415" s="40" t="inlineStr">
        <is>
          <t>CHOOSE RATING</t>
        </is>
      </c>
      <c r="DW415" s="40" t="inlineStr">
        <is>
          <t>CHOOSE RATING</t>
        </is>
      </c>
      <c r="DX415" s="40" t="inlineStr">
        <is>
          <t>CHOOSE RATING</t>
        </is>
      </c>
      <c r="DY415" s="40" t="inlineStr">
        <is>
          <t>CHOOSE RATING</t>
        </is>
      </c>
      <c r="DZ415" s="53" t="inlineStr">
        <is>
          <t>CHOOSE RATING</t>
        </is>
      </c>
      <c r="EA415" s="54" t="inlineStr">
        <is>
          <t>Add the Tutor's Comment . . .</t>
        </is>
      </c>
      <c r="EB415" s="55" t="inlineStr">
        <is>
          <t>Choose Principals comment</t>
        </is>
      </c>
      <c r="EC415" s="56" t="n"/>
      <c r="ED415" s="57" t="inlineStr">
        <is>
          <t>Next Term Begins on Monday, 22nd September, 2025</t>
        </is>
      </c>
    </row>
    <row r="416" ht="30.6" customHeight="1" s="6">
      <c r="A416" s="18" t="n">
        <v>413</v>
      </c>
      <c r="B416" s="19" t="n"/>
      <c r="C416" s="20" t="n"/>
      <c r="D416" s="128" t="n"/>
      <c r="E416" s="21" t="n"/>
      <c r="F416" s="22" t="n"/>
      <c r="G416" s="22" t="n"/>
      <c r="H416" s="22" t="n"/>
      <c r="I416" s="26">
        <f>G416-H416</f>
        <v/>
      </c>
      <c r="J416" s="21" t="n"/>
      <c r="K416" s="21" t="n"/>
      <c r="L416" s="27">
        <f>SUM(J416:K416)</f>
        <v/>
      </c>
      <c r="M416" s="28" t="n"/>
      <c r="N416" s="28" t="n"/>
      <c r="O416" s="29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1" t="n"/>
      <c r="Q416" s="21" t="n"/>
      <c r="R416" s="27">
        <f>SUM(P416:Q416)</f>
        <v/>
      </c>
      <c r="S416" s="28" t="n"/>
      <c r="T416" s="28" t="n"/>
      <c r="U416" s="29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1" t="n"/>
      <c r="W416" s="21" t="n"/>
      <c r="X416" s="27">
        <f>SUM(V416:W416)</f>
        <v/>
      </c>
      <c r="Y416" s="28" t="n"/>
      <c r="Z416" s="28" t="n"/>
      <c r="AA416" s="29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1" t="n"/>
      <c r="AC416" s="21" t="n"/>
      <c r="AD416" s="27">
        <f>SUM(AB416:AC416)</f>
        <v/>
      </c>
      <c r="AE416" s="28" t="n"/>
      <c r="AF416" s="28" t="n"/>
      <c r="AG416" s="29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1" t="n"/>
      <c r="AI416" s="21" t="n"/>
      <c r="AJ416" s="27">
        <f>SUM(AH416:AI416)</f>
        <v/>
      </c>
      <c r="AK416" s="28" t="n"/>
      <c r="AL416" s="28" t="n"/>
      <c r="AM416" s="29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1" t="n"/>
      <c r="AO416" s="21" t="n"/>
      <c r="AP416" s="27">
        <f>SUM(AN416:AO416)</f>
        <v/>
      </c>
      <c r="AQ416" s="28" t="n"/>
      <c r="AR416" s="30" t="n"/>
      <c r="AS416" s="29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1" t="n"/>
      <c r="AU416" s="21" t="n"/>
      <c r="AV416" s="27">
        <f>SUM(AT416:AU416)</f>
        <v/>
      </c>
      <c r="AW416" s="28" t="n"/>
      <c r="AX416" s="30" t="n"/>
      <c r="AY416" s="29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1" t="n"/>
      <c r="BA416" s="21" t="n"/>
      <c r="BB416" s="27">
        <f>SUM(AZ416:BA416)</f>
        <v/>
      </c>
      <c r="BC416" s="28" t="n"/>
      <c r="BD416" s="28" t="n"/>
      <c r="BE416" s="29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1" t="n"/>
      <c r="BG416" s="21" t="n"/>
      <c r="BH416" s="27">
        <f>SUM(BF416:BG416)</f>
        <v/>
      </c>
      <c r="BI416" s="28" t="n"/>
      <c r="BJ416" s="28" t="n"/>
      <c r="BK416" s="29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1" t="n"/>
      <c r="BM416" s="21" t="n"/>
      <c r="BN416" s="27">
        <f>SUM(BL416:BM416)</f>
        <v/>
      </c>
      <c r="BO416" s="28" t="n"/>
      <c r="BP416" s="31" t="n"/>
      <c r="BQ416" s="29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1" t="n"/>
      <c r="BS416" s="21" t="n"/>
      <c r="BT416" s="27">
        <f>SUM(BR416:BS416)</f>
        <v/>
      </c>
      <c r="BU416" s="28" t="n"/>
      <c r="BV416" s="31" t="n"/>
      <c r="BW416" s="29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1" t="n"/>
      <c r="BY416" s="21" t="n"/>
      <c r="BZ416" s="27">
        <f>SUM(BX416:BY416)</f>
        <v/>
      </c>
      <c r="CA416" s="28" t="n"/>
      <c r="CB416" s="31" t="n"/>
      <c r="CC416" s="29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1" t="n"/>
      <c r="CE416" s="21" t="n"/>
      <c r="CF416" s="27">
        <f>SUM(CD416:CE416)</f>
        <v/>
      </c>
      <c r="CG416" s="28" t="n"/>
      <c r="CH416" s="31" t="n"/>
      <c r="CI416" s="29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1" t="n"/>
      <c r="CK416" s="21" t="n"/>
      <c r="CL416" s="27">
        <f>SUM(CJ416:CK416)</f>
        <v/>
      </c>
      <c r="CM416" s="28" t="n"/>
      <c r="CN416" s="31" t="n"/>
      <c r="CO416" s="29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1" t="n"/>
      <c r="CQ416" s="21" t="n"/>
      <c r="CR416" s="27">
        <f>SUM(CP416:CQ416)</f>
        <v/>
      </c>
      <c r="CS416" s="28" t="n"/>
      <c r="CT416" s="31" t="n"/>
      <c r="CU416" s="29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1" t="n"/>
      <c r="CW416" s="21" t="n"/>
      <c r="CX416" s="27">
        <f>SUM(CV416:CW416)</f>
        <v/>
      </c>
      <c r="CY416" s="28" t="n"/>
      <c r="CZ416" s="31" t="n"/>
      <c r="DA416" s="29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1" t="n"/>
      <c r="DC416" s="21" t="n"/>
      <c r="DD416" s="27">
        <f>SUM(DB416:DC416)</f>
        <v/>
      </c>
      <c r="DE416" s="28" t="n"/>
      <c r="DF416" s="31" t="n"/>
      <c r="DG416" s="29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34">
        <f>SUM(O416,U416,AA416,AG416,AM416,AS416,AY416,BE416,BK416,BQ416,BW416,CC416,CI416,CO416,CU416,DA416,DG416)</f>
        <v/>
      </c>
      <c r="DI416" s="39">
        <f>RANK(DH416,DH$4:DH$503)</f>
        <v/>
      </c>
      <c r="DJ416" s="40" t="inlineStr">
        <is>
          <t>CHOOSE RATING</t>
        </is>
      </c>
      <c r="DK416" s="40" t="inlineStr">
        <is>
          <t>CHOOSE RATING</t>
        </is>
      </c>
      <c r="DL416" s="40" t="inlineStr">
        <is>
          <t>CHOOSE RATING</t>
        </is>
      </c>
      <c r="DM416" s="40" t="inlineStr">
        <is>
          <t>CHOOSE RATING</t>
        </is>
      </c>
      <c r="DN416" s="40" t="inlineStr">
        <is>
          <t>CHOOSE RATING</t>
        </is>
      </c>
      <c r="DO416" s="40" t="inlineStr">
        <is>
          <t>CHOOSE RATING</t>
        </is>
      </c>
      <c r="DP416" s="40" t="inlineStr">
        <is>
          <t>CHOOSE RATING</t>
        </is>
      </c>
      <c r="DQ416" s="40" t="inlineStr">
        <is>
          <t>CHOOSE RATING</t>
        </is>
      </c>
      <c r="DR416" s="43" t="inlineStr">
        <is>
          <t>2024/2025</t>
        </is>
      </c>
      <c r="DS416" s="45" t="inlineStr">
        <is>
          <t>THIRD</t>
        </is>
      </c>
      <c r="DT416" s="40" t="inlineStr">
        <is>
          <t>CHOOSE RATING</t>
        </is>
      </c>
      <c r="DU416" s="40" t="inlineStr">
        <is>
          <t>CHOOSE RATING</t>
        </is>
      </c>
      <c r="DV416" s="40" t="inlineStr">
        <is>
          <t>CHOOSE RATING</t>
        </is>
      </c>
      <c r="DW416" s="40" t="inlineStr">
        <is>
          <t>CHOOSE RATING</t>
        </is>
      </c>
      <c r="DX416" s="40" t="inlineStr">
        <is>
          <t>CHOOSE RATING</t>
        </is>
      </c>
      <c r="DY416" s="40" t="inlineStr">
        <is>
          <t>CHOOSE RATING</t>
        </is>
      </c>
      <c r="DZ416" s="53" t="inlineStr">
        <is>
          <t>CHOOSE RATING</t>
        </is>
      </c>
      <c r="EA416" s="54" t="inlineStr">
        <is>
          <t>Add the Tutor's Comment . . .</t>
        </is>
      </c>
      <c r="EB416" s="55" t="inlineStr">
        <is>
          <t>Choose Principals comment</t>
        </is>
      </c>
      <c r="EC416" s="56" t="n"/>
      <c r="ED416" s="57" t="inlineStr">
        <is>
          <t>Next Term Begins on Monday, 22nd September, 2025</t>
        </is>
      </c>
    </row>
    <row r="417" ht="30.6" customHeight="1" s="6">
      <c r="A417" s="18" t="n">
        <v>414</v>
      </c>
      <c r="B417" s="19" t="n"/>
      <c r="C417" s="20" t="n"/>
      <c r="D417" s="128" t="n"/>
      <c r="E417" s="21" t="n"/>
      <c r="F417" s="22" t="n"/>
      <c r="G417" s="22" t="n"/>
      <c r="H417" s="22" t="n"/>
      <c r="I417" s="26">
        <f>G417-H417</f>
        <v/>
      </c>
      <c r="J417" s="21" t="n"/>
      <c r="K417" s="21" t="n"/>
      <c r="L417" s="27">
        <f>SUM(J417:K417)</f>
        <v/>
      </c>
      <c r="M417" s="28" t="n"/>
      <c r="N417" s="28" t="n"/>
      <c r="O417" s="29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1" t="n"/>
      <c r="Q417" s="21" t="n"/>
      <c r="R417" s="27">
        <f>SUM(P417:Q417)</f>
        <v/>
      </c>
      <c r="S417" s="28" t="n"/>
      <c r="T417" s="28" t="n"/>
      <c r="U417" s="29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1" t="n"/>
      <c r="W417" s="21" t="n"/>
      <c r="X417" s="27">
        <f>SUM(V417:W417)</f>
        <v/>
      </c>
      <c r="Y417" s="28" t="n"/>
      <c r="Z417" s="28" t="n"/>
      <c r="AA417" s="29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1" t="n"/>
      <c r="AC417" s="21" t="n"/>
      <c r="AD417" s="27">
        <f>SUM(AB417:AC417)</f>
        <v/>
      </c>
      <c r="AE417" s="28" t="n"/>
      <c r="AF417" s="28" t="n"/>
      <c r="AG417" s="29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1" t="n"/>
      <c r="AI417" s="21" t="n"/>
      <c r="AJ417" s="27">
        <f>SUM(AH417:AI417)</f>
        <v/>
      </c>
      <c r="AK417" s="28" t="n"/>
      <c r="AL417" s="28" t="n"/>
      <c r="AM417" s="29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1" t="n"/>
      <c r="AO417" s="21" t="n"/>
      <c r="AP417" s="27">
        <f>SUM(AN417:AO417)</f>
        <v/>
      </c>
      <c r="AQ417" s="28" t="n"/>
      <c r="AR417" s="30" t="n"/>
      <c r="AS417" s="29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1" t="n"/>
      <c r="AU417" s="21" t="n"/>
      <c r="AV417" s="27">
        <f>SUM(AT417:AU417)</f>
        <v/>
      </c>
      <c r="AW417" s="28" t="n"/>
      <c r="AX417" s="30" t="n"/>
      <c r="AY417" s="29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1" t="n"/>
      <c r="BA417" s="21" t="n"/>
      <c r="BB417" s="27">
        <f>SUM(AZ417:BA417)</f>
        <v/>
      </c>
      <c r="BC417" s="28" t="n"/>
      <c r="BD417" s="28" t="n"/>
      <c r="BE417" s="29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1" t="n"/>
      <c r="BG417" s="21" t="n"/>
      <c r="BH417" s="27">
        <f>SUM(BF417:BG417)</f>
        <v/>
      </c>
      <c r="BI417" s="28" t="n"/>
      <c r="BJ417" s="28" t="n"/>
      <c r="BK417" s="29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1" t="n"/>
      <c r="BM417" s="21" t="n"/>
      <c r="BN417" s="27">
        <f>SUM(BL417:BM417)</f>
        <v/>
      </c>
      <c r="BO417" s="28" t="n"/>
      <c r="BP417" s="31" t="n"/>
      <c r="BQ417" s="29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1" t="n"/>
      <c r="BS417" s="21" t="n"/>
      <c r="BT417" s="27">
        <f>SUM(BR417:BS417)</f>
        <v/>
      </c>
      <c r="BU417" s="28" t="n"/>
      <c r="BV417" s="31" t="n"/>
      <c r="BW417" s="29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1" t="n"/>
      <c r="BY417" s="21" t="n"/>
      <c r="BZ417" s="27">
        <f>SUM(BX417:BY417)</f>
        <v/>
      </c>
      <c r="CA417" s="28" t="n"/>
      <c r="CB417" s="31" t="n"/>
      <c r="CC417" s="29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1" t="n"/>
      <c r="CE417" s="21" t="n"/>
      <c r="CF417" s="27">
        <f>SUM(CD417:CE417)</f>
        <v/>
      </c>
      <c r="CG417" s="28" t="n"/>
      <c r="CH417" s="31" t="n"/>
      <c r="CI417" s="29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1" t="n"/>
      <c r="CK417" s="21" t="n"/>
      <c r="CL417" s="27">
        <f>SUM(CJ417:CK417)</f>
        <v/>
      </c>
      <c r="CM417" s="28" t="n"/>
      <c r="CN417" s="31" t="n"/>
      <c r="CO417" s="29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1" t="n"/>
      <c r="CQ417" s="21" t="n"/>
      <c r="CR417" s="27">
        <f>SUM(CP417:CQ417)</f>
        <v/>
      </c>
      <c r="CS417" s="28" t="n"/>
      <c r="CT417" s="31" t="n"/>
      <c r="CU417" s="29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1" t="n"/>
      <c r="CW417" s="21" t="n"/>
      <c r="CX417" s="27">
        <f>SUM(CV417:CW417)</f>
        <v/>
      </c>
      <c r="CY417" s="28" t="n"/>
      <c r="CZ417" s="31" t="n"/>
      <c r="DA417" s="29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1" t="n"/>
      <c r="DC417" s="21" t="n"/>
      <c r="DD417" s="27">
        <f>SUM(DB417:DC417)</f>
        <v/>
      </c>
      <c r="DE417" s="28" t="n"/>
      <c r="DF417" s="31" t="n"/>
      <c r="DG417" s="29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34">
        <f>SUM(O417,U417,AA417,AG417,AM417,AS417,AY417,BE417,BK417,BQ417,BW417,CC417,CI417,CO417,CU417,DA417,DG417)</f>
        <v/>
      </c>
      <c r="DI417" s="39">
        <f>RANK(DH417,DH$4:DH$503)</f>
        <v/>
      </c>
      <c r="DJ417" s="40" t="inlineStr">
        <is>
          <t>CHOOSE RATING</t>
        </is>
      </c>
      <c r="DK417" s="40" t="inlineStr">
        <is>
          <t>CHOOSE RATING</t>
        </is>
      </c>
      <c r="DL417" s="40" t="inlineStr">
        <is>
          <t>CHOOSE RATING</t>
        </is>
      </c>
      <c r="DM417" s="40" t="inlineStr">
        <is>
          <t>CHOOSE RATING</t>
        </is>
      </c>
      <c r="DN417" s="40" t="inlineStr">
        <is>
          <t>CHOOSE RATING</t>
        </is>
      </c>
      <c r="DO417" s="40" t="inlineStr">
        <is>
          <t>CHOOSE RATING</t>
        </is>
      </c>
      <c r="DP417" s="40" t="inlineStr">
        <is>
          <t>CHOOSE RATING</t>
        </is>
      </c>
      <c r="DQ417" s="40" t="inlineStr">
        <is>
          <t>CHOOSE RATING</t>
        </is>
      </c>
      <c r="DR417" s="43" t="inlineStr">
        <is>
          <t>2024/2025</t>
        </is>
      </c>
      <c r="DS417" s="45" t="inlineStr">
        <is>
          <t>THIRD</t>
        </is>
      </c>
      <c r="DT417" s="40" t="inlineStr">
        <is>
          <t>CHOOSE RATING</t>
        </is>
      </c>
      <c r="DU417" s="40" t="inlineStr">
        <is>
          <t>CHOOSE RATING</t>
        </is>
      </c>
      <c r="DV417" s="40" t="inlineStr">
        <is>
          <t>CHOOSE RATING</t>
        </is>
      </c>
      <c r="DW417" s="40" t="inlineStr">
        <is>
          <t>CHOOSE RATING</t>
        </is>
      </c>
      <c r="DX417" s="40" t="inlineStr">
        <is>
          <t>CHOOSE RATING</t>
        </is>
      </c>
      <c r="DY417" s="40" t="inlineStr">
        <is>
          <t>CHOOSE RATING</t>
        </is>
      </c>
      <c r="DZ417" s="53" t="inlineStr">
        <is>
          <t>CHOOSE RATING</t>
        </is>
      </c>
      <c r="EA417" s="54" t="inlineStr">
        <is>
          <t>Add the Tutor's Comment . . .</t>
        </is>
      </c>
      <c r="EB417" s="55" t="inlineStr">
        <is>
          <t>Choose Principals comment</t>
        </is>
      </c>
      <c r="EC417" s="56" t="n"/>
      <c r="ED417" s="57" t="inlineStr">
        <is>
          <t>Next Term Begins on Monday, 22nd September, 2025</t>
        </is>
      </c>
    </row>
    <row r="418" ht="30.6" customHeight="1" s="6">
      <c r="A418" s="18" t="n">
        <v>415</v>
      </c>
      <c r="B418" s="19" t="n"/>
      <c r="C418" s="20" t="n"/>
      <c r="D418" s="128" t="n"/>
      <c r="E418" s="21" t="n"/>
      <c r="F418" s="22" t="n"/>
      <c r="G418" s="22" t="n"/>
      <c r="H418" s="22" t="n"/>
      <c r="I418" s="26">
        <f>G418-H418</f>
        <v/>
      </c>
      <c r="J418" s="21" t="n"/>
      <c r="K418" s="21" t="n"/>
      <c r="L418" s="27">
        <f>SUM(J418:K418)</f>
        <v/>
      </c>
      <c r="M418" s="28" t="n"/>
      <c r="N418" s="28" t="n"/>
      <c r="O418" s="29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1" t="n"/>
      <c r="Q418" s="21" t="n"/>
      <c r="R418" s="27">
        <f>SUM(P418:Q418)</f>
        <v/>
      </c>
      <c r="S418" s="28" t="n"/>
      <c r="T418" s="28" t="n"/>
      <c r="U418" s="29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1" t="n"/>
      <c r="W418" s="21" t="n"/>
      <c r="X418" s="27">
        <f>SUM(V418:W418)</f>
        <v/>
      </c>
      <c r="Y418" s="28" t="n"/>
      <c r="Z418" s="28" t="n"/>
      <c r="AA418" s="29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1" t="n"/>
      <c r="AC418" s="21" t="n"/>
      <c r="AD418" s="27">
        <f>SUM(AB418:AC418)</f>
        <v/>
      </c>
      <c r="AE418" s="28" t="n"/>
      <c r="AF418" s="28" t="n"/>
      <c r="AG418" s="29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1" t="n"/>
      <c r="AI418" s="21" t="n"/>
      <c r="AJ418" s="27">
        <f>SUM(AH418:AI418)</f>
        <v/>
      </c>
      <c r="AK418" s="28" t="n"/>
      <c r="AL418" s="28" t="n"/>
      <c r="AM418" s="29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1" t="n"/>
      <c r="AO418" s="21" t="n"/>
      <c r="AP418" s="27">
        <f>SUM(AN418:AO418)</f>
        <v/>
      </c>
      <c r="AQ418" s="28" t="n"/>
      <c r="AR418" s="30" t="n"/>
      <c r="AS418" s="29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1" t="n"/>
      <c r="AU418" s="21" t="n"/>
      <c r="AV418" s="27">
        <f>SUM(AT418:AU418)</f>
        <v/>
      </c>
      <c r="AW418" s="28" t="n"/>
      <c r="AX418" s="30" t="n"/>
      <c r="AY418" s="29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1" t="n"/>
      <c r="BA418" s="21" t="n"/>
      <c r="BB418" s="27">
        <f>SUM(AZ418:BA418)</f>
        <v/>
      </c>
      <c r="BC418" s="28" t="n"/>
      <c r="BD418" s="28" t="n"/>
      <c r="BE418" s="29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1" t="n"/>
      <c r="BG418" s="21" t="n"/>
      <c r="BH418" s="27">
        <f>SUM(BF418:BG418)</f>
        <v/>
      </c>
      <c r="BI418" s="28" t="n"/>
      <c r="BJ418" s="28" t="n"/>
      <c r="BK418" s="29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1" t="n"/>
      <c r="BM418" s="21" t="n"/>
      <c r="BN418" s="27">
        <f>SUM(BL418:BM418)</f>
        <v/>
      </c>
      <c r="BO418" s="28" t="n"/>
      <c r="BP418" s="31" t="n"/>
      <c r="BQ418" s="29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1" t="n"/>
      <c r="BS418" s="21" t="n"/>
      <c r="BT418" s="27">
        <f>SUM(BR418:BS418)</f>
        <v/>
      </c>
      <c r="BU418" s="28" t="n"/>
      <c r="BV418" s="31" t="n"/>
      <c r="BW418" s="29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1" t="n"/>
      <c r="BY418" s="21" t="n"/>
      <c r="BZ418" s="27">
        <f>SUM(BX418:BY418)</f>
        <v/>
      </c>
      <c r="CA418" s="28" t="n"/>
      <c r="CB418" s="31" t="n"/>
      <c r="CC418" s="29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1" t="n"/>
      <c r="CE418" s="21" t="n"/>
      <c r="CF418" s="27">
        <f>SUM(CD418:CE418)</f>
        <v/>
      </c>
      <c r="CG418" s="28" t="n"/>
      <c r="CH418" s="31" t="n"/>
      <c r="CI418" s="29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1" t="n"/>
      <c r="CK418" s="21" t="n"/>
      <c r="CL418" s="27">
        <f>SUM(CJ418:CK418)</f>
        <v/>
      </c>
      <c r="CM418" s="28" t="n"/>
      <c r="CN418" s="31" t="n"/>
      <c r="CO418" s="29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1" t="n"/>
      <c r="CQ418" s="21" t="n"/>
      <c r="CR418" s="27">
        <f>SUM(CP418:CQ418)</f>
        <v/>
      </c>
      <c r="CS418" s="28" t="n"/>
      <c r="CT418" s="31" t="n"/>
      <c r="CU418" s="29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1" t="n"/>
      <c r="CW418" s="21" t="n"/>
      <c r="CX418" s="27">
        <f>SUM(CV418:CW418)</f>
        <v/>
      </c>
      <c r="CY418" s="28" t="n"/>
      <c r="CZ418" s="31" t="n"/>
      <c r="DA418" s="29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1" t="n"/>
      <c r="DC418" s="21" t="n"/>
      <c r="DD418" s="27">
        <f>SUM(DB418:DC418)</f>
        <v/>
      </c>
      <c r="DE418" s="28" t="n"/>
      <c r="DF418" s="31" t="n"/>
      <c r="DG418" s="29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34">
        <f>SUM(O418,U418,AA418,AG418,AM418,AS418,AY418,BE418,BK418,BQ418,BW418,CC418,CI418,CO418,CU418,DA418,DG418)</f>
        <v/>
      </c>
      <c r="DI418" s="39">
        <f>RANK(DH418,DH$4:DH$503)</f>
        <v/>
      </c>
      <c r="DJ418" s="40" t="inlineStr">
        <is>
          <t>CHOOSE RATING</t>
        </is>
      </c>
      <c r="DK418" s="40" t="inlineStr">
        <is>
          <t>CHOOSE RATING</t>
        </is>
      </c>
      <c r="DL418" s="40" t="inlineStr">
        <is>
          <t>CHOOSE RATING</t>
        </is>
      </c>
      <c r="DM418" s="40" t="inlineStr">
        <is>
          <t>CHOOSE RATING</t>
        </is>
      </c>
      <c r="DN418" s="40" t="inlineStr">
        <is>
          <t>CHOOSE RATING</t>
        </is>
      </c>
      <c r="DO418" s="40" t="inlineStr">
        <is>
          <t>CHOOSE RATING</t>
        </is>
      </c>
      <c r="DP418" s="40" t="inlineStr">
        <is>
          <t>CHOOSE RATING</t>
        </is>
      </c>
      <c r="DQ418" s="40" t="inlineStr">
        <is>
          <t>CHOOSE RATING</t>
        </is>
      </c>
      <c r="DR418" s="43" t="inlineStr">
        <is>
          <t>2024/2025</t>
        </is>
      </c>
      <c r="DS418" s="45" t="inlineStr">
        <is>
          <t>THIRD</t>
        </is>
      </c>
      <c r="DT418" s="40" t="inlineStr">
        <is>
          <t>CHOOSE RATING</t>
        </is>
      </c>
      <c r="DU418" s="40" t="inlineStr">
        <is>
          <t>CHOOSE RATING</t>
        </is>
      </c>
      <c r="DV418" s="40" t="inlineStr">
        <is>
          <t>CHOOSE RATING</t>
        </is>
      </c>
      <c r="DW418" s="40" t="inlineStr">
        <is>
          <t>CHOOSE RATING</t>
        </is>
      </c>
      <c r="DX418" s="40" t="inlineStr">
        <is>
          <t>CHOOSE RATING</t>
        </is>
      </c>
      <c r="DY418" s="40" t="inlineStr">
        <is>
          <t>CHOOSE RATING</t>
        </is>
      </c>
      <c r="DZ418" s="53" t="inlineStr">
        <is>
          <t>CHOOSE RATING</t>
        </is>
      </c>
      <c r="EA418" s="54" t="inlineStr">
        <is>
          <t>Add the Tutor's Comment . . .</t>
        </is>
      </c>
      <c r="EB418" s="55" t="inlineStr">
        <is>
          <t>Choose Principals comment</t>
        </is>
      </c>
      <c r="EC418" s="56" t="n"/>
      <c r="ED418" s="57" t="inlineStr">
        <is>
          <t>Next Term Begins on Monday, 22nd September, 2025</t>
        </is>
      </c>
    </row>
    <row r="419" ht="30.6" customHeight="1" s="6">
      <c r="A419" s="18" t="n">
        <v>416</v>
      </c>
      <c r="B419" s="19" t="n"/>
      <c r="C419" s="20" t="n"/>
      <c r="D419" s="128" t="n"/>
      <c r="E419" s="21" t="n"/>
      <c r="F419" s="22" t="n"/>
      <c r="G419" s="22" t="n"/>
      <c r="H419" s="22" t="n"/>
      <c r="I419" s="26">
        <f>G419-H419</f>
        <v/>
      </c>
      <c r="J419" s="21" t="n"/>
      <c r="K419" s="21" t="n"/>
      <c r="L419" s="27">
        <f>SUM(J419:K419)</f>
        <v/>
      </c>
      <c r="M419" s="28" t="n"/>
      <c r="N419" s="28" t="n"/>
      <c r="O419" s="29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1" t="n"/>
      <c r="Q419" s="21" t="n"/>
      <c r="R419" s="27">
        <f>SUM(P419:Q419)</f>
        <v/>
      </c>
      <c r="S419" s="28" t="n"/>
      <c r="T419" s="28" t="n"/>
      <c r="U419" s="29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1" t="n"/>
      <c r="W419" s="21" t="n"/>
      <c r="X419" s="27">
        <f>SUM(V419:W419)</f>
        <v/>
      </c>
      <c r="Y419" s="28" t="n"/>
      <c r="Z419" s="28" t="n"/>
      <c r="AA419" s="29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1" t="n"/>
      <c r="AC419" s="21" t="n"/>
      <c r="AD419" s="27">
        <f>SUM(AB419:AC419)</f>
        <v/>
      </c>
      <c r="AE419" s="28" t="n"/>
      <c r="AF419" s="28" t="n"/>
      <c r="AG419" s="29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1" t="n"/>
      <c r="AI419" s="21" t="n"/>
      <c r="AJ419" s="27">
        <f>SUM(AH419:AI419)</f>
        <v/>
      </c>
      <c r="AK419" s="28" t="n"/>
      <c r="AL419" s="28" t="n"/>
      <c r="AM419" s="29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1" t="n"/>
      <c r="AO419" s="21" t="n"/>
      <c r="AP419" s="27">
        <f>SUM(AN419:AO419)</f>
        <v/>
      </c>
      <c r="AQ419" s="28" t="n"/>
      <c r="AR419" s="30" t="n"/>
      <c r="AS419" s="29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1" t="n"/>
      <c r="AU419" s="21" t="n"/>
      <c r="AV419" s="27">
        <f>SUM(AT419:AU419)</f>
        <v/>
      </c>
      <c r="AW419" s="28" t="n"/>
      <c r="AX419" s="30" t="n"/>
      <c r="AY419" s="29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1" t="n"/>
      <c r="BA419" s="21" t="n"/>
      <c r="BB419" s="27">
        <f>SUM(AZ419:BA419)</f>
        <v/>
      </c>
      <c r="BC419" s="28" t="n"/>
      <c r="BD419" s="28" t="n"/>
      <c r="BE419" s="29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1" t="n"/>
      <c r="BG419" s="21" t="n"/>
      <c r="BH419" s="27">
        <f>SUM(BF419:BG419)</f>
        <v/>
      </c>
      <c r="BI419" s="28" t="n"/>
      <c r="BJ419" s="28" t="n"/>
      <c r="BK419" s="29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1" t="n"/>
      <c r="BM419" s="21" t="n"/>
      <c r="BN419" s="27">
        <f>SUM(BL419:BM419)</f>
        <v/>
      </c>
      <c r="BO419" s="28" t="n"/>
      <c r="BP419" s="31" t="n"/>
      <c r="BQ419" s="29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1" t="n"/>
      <c r="BS419" s="21" t="n"/>
      <c r="BT419" s="27">
        <f>SUM(BR419:BS419)</f>
        <v/>
      </c>
      <c r="BU419" s="28" t="n"/>
      <c r="BV419" s="31" t="n"/>
      <c r="BW419" s="29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1" t="n"/>
      <c r="BY419" s="21" t="n"/>
      <c r="BZ419" s="27">
        <f>SUM(BX419:BY419)</f>
        <v/>
      </c>
      <c r="CA419" s="28" t="n"/>
      <c r="CB419" s="31" t="n"/>
      <c r="CC419" s="29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1" t="n"/>
      <c r="CE419" s="21" t="n"/>
      <c r="CF419" s="27">
        <f>SUM(CD419:CE419)</f>
        <v/>
      </c>
      <c r="CG419" s="28" t="n"/>
      <c r="CH419" s="31" t="n"/>
      <c r="CI419" s="29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1" t="n"/>
      <c r="CK419" s="21" t="n"/>
      <c r="CL419" s="27">
        <f>SUM(CJ419:CK419)</f>
        <v/>
      </c>
      <c r="CM419" s="28" t="n"/>
      <c r="CN419" s="31" t="n"/>
      <c r="CO419" s="29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1" t="n"/>
      <c r="CQ419" s="21" t="n"/>
      <c r="CR419" s="27">
        <f>SUM(CP419:CQ419)</f>
        <v/>
      </c>
      <c r="CS419" s="28" t="n"/>
      <c r="CT419" s="31" t="n"/>
      <c r="CU419" s="29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1" t="n"/>
      <c r="CW419" s="21" t="n"/>
      <c r="CX419" s="27">
        <f>SUM(CV419:CW419)</f>
        <v/>
      </c>
      <c r="CY419" s="28" t="n"/>
      <c r="CZ419" s="31" t="n"/>
      <c r="DA419" s="29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1" t="n"/>
      <c r="DC419" s="21" t="n"/>
      <c r="DD419" s="27">
        <f>SUM(DB419:DC419)</f>
        <v/>
      </c>
      <c r="DE419" s="28" t="n"/>
      <c r="DF419" s="31" t="n"/>
      <c r="DG419" s="29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34">
        <f>SUM(O419,U419,AA419,AG419,AM419,AS419,AY419,BE419,BK419,BQ419,BW419,CC419,CI419,CO419,CU419,DA419,DG419)</f>
        <v/>
      </c>
      <c r="DI419" s="39">
        <f>RANK(DH419,DH$4:DH$503)</f>
        <v/>
      </c>
      <c r="DJ419" s="40" t="inlineStr">
        <is>
          <t>CHOOSE RATING</t>
        </is>
      </c>
      <c r="DK419" s="40" t="inlineStr">
        <is>
          <t>CHOOSE RATING</t>
        </is>
      </c>
      <c r="DL419" s="40" t="inlineStr">
        <is>
          <t>CHOOSE RATING</t>
        </is>
      </c>
      <c r="DM419" s="40" t="inlineStr">
        <is>
          <t>CHOOSE RATING</t>
        </is>
      </c>
      <c r="DN419" s="40" t="inlineStr">
        <is>
          <t>CHOOSE RATING</t>
        </is>
      </c>
      <c r="DO419" s="40" t="inlineStr">
        <is>
          <t>CHOOSE RATING</t>
        </is>
      </c>
      <c r="DP419" s="40" t="inlineStr">
        <is>
          <t>CHOOSE RATING</t>
        </is>
      </c>
      <c r="DQ419" s="40" t="inlineStr">
        <is>
          <t>CHOOSE RATING</t>
        </is>
      </c>
      <c r="DR419" s="43" t="inlineStr">
        <is>
          <t>2024/2025</t>
        </is>
      </c>
      <c r="DS419" s="45" t="inlineStr">
        <is>
          <t>THIRD</t>
        </is>
      </c>
      <c r="DT419" s="40" t="inlineStr">
        <is>
          <t>CHOOSE RATING</t>
        </is>
      </c>
      <c r="DU419" s="40" t="inlineStr">
        <is>
          <t>CHOOSE RATING</t>
        </is>
      </c>
      <c r="DV419" s="40" t="inlineStr">
        <is>
          <t>CHOOSE RATING</t>
        </is>
      </c>
      <c r="DW419" s="40" t="inlineStr">
        <is>
          <t>CHOOSE RATING</t>
        </is>
      </c>
      <c r="DX419" s="40" t="inlineStr">
        <is>
          <t>CHOOSE RATING</t>
        </is>
      </c>
      <c r="DY419" s="40" t="inlineStr">
        <is>
          <t>CHOOSE RATING</t>
        </is>
      </c>
      <c r="DZ419" s="53" t="inlineStr">
        <is>
          <t>CHOOSE RATING</t>
        </is>
      </c>
      <c r="EA419" s="54" t="inlineStr">
        <is>
          <t>Add the Tutor's Comment . . .</t>
        </is>
      </c>
      <c r="EB419" s="55" t="inlineStr">
        <is>
          <t>Choose Principals comment</t>
        </is>
      </c>
      <c r="EC419" s="56" t="n"/>
      <c r="ED419" s="57" t="inlineStr">
        <is>
          <t>Next Term Begins on Monday, 22nd September, 2025</t>
        </is>
      </c>
    </row>
    <row r="420" ht="30.6" customHeight="1" s="6">
      <c r="A420" s="18" t="n">
        <v>417</v>
      </c>
      <c r="B420" s="19" t="n"/>
      <c r="C420" s="20" t="n"/>
      <c r="D420" s="128" t="n"/>
      <c r="E420" s="21" t="n"/>
      <c r="F420" s="22" t="n"/>
      <c r="G420" s="22" t="n"/>
      <c r="H420" s="22" t="n"/>
      <c r="I420" s="26">
        <f>G420-H420</f>
        <v/>
      </c>
      <c r="J420" s="21" t="n"/>
      <c r="K420" s="21" t="n"/>
      <c r="L420" s="27">
        <f>SUM(J420:K420)</f>
        <v/>
      </c>
      <c r="M420" s="28" t="n"/>
      <c r="N420" s="28" t="n"/>
      <c r="O420" s="29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1" t="n"/>
      <c r="Q420" s="21" t="n"/>
      <c r="R420" s="27">
        <f>SUM(P420:Q420)</f>
        <v/>
      </c>
      <c r="S420" s="28" t="n"/>
      <c r="T420" s="28" t="n"/>
      <c r="U420" s="29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1" t="n"/>
      <c r="W420" s="21" t="n"/>
      <c r="X420" s="27">
        <f>SUM(V420:W420)</f>
        <v/>
      </c>
      <c r="Y420" s="28" t="n"/>
      <c r="Z420" s="28" t="n"/>
      <c r="AA420" s="29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1" t="n"/>
      <c r="AC420" s="21" t="n"/>
      <c r="AD420" s="27">
        <f>SUM(AB420:AC420)</f>
        <v/>
      </c>
      <c r="AE420" s="28" t="n"/>
      <c r="AF420" s="28" t="n"/>
      <c r="AG420" s="29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1" t="n"/>
      <c r="AI420" s="21" t="n"/>
      <c r="AJ420" s="27">
        <f>SUM(AH420:AI420)</f>
        <v/>
      </c>
      <c r="AK420" s="28" t="n"/>
      <c r="AL420" s="28" t="n"/>
      <c r="AM420" s="29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1" t="n"/>
      <c r="AO420" s="21" t="n"/>
      <c r="AP420" s="27">
        <f>SUM(AN420:AO420)</f>
        <v/>
      </c>
      <c r="AQ420" s="28" t="n"/>
      <c r="AR420" s="30" t="n"/>
      <c r="AS420" s="29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1" t="n"/>
      <c r="AU420" s="21" t="n"/>
      <c r="AV420" s="27">
        <f>SUM(AT420:AU420)</f>
        <v/>
      </c>
      <c r="AW420" s="28" t="n"/>
      <c r="AX420" s="30" t="n"/>
      <c r="AY420" s="29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1" t="n"/>
      <c r="BA420" s="21" t="n"/>
      <c r="BB420" s="27">
        <f>SUM(AZ420:BA420)</f>
        <v/>
      </c>
      <c r="BC420" s="28" t="n"/>
      <c r="BD420" s="28" t="n"/>
      <c r="BE420" s="29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1" t="n"/>
      <c r="BG420" s="21" t="n"/>
      <c r="BH420" s="27">
        <f>SUM(BF420:BG420)</f>
        <v/>
      </c>
      <c r="BI420" s="28" t="n"/>
      <c r="BJ420" s="28" t="n"/>
      <c r="BK420" s="29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1" t="n"/>
      <c r="BM420" s="21" t="n"/>
      <c r="BN420" s="27">
        <f>SUM(BL420:BM420)</f>
        <v/>
      </c>
      <c r="BO420" s="28" t="n"/>
      <c r="BP420" s="31" t="n"/>
      <c r="BQ420" s="29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1" t="n"/>
      <c r="BS420" s="21" t="n"/>
      <c r="BT420" s="27">
        <f>SUM(BR420:BS420)</f>
        <v/>
      </c>
      <c r="BU420" s="28" t="n"/>
      <c r="BV420" s="31" t="n"/>
      <c r="BW420" s="29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1" t="n"/>
      <c r="BY420" s="21" t="n"/>
      <c r="BZ420" s="27">
        <f>SUM(BX420:BY420)</f>
        <v/>
      </c>
      <c r="CA420" s="28" t="n"/>
      <c r="CB420" s="31" t="n"/>
      <c r="CC420" s="29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1" t="n"/>
      <c r="CE420" s="21" t="n"/>
      <c r="CF420" s="27">
        <f>SUM(CD420:CE420)</f>
        <v/>
      </c>
      <c r="CG420" s="28" t="n"/>
      <c r="CH420" s="31" t="n"/>
      <c r="CI420" s="29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1" t="n"/>
      <c r="CK420" s="21" t="n"/>
      <c r="CL420" s="27">
        <f>SUM(CJ420:CK420)</f>
        <v/>
      </c>
      <c r="CM420" s="28" t="n"/>
      <c r="CN420" s="31" t="n"/>
      <c r="CO420" s="29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1" t="n"/>
      <c r="CQ420" s="21" t="n"/>
      <c r="CR420" s="27">
        <f>SUM(CP420:CQ420)</f>
        <v/>
      </c>
      <c r="CS420" s="28" t="n"/>
      <c r="CT420" s="31" t="n"/>
      <c r="CU420" s="29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1" t="n"/>
      <c r="CW420" s="21" t="n"/>
      <c r="CX420" s="27">
        <f>SUM(CV420:CW420)</f>
        <v/>
      </c>
      <c r="CY420" s="28" t="n"/>
      <c r="CZ420" s="31" t="n"/>
      <c r="DA420" s="29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1" t="n"/>
      <c r="DC420" s="21" t="n"/>
      <c r="DD420" s="27">
        <f>SUM(DB420:DC420)</f>
        <v/>
      </c>
      <c r="DE420" s="28" t="n"/>
      <c r="DF420" s="31" t="n"/>
      <c r="DG420" s="29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34">
        <f>SUM(O420,U420,AA420,AG420,AM420,AS420,AY420,BE420,BK420,BQ420,BW420,CC420,CI420,CO420,CU420,DA420,DG420)</f>
        <v/>
      </c>
      <c r="DI420" s="39">
        <f>RANK(DH420,DH$4:DH$503)</f>
        <v/>
      </c>
      <c r="DJ420" s="40" t="inlineStr">
        <is>
          <t>CHOOSE RATING</t>
        </is>
      </c>
      <c r="DK420" s="40" t="inlineStr">
        <is>
          <t>CHOOSE RATING</t>
        </is>
      </c>
      <c r="DL420" s="40" t="inlineStr">
        <is>
          <t>CHOOSE RATING</t>
        </is>
      </c>
      <c r="DM420" s="40" t="inlineStr">
        <is>
          <t>CHOOSE RATING</t>
        </is>
      </c>
      <c r="DN420" s="40" t="inlineStr">
        <is>
          <t>CHOOSE RATING</t>
        </is>
      </c>
      <c r="DO420" s="40" t="inlineStr">
        <is>
          <t>CHOOSE RATING</t>
        </is>
      </c>
      <c r="DP420" s="40" t="inlineStr">
        <is>
          <t>CHOOSE RATING</t>
        </is>
      </c>
      <c r="DQ420" s="40" t="inlineStr">
        <is>
          <t>CHOOSE RATING</t>
        </is>
      </c>
      <c r="DR420" s="43" t="inlineStr">
        <is>
          <t>2024/2025</t>
        </is>
      </c>
      <c r="DS420" s="45" t="inlineStr">
        <is>
          <t>THIRD</t>
        </is>
      </c>
      <c r="DT420" s="40" t="inlineStr">
        <is>
          <t>CHOOSE RATING</t>
        </is>
      </c>
      <c r="DU420" s="40" t="inlineStr">
        <is>
          <t>CHOOSE RATING</t>
        </is>
      </c>
      <c r="DV420" s="40" t="inlineStr">
        <is>
          <t>CHOOSE RATING</t>
        </is>
      </c>
      <c r="DW420" s="40" t="inlineStr">
        <is>
          <t>CHOOSE RATING</t>
        </is>
      </c>
      <c r="DX420" s="40" t="inlineStr">
        <is>
          <t>CHOOSE RATING</t>
        </is>
      </c>
      <c r="DY420" s="40" t="inlineStr">
        <is>
          <t>CHOOSE RATING</t>
        </is>
      </c>
      <c r="DZ420" s="53" t="inlineStr">
        <is>
          <t>CHOOSE RATING</t>
        </is>
      </c>
      <c r="EA420" s="54" t="inlineStr">
        <is>
          <t>Add the Tutor's Comment . . .</t>
        </is>
      </c>
      <c r="EB420" s="55" t="inlineStr">
        <is>
          <t>Choose Principals comment</t>
        </is>
      </c>
      <c r="EC420" s="56" t="n"/>
      <c r="ED420" s="57" t="inlineStr">
        <is>
          <t>Next Term Begins on Monday, 22nd September, 2025</t>
        </is>
      </c>
    </row>
    <row r="421" ht="30.6" customHeight="1" s="6">
      <c r="A421" s="18" t="n">
        <v>418</v>
      </c>
      <c r="B421" s="19" t="n"/>
      <c r="C421" s="20" t="n"/>
      <c r="D421" s="128" t="n"/>
      <c r="E421" s="21" t="n"/>
      <c r="F421" s="22" t="n"/>
      <c r="G421" s="22" t="n"/>
      <c r="H421" s="22" t="n"/>
      <c r="I421" s="26">
        <f>G421-H421</f>
        <v/>
      </c>
      <c r="J421" s="21" t="n"/>
      <c r="K421" s="21" t="n"/>
      <c r="L421" s="27">
        <f>SUM(J421:K421)</f>
        <v/>
      </c>
      <c r="M421" s="28" t="n"/>
      <c r="N421" s="28" t="n"/>
      <c r="O421" s="29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1" t="n"/>
      <c r="Q421" s="21" t="n"/>
      <c r="R421" s="27">
        <f>SUM(P421:Q421)</f>
        <v/>
      </c>
      <c r="S421" s="28" t="n"/>
      <c r="T421" s="28" t="n"/>
      <c r="U421" s="29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1" t="n"/>
      <c r="W421" s="21" t="n"/>
      <c r="X421" s="27">
        <f>SUM(V421:W421)</f>
        <v/>
      </c>
      <c r="Y421" s="28" t="n"/>
      <c r="Z421" s="28" t="n"/>
      <c r="AA421" s="29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1" t="n"/>
      <c r="AC421" s="21" t="n"/>
      <c r="AD421" s="27">
        <f>SUM(AB421:AC421)</f>
        <v/>
      </c>
      <c r="AE421" s="28" t="n"/>
      <c r="AF421" s="28" t="n"/>
      <c r="AG421" s="29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1" t="n"/>
      <c r="AI421" s="21" t="n"/>
      <c r="AJ421" s="27">
        <f>SUM(AH421:AI421)</f>
        <v/>
      </c>
      <c r="AK421" s="28" t="n"/>
      <c r="AL421" s="28" t="n"/>
      <c r="AM421" s="29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1" t="n"/>
      <c r="AO421" s="21" t="n"/>
      <c r="AP421" s="27">
        <f>SUM(AN421:AO421)</f>
        <v/>
      </c>
      <c r="AQ421" s="28" t="n"/>
      <c r="AR421" s="30" t="n"/>
      <c r="AS421" s="29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1" t="n"/>
      <c r="AU421" s="21" t="n"/>
      <c r="AV421" s="27">
        <f>SUM(AT421:AU421)</f>
        <v/>
      </c>
      <c r="AW421" s="28" t="n"/>
      <c r="AX421" s="30" t="n"/>
      <c r="AY421" s="29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1" t="n"/>
      <c r="BA421" s="21" t="n"/>
      <c r="BB421" s="27">
        <f>SUM(AZ421:BA421)</f>
        <v/>
      </c>
      <c r="BC421" s="28" t="n"/>
      <c r="BD421" s="28" t="n"/>
      <c r="BE421" s="29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1" t="n"/>
      <c r="BG421" s="21" t="n"/>
      <c r="BH421" s="27">
        <f>SUM(BF421:BG421)</f>
        <v/>
      </c>
      <c r="BI421" s="28" t="n"/>
      <c r="BJ421" s="28" t="n"/>
      <c r="BK421" s="29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1" t="n"/>
      <c r="BM421" s="21" t="n"/>
      <c r="BN421" s="27">
        <f>SUM(BL421:BM421)</f>
        <v/>
      </c>
      <c r="BO421" s="28" t="n"/>
      <c r="BP421" s="31" t="n"/>
      <c r="BQ421" s="29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1" t="n"/>
      <c r="BS421" s="21" t="n"/>
      <c r="BT421" s="27">
        <f>SUM(BR421:BS421)</f>
        <v/>
      </c>
      <c r="BU421" s="28" t="n"/>
      <c r="BV421" s="31" t="n"/>
      <c r="BW421" s="29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1" t="n"/>
      <c r="BY421" s="21" t="n"/>
      <c r="BZ421" s="27">
        <f>SUM(BX421:BY421)</f>
        <v/>
      </c>
      <c r="CA421" s="28" t="n"/>
      <c r="CB421" s="31" t="n"/>
      <c r="CC421" s="29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1" t="n"/>
      <c r="CE421" s="21" t="n"/>
      <c r="CF421" s="27">
        <f>SUM(CD421:CE421)</f>
        <v/>
      </c>
      <c r="CG421" s="28" t="n"/>
      <c r="CH421" s="31" t="n"/>
      <c r="CI421" s="29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1" t="n"/>
      <c r="CK421" s="21" t="n"/>
      <c r="CL421" s="27">
        <f>SUM(CJ421:CK421)</f>
        <v/>
      </c>
      <c r="CM421" s="28" t="n"/>
      <c r="CN421" s="31" t="n"/>
      <c r="CO421" s="29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1" t="n"/>
      <c r="CQ421" s="21" t="n"/>
      <c r="CR421" s="27">
        <f>SUM(CP421:CQ421)</f>
        <v/>
      </c>
      <c r="CS421" s="28" t="n"/>
      <c r="CT421" s="31" t="n"/>
      <c r="CU421" s="29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1" t="n"/>
      <c r="CW421" s="21" t="n"/>
      <c r="CX421" s="27">
        <f>SUM(CV421:CW421)</f>
        <v/>
      </c>
      <c r="CY421" s="28" t="n"/>
      <c r="CZ421" s="31" t="n"/>
      <c r="DA421" s="29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1" t="n"/>
      <c r="DC421" s="21" t="n"/>
      <c r="DD421" s="27">
        <f>SUM(DB421:DC421)</f>
        <v/>
      </c>
      <c r="DE421" s="28" t="n"/>
      <c r="DF421" s="31" t="n"/>
      <c r="DG421" s="29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34">
        <f>SUM(O421,U421,AA421,AG421,AM421,AS421,AY421,BE421,BK421,BQ421,BW421,CC421,CI421,CO421,CU421,DA421,DG421)</f>
        <v/>
      </c>
      <c r="DI421" s="39">
        <f>RANK(DH421,DH$4:DH$503)</f>
        <v/>
      </c>
      <c r="DJ421" s="40" t="inlineStr">
        <is>
          <t>CHOOSE RATING</t>
        </is>
      </c>
      <c r="DK421" s="40" t="inlineStr">
        <is>
          <t>CHOOSE RATING</t>
        </is>
      </c>
      <c r="DL421" s="40" t="inlineStr">
        <is>
          <t>CHOOSE RATING</t>
        </is>
      </c>
      <c r="DM421" s="40" t="inlineStr">
        <is>
          <t>CHOOSE RATING</t>
        </is>
      </c>
      <c r="DN421" s="40" t="inlineStr">
        <is>
          <t>CHOOSE RATING</t>
        </is>
      </c>
      <c r="DO421" s="40" t="inlineStr">
        <is>
          <t>CHOOSE RATING</t>
        </is>
      </c>
      <c r="DP421" s="40" t="inlineStr">
        <is>
          <t>CHOOSE RATING</t>
        </is>
      </c>
      <c r="DQ421" s="40" t="inlineStr">
        <is>
          <t>CHOOSE RATING</t>
        </is>
      </c>
      <c r="DR421" s="43" t="inlineStr">
        <is>
          <t>2024/2025</t>
        </is>
      </c>
      <c r="DS421" s="45" t="inlineStr">
        <is>
          <t>THIRD</t>
        </is>
      </c>
      <c r="DT421" s="40" t="inlineStr">
        <is>
          <t>CHOOSE RATING</t>
        </is>
      </c>
      <c r="DU421" s="40" t="inlineStr">
        <is>
          <t>CHOOSE RATING</t>
        </is>
      </c>
      <c r="DV421" s="40" t="inlineStr">
        <is>
          <t>CHOOSE RATING</t>
        </is>
      </c>
      <c r="DW421" s="40" t="inlineStr">
        <is>
          <t>CHOOSE RATING</t>
        </is>
      </c>
      <c r="DX421" s="40" t="inlineStr">
        <is>
          <t>CHOOSE RATING</t>
        </is>
      </c>
      <c r="DY421" s="40" t="inlineStr">
        <is>
          <t>CHOOSE RATING</t>
        </is>
      </c>
      <c r="DZ421" s="53" t="inlineStr">
        <is>
          <t>CHOOSE RATING</t>
        </is>
      </c>
      <c r="EA421" s="54" t="inlineStr">
        <is>
          <t>Add the Tutor's Comment . . .</t>
        </is>
      </c>
      <c r="EB421" s="55" t="inlineStr">
        <is>
          <t>Choose Principals comment</t>
        </is>
      </c>
      <c r="EC421" s="56" t="n"/>
      <c r="ED421" s="57" t="inlineStr">
        <is>
          <t>Next Term Begins on Monday, 22nd September, 2025</t>
        </is>
      </c>
    </row>
    <row r="422" ht="30.6" customHeight="1" s="6">
      <c r="A422" s="18" t="n">
        <v>419</v>
      </c>
      <c r="B422" s="19" t="n"/>
      <c r="C422" s="20" t="n"/>
      <c r="D422" s="128" t="n"/>
      <c r="E422" s="21" t="n"/>
      <c r="F422" s="22" t="n"/>
      <c r="G422" s="22" t="n"/>
      <c r="H422" s="22" t="n"/>
      <c r="I422" s="26">
        <f>G422-H422</f>
        <v/>
      </c>
      <c r="J422" s="21" t="n"/>
      <c r="K422" s="21" t="n"/>
      <c r="L422" s="27">
        <f>SUM(J422:K422)</f>
        <v/>
      </c>
      <c r="M422" s="28" t="n"/>
      <c r="N422" s="28" t="n"/>
      <c r="O422" s="29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1" t="n"/>
      <c r="Q422" s="21" t="n"/>
      <c r="R422" s="27">
        <f>SUM(P422:Q422)</f>
        <v/>
      </c>
      <c r="S422" s="28" t="n"/>
      <c r="T422" s="28" t="n"/>
      <c r="U422" s="29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1" t="n"/>
      <c r="W422" s="21" t="n"/>
      <c r="X422" s="27">
        <f>SUM(V422:W422)</f>
        <v/>
      </c>
      <c r="Y422" s="28" t="n"/>
      <c r="Z422" s="28" t="n"/>
      <c r="AA422" s="29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1" t="n"/>
      <c r="AC422" s="21" t="n"/>
      <c r="AD422" s="27">
        <f>SUM(AB422:AC422)</f>
        <v/>
      </c>
      <c r="AE422" s="28" t="n"/>
      <c r="AF422" s="28" t="n"/>
      <c r="AG422" s="29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1" t="n"/>
      <c r="AI422" s="21" t="n"/>
      <c r="AJ422" s="27">
        <f>SUM(AH422:AI422)</f>
        <v/>
      </c>
      <c r="AK422" s="28" t="n"/>
      <c r="AL422" s="28" t="n"/>
      <c r="AM422" s="29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1" t="n"/>
      <c r="AO422" s="21" t="n"/>
      <c r="AP422" s="27">
        <f>SUM(AN422:AO422)</f>
        <v/>
      </c>
      <c r="AQ422" s="28" t="n"/>
      <c r="AR422" s="30" t="n"/>
      <c r="AS422" s="29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1" t="n"/>
      <c r="AU422" s="21" t="n"/>
      <c r="AV422" s="27">
        <f>SUM(AT422:AU422)</f>
        <v/>
      </c>
      <c r="AW422" s="28" t="n"/>
      <c r="AX422" s="30" t="n"/>
      <c r="AY422" s="29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1" t="n"/>
      <c r="BA422" s="21" t="n"/>
      <c r="BB422" s="27">
        <f>SUM(AZ422:BA422)</f>
        <v/>
      </c>
      <c r="BC422" s="28" t="n"/>
      <c r="BD422" s="28" t="n"/>
      <c r="BE422" s="29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1" t="n"/>
      <c r="BG422" s="21" t="n"/>
      <c r="BH422" s="27">
        <f>SUM(BF422:BG422)</f>
        <v/>
      </c>
      <c r="BI422" s="28" t="n"/>
      <c r="BJ422" s="28" t="n"/>
      <c r="BK422" s="29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1" t="n"/>
      <c r="BM422" s="21" t="n"/>
      <c r="BN422" s="27">
        <f>SUM(BL422:BM422)</f>
        <v/>
      </c>
      <c r="BO422" s="28" t="n"/>
      <c r="BP422" s="31" t="n"/>
      <c r="BQ422" s="29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1" t="n"/>
      <c r="BS422" s="21" t="n"/>
      <c r="BT422" s="27">
        <f>SUM(BR422:BS422)</f>
        <v/>
      </c>
      <c r="BU422" s="28" t="n"/>
      <c r="BV422" s="31" t="n"/>
      <c r="BW422" s="29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1" t="n"/>
      <c r="BY422" s="21" t="n"/>
      <c r="BZ422" s="27">
        <f>SUM(BX422:BY422)</f>
        <v/>
      </c>
      <c r="CA422" s="28" t="n"/>
      <c r="CB422" s="31" t="n"/>
      <c r="CC422" s="29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1" t="n"/>
      <c r="CE422" s="21" t="n"/>
      <c r="CF422" s="27">
        <f>SUM(CD422:CE422)</f>
        <v/>
      </c>
      <c r="CG422" s="28" t="n"/>
      <c r="CH422" s="31" t="n"/>
      <c r="CI422" s="29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1" t="n"/>
      <c r="CK422" s="21" t="n"/>
      <c r="CL422" s="27">
        <f>SUM(CJ422:CK422)</f>
        <v/>
      </c>
      <c r="CM422" s="28" t="n"/>
      <c r="CN422" s="31" t="n"/>
      <c r="CO422" s="29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1" t="n"/>
      <c r="CQ422" s="21" t="n"/>
      <c r="CR422" s="27">
        <f>SUM(CP422:CQ422)</f>
        <v/>
      </c>
      <c r="CS422" s="28" t="n"/>
      <c r="CT422" s="31" t="n"/>
      <c r="CU422" s="29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1" t="n"/>
      <c r="CW422" s="21" t="n"/>
      <c r="CX422" s="27">
        <f>SUM(CV422:CW422)</f>
        <v/>
      </c>
      <c r="CY422" s="28" t="n"/>
      <c r="CZ422" s="31" t="n"/>
      <c r="DA422" s="29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1" t="n"/>
      <c r="DC422" s="21" t="n"/>
      <c r="DD422" s="27">
        <f>SUM(DB422:DC422)</f>
        <v/>
      </c>
      <c r="DE422" s="28" t="n"/>
      <c r="DF422" s="31" t="n"/>
      <c r="DG422" s="29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34">
        <f>SUM(O422,U422,AA422,AG422,AM422,AS422,AY422,BE422,BK422,BQ422,BW422,CC422,CI422,CO422,CU422,DA422,DG422)</f>
        <v/>
      </c>
      <c r="DI422" s="39">
        <f>RANK(DH422,DH$4:DH$503)</f>
        <v/>
      </c>
      <c r="DJ422" s="40" t="inlineStr">
        <is>
          <t>CHOOSE RATING</t>
        </is>
      </c>
      <c r="DK422" s="40" t="inlineStr">
        <is>
          <t>CHOOSE RATING</t>
        </is>
      </c>
      <c r="DL422" s="40" t="inlineStr">
        <is>
          <t>CHOOSE RATING</t>
        </is>
      </c>
      <c r="DM422" s="40" t="inlineStr">
        <is>
          <t>CHOOSE RATING</t>
        </is>
      </c>
      <c r="DN422" s="40" t="inlineStr">
        <is>
          <t>CHOOSE RATING</t>
        </is>
      </c>
      <c r="DO422" s="40" t="inlineStr">
        <is>
          <t>CHOOSE RATING</t>
        </is>
      </c>
      <c r="DP422" s="40" t="inlineStr">
        <is>
          <t>CHOOSE RATING</t>
        </is>
      </c>
      <c r="DQ422" s="40" t="inlineStr">
        <is>
          <t>CHOOSE RATING</t>
        </is>
      </c>
      <c r="DR422" s="43" t="inlineStr">
        <is>
          <t>2024/2025</t>
        </is>
      </c>
      <c r="DS422" s="45" t="inlineStr">
        <is>
          <t>THIRD</t>
        </is>
      </c>
      <c r="DT422" s="40" t="inlineStr">
        <is>
          <t>CHOOSE RATING</t>
        </is>
      </c>
      <c r="DU422" s="40" t="inlineStr">
        <is>
          <t>CHOOSE RATING</t>
        </is>
      </c>
      <c r="DV422" s="40" t="inlineStr">
        <is>
          <t>CHOOSE RATING</t>
        </is>
      </c>
      <c r="DW422" s="40" t="inlineStr">
        <is>
          <t>CHOOSE RATING</t>
        </is>
      </c>
      <c r="DX422" s="40" t="inlineStr">
        <is>
          <t>CHOOSE RATING</t>
        </is>
      </c>
      <c r="DY422" s="40" t="inlineStr">
        <is>
          <t>CHOOSE RATING</t>
        </is>
      </c>
      <c r="DZ422" s="53" t="inlineStr">
        <is>
          <t>CHOOSE RATING</t>
        </is>
      </c>
      <c r="EA422" s="54" t="inlineStr">
        <is>
          <t>Add the Tutor's Comment . . .</t>
        </is>
      </c>
      <c r="EB422" s="55" t="inlineStr">
        <is>
          <t>Choose Principals comment</t>
        </is>
      </c>
      <c r="EC422" s="56" t="n"/>
      <c r="ED422" s="57" t="inlineStr">
        <is>
          <t>Next Term Begins on Monday, 22nd September, 2025</t>
        </is>
      </c>
    </row>
    <row r="423" ht="30.6" customHeight="1" s="6">
      <c r="A423" s="18" t="n">
        <v>420</v>
      </c>
      <c r="B423" s="19" t="n"/>
      <c r="C423" s="20" t="n"/>
      <c r="D423" s="128" t="n"/>
      <c r="E423" s="21" t="n"/>
      <c r="F423" s="22" t="n"/>
      <c r="G423" s="22" t="n"/>
      <c r="H423" s="22" t="n"/>
      <c r="I423" s="26">
        <f>G423-H423</f>
        <v/>
      </c>
      <c r="J423" s="21" t="n"/>
      <c r="K423" s="21" t="n"/>
      <c r="L423" s="27">
        <f>SUM(J423:K423)</f>
        <v/>
      </c>
      <c r="M423" s="28" t="n"/>
      <c r="N423" s="28" t="n"/>
      <c r="O423" s="29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1" t="n"/>
      <c r="Q423" s="21" t="n"/>
      <c r="R423" s="27">
        <f>SUM(P423:Q423)</f>
        <v/>
      </c>
      <c r="S423" s="28" t="n"/>
      <c r="T423" s="28" t="n"/>
      <c r="U423" s="29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1" t="n"/>
      <c r="W423" s="21" t="n"/>
      <c r="X423" s="27">
        <f>SUM(V423:W423)</f>
        <v/>
      </c>
      <c r="Y423" s="28" t="n"/>
      <c r="Z423" s="28" t="n"/>
      <c r="AA423" s="29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1" t="n"/>
      <c r="AC423" s="21" t="n"/>
      <c r="AD423" s="27">
        <f>SUM(AB423:AC423)</f>
        <v/>
      </c>
      <c r="AE423" s="28" t="n"/>
      <c r="AF423" s="28" t="n"/>
      <c r="AG423" s="29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1" t="n"/>
      <c r="AI423" s="21" t="n"/>
      <c r="AJ423" s="27">
        <f>SUM(AH423:AI423)</f>
        <v/>
      </c>
      <c r="AK423" s="28" t="n"/>
      <c r="AL423" s="28" t="n"/>
      <c r="AM423" s="29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1" t="n"/>
      <c r="AO423" s="21" t="n"/>
      <c r="AP423" s="27">
        <f>SUM(AN423:AO423)</f>
        <v/>
      </c>
      <c r="AQ423" s="28" t="n"/>
      <c r="AR423" s="30" t="n"/>
      <c r="AS423" s="29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1" t="n"/>
      <c r="AU423" s="21" t="n"/>
      <c r="AV423" s="27">
        <f>SUM(AT423:AU423)</f>
        <v/>
      </c>
      <c r="AW423" s="28" t="n"/>
      <c r="AX423" s="30" t="n"/>
      <c r="AY423" s="29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1" t="n"/>
      <c r="BA423" s="21" t="n"/>
      <c r="BB423" s="27">
        <f>SUM(AZ423:BA423)</f>
        <v/>
      </c>
      <c r="BC423" s="28" t="n"/>
      <c r="BD423" s="28" t="n"/>
      <c r="BE423" s="29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1" t="n"/>
      <c r="BG423" s="21" t="n"/>
      <c r="BH423" s="27">
        <f>SUM(BF423:BG423)</f>
        <v/>
      </c>
      <c r="BI423" s="28" t="n"/>
      <c r="BJ423" s="28" t="n"/>
      <c r="BK423" s="29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1" t="n"/>
      <c r="BM423" s="21" t="n"/>
      <c r="BN423" s="27">
        <f>SUM(BL423:BM423)</f>
        <v/>
      </c>
      <c r="BO423" s="28" t="n"/>
      <c r="BP423" s="31" t="n"/>
      <c r="BQ423" s="29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1" t="n"/>
      <c r="BS423" s="21" t="n"/>
      <c r="BT423" s="27">
        <f>SUM(BR423:BS423)</f>
        <v/>
      </c>
      <c r="BU423" s="28" t="n"/>
      <c r="BV423" s="31" t="n"/>
      <c r="BW423" s="29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1" t="n"/>
      <c r="BY423" s="21" t="n"/>
      <c r="BZ423" s="27">
        <f>SUM(BX423:BY423)</f>
        <v/>
      </c>
      <c r="CA423" s="28" t="n"/>
      <c r="CB423" s="31" t="n"/>
      <c r="CC423" s="29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1" t="n"/>
      <c r="CE423" s="21" t="n"/>
      <c r="CF423" s="27">
        <f>SUM(CD423:CE423)</f>
        <v/>
      </c>
      <c r="CG423" s="28" t="n"/>
      <c r="CH423" s="31" t="n"/>
      <c r="CI423" s="29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1" t="n"/>
      <c r="CK423" s="21" t="n"/>
      <c r="CL423" s="27">
        <f>SUM(CJ423:CK423)</f>
        <v/>
      </c>
      <c r="CM423" s="28" t="n"/>
      <c r="CN423" s="31" t="n"/>
      <c r="CO423" s="29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1" t="n"/>
      <c r="CQ423" s="21" t="n"/>
      <c r="CR423" s="27">
        <f>SUM(CP423:CQ423)</f>
        <v/>
      </c>
      <c r="CS423" s="28" t="n"/>
      <c r="CT423" s="31" t="n"/>
      <c r="CU423" s="29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1" t="n"/>
      <c r="CW423" s="21" t="n"/>
      <c r="CX423" s="27">
        <f>SUM(CV423:CW423)</f>
        <v/>
      </c>
      <c r="CY423" s="28" t="n"/>
      <c r="CZ423" s="31" t="n"/>
      <c r="DA423" s="29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1" t="n"/>
      <c r="DC423" s="21" t="n"/>
      <c r="DD423" s="27">
        <f>SUM(DB423:DC423)</f>
        <v/>
      </c>
      <c r="DE423" s="28" t="n"/>
      <c r="DF423" s="31" t="n"/>
      <c r="DG423" s="29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34">
        <f>SUM(O423,U423,AA423,AG423,AM423,AS423,AY423,BE423,BK423,BQ423,BW423,CC423,CI423,CO423,CU423,DA423,DG423)</f>
        <v/>
      </c>
      <c r="DI423" s="39">
        <f>RANK(DH423,DH$4:DH$503)</f>
        <v/>
      </c>
      <c r="DJ423" s="40" t="inlineStr">
        <is>
          <t>CHOOSE RATING</t>
        </is>
      </c>
      <c r="DK423" s="40" t="inlineStr">
        <is>
          <t>CHOOSE RATING</t>
        </is>
      </c>
      <c r="DL423" s="40" t="inlineStr">
        <is>
          <t>CHOOSE RATING</t>
        </is>
      </c>
      <c r="DM423" s="40" t="inlineStr">
        <is>
          <t>CHOOSE RATING</t>
        </is>
      </c>
      <c r="DN423" s="40" t="inlineStr">
        <is>
          <t>CHOOSE RATING</t>
        </is>
      </c>
      <c r="DO423" s="40" t="inlineStr">
        <is>
          <t>CHOOSE RATING</t>
        </is>
      </c>
      <c r="DP423" s="40" t="inlineStr">
        <is>
          <t>CHOOSE RATING</t>
        </is>
      </c>
      <c r="DQ423" s="40" t="inlineStr">
        <is>
          <t>CHOOSE RATING</t>
        </is>
      </c>
      <c r="DR423" s="43" t="inlineStr">
        <is>
          <t>2024/2025</t>
        </is>
      </c>
      <c r="DS423" s="45" t="inlineStr">
        <is>
          <t>THIRD</t>
        </is>
      </c>
      <c r="DT423" s="40" t="inlineStr">
        <is>
          <t>CHOOSE RATING</t>
        </is>
      </c>
      <c r="DU423" s="40" t="inlineStr">
        <is>
          <t>CHOOSE RATING</t>
        </is>
      </c>
      <c r="DV423" s="40" t="inlineStr">
        <is>
          <t>CHOOSE RATING</t>
        </is>
      </c>
      <c r="DW423" s="40" t="inlineStr">
        <is>
          <t>CHOOSE RATING</t>
        </is>
      </c>
      <c r="DX423" s="40" t="inlineStr">
        <is>
          <t>CHOOSE RATING</t>
        </is>
      </c>
      <c r="DY423" s="40" t="inlineStr">
        <is>
          <t>CHOOSE RATING</t>
        </is>
      </c>
      <c r="DZ423" s="53" t="inlineStr">
        <is>
          <t>CHOOSE RATING</t>
        </is>
      </c>
      <c r="EA423" s="54" t="inlineStr">
        <is>
          <t>Add the Tutor's Comment . . .</t>
        </is>
      </c>
      <c r="EB423" s="55" t="inlineStr">
        <is>
          <t>Choose Principals comment</t>
        </is>
      </c>
      <c r="EC423" s="56" t="n"/>
      <c r="ED423" s="57" t="inlineStr">
        <is>
          <t>Next Term Begins on Monday, 22nd September, 2025</t>
        </is>
      </c>
    </row>
    <row r="424" ht="30.6" customHeight="1" s="6">
      <c r="A424" s="18" t="n">
        <v>421</v>
      </c>
      <c r="B424" s="19" t="n"/>
      <c r="C424" s="20" t="n"/>
      <c r="D424" s="128" t="n"/>
      <c r="E424" s="21" t="n"/>
      <c r="F424" s="22" t="n"/>
      <c r="G424" s="22" t="n"/>
      <c r="H424" s="22" t="n"/>
      <c r="I424" s="26">
        <f>G424-H424</f>
        <v/>
      </c>
      <c r="J424" s="21" t="n"/>
      <c r="K424" s="21" t="n"/>
      <c r="L424" s="27">
        <f>SUM(J424:K424)</f>
        <v/>
      </c>
      <c r="M424" s="28" t="n"/>
      <c r="N424" s="28" t="n"/>
      <c r="O424" s="29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1" t="n"/>
      <c r="Q424" s="21" t="n"/>
      <c r="R424" s="27">
        <f>SUM(P424:Q424)</f>
        <v/>
      </c>
      <c r="S424" s="28" t="n"/>
      <c r="T424" s="28" t="n"/>
      <c r="U424" s="29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1" t="n"/>
      <c r="W424" s="21" t="n"/>
      <c r="X424" s="27">
        <f>SUM(V424:W424)</f>
        <v/>
      </c>
      <c r="Y424" s="28" t="n"/>
      <c r="Z424" s="28" t="n"/>
      <c r="AA424" s="29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1" t="n"/>
      <c r="AC424" s="21" t="n"/>
      <c r="AD424" s="27">
        <f>SUM(AB424:AC424)</f>
        <v/>
      </c>
      <c r="AE424" s="28" t="n"/>
      <c r="AF424" s="28" t="n"/>
      <c r="AG424" s="29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1" t="n"/>
      <c r="AI424" s="21" t="n"/>
      <c r="AJ424" s="27">
        <f>SUM(AH424:AI424)</f>
        <v/>
      </c>
      <c r="AK424" s="28" t="n"/>
      <c r="AL424" s="28" t="n"/>
      <c r="AM424" s="29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1" t="n"/>
      <c r="AO424" s="21" t="n"/>
      <c r="AP424" s="27">
        <f>SUM(AN424:AO424)</f>
        <v/>
      </c>
      <c r="AQ424" s="28" t="n"/>
      <c r="AR424" s="30" t="n"/>
      <c r="AS424" s="29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1" t="n"/>
      <c r="AU424" s="21" t="n"/>
      <c r="AV424" s="27">
        <f>SUM(AT424:AU424)</f>
        <v/>
      </c>
      <c r="AW424" s="28" t="n"/>
      <c r="AX424" s="30" t="n"/>
      <c r="AY424" s="29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1" t="n"/>
      <c r="BA424" s="21" t="n"/>
      <c r="BB424" s="27">
        <f>SUM(AZ424:BA424)</f>
        <v/>
      </c>
      <c r="BC424" s="28" t="n"/>
      <c r="BD424" s="28" t="n"/>
      <c r="BE424" s="29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1" t="n"/>
      <c r="BG424" s="21" t="n"/>
      <c r="BH424" s="27">
        <f>SUM(BF424:BG424)</f>
        <v/>
      </c>
      <c r="BI424" s="28" t="n"/>
      <c r="BJ424" s="28" t="n"/>
      <c r="BK424" s="29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1" t="n"/>
      <c r="BM424" s="21" t="n"/>
      <c r="BN424" s="27">
        <f>SUM(BL424:BM424)</f>
        <v/>
      </c>
      <c r="BO424" s="28" t="n"/>
      <c r="BP424" s="31" t="n"/>
      <c r="BQ424" s="29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1" t="n"/>
      <c r="BS424" s="21" t="n"/>
      <c r="BT424" s="27">
        <f>SUM(BR424:BS424)</f>
        <v/>
      </c>
      <c r="BU424" s="28" t="n"/>
      <c r="BV424" s="31" t="n"/>
      <c r="BW424" s="29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1" t="n"/>
      <c r="BY424" s="21" t="n"/>
      <c r="BZ424" s="27">
        <f>SUM(BX424:BY424)</f>
        <v/>
      </c>
      <c r="CA424" s="28" t="n"/>
      <c r="CB424" s="31" t="n"/>
      <c r="CC424" s="29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1" t="n"/>
      <c r="CE424" s="21" t="n"/>
      <c r="CF424" s="27">
        <f>SUM(CD424:CE424)</f>
        <v/>
      </c>
      <c r="CG424" s="28" t="n"/>
      <c r="CH424" s="31" t="n"/>
      <c r="CI424" s="29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1" t="n"/>
      <c r="CK424" s="21" t="n"/>
      <c r="CL424" s="27">
        <f>SUM(CJ424:CK424)</f>
        <v/>
      </c>
      <c r="CM424" s="28" t="n"/>
      <c r="CN424" s="31" t="n"/>
      <c r="CO424" s="29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1" t="n"/>
      <c r="CQ424" s="21" t="n"/>
      <c r="CR424" s="27">
        <f>SUM(CP424:CQ424)</f>
        <v/>
      </c>
      <c r="CS424" s="28" t="n"/>
      <c r="CT424" s="31" t="n"/>
      <c r="CU424" s="29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1" t="n"/>
      <c r="CW424" s="21" t="n"/>
      <c r="CX424" s="27">
        <f>SUM(CV424:CW424)</f>
        <v/>
      </c>
      <c r="CY424" s="28" t="n"/>
      <c r="CZ424" s="31" t="n"/>
      <c r="DA424" s="29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1" t="n"/>
      <c r="DC424" s="21" t="n"/>
      <c r="DD424" s="27">
        <f>SUM(DB424:DC424)</f>
        <v/>
      </c>
      <c r="DE424" s="28" t="n"/>
      <c r="DF424" s="31" t="n"/>
      <c r="DG424" s="29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34">
        <f>SUM(O424,U424,AA424,AG424,AM424,AS424,AY424,BE424,BK424,BQ424,BW424,CC424,CI424,CO424,CU424,DA424,DG424)</f>
        <v/>
      </c>
      <c r="DI424" s="39">
        <f>RANK(DH424,DH$4:DH$503)</f>
        <v/>
      </c>
      <c r="DJ424" s="40" t="inlineStr">
        <is>
          <t>CHOOSE RATING</t>
        </is>
      </c>
      <c r="DK424" s="40" t="inlineStr">
        <is>
          <t>CHOOSE RATING</t>
        </is>
      </c>
      <c r="DL424" s="40" t="inlineStr">
        <is>
          <t>CHOOSE RATING</t>
        </is>
      </c>
      <c r="DM424" s="40" t="inlineStr">
        <is>
          <t>CHOOSE RATING</t>
        </is>
      </c>
      <c r="DN424" s="40" t="inlineStr">
        <is>
          <t>CHOOSE RATING</t>
        </is>
      </c>
      <c r="DO424" s="40" t="inlineStr">
        <is>
          <t>CHOOSE RATING</t>
        </is>
      </c>
      <c r="DP424" s="40" t="inlineStr">
        <is>
          <t>CHOOSE RATING</t>
        </is>
      </c>
      <c r="DQ424" s="40" t="inlineStr">
        <is>
          <t>CHOOSE RATING</t>
        </is>
      </c>
      <c r="DR424" s="43" t="inlineStr">
        <is>
          <t>2024/2025</t>
        </is>
      </c>
      <c r="DS424" s="45" t="inlineStr">
        <is>
          <t>THIRD</t>
        </is>
      </c>
      <c r="DT424" s="40" t="inlineStr">
        <is>
          <t>CHOOSE RATING</t>
        </is>
      </c>
      <c r="DU424" s="40" t="inlineStr">
        <is>
          <t>CHOOSE RATING</t>
        </is>
      </c>
      <c r="DV424" s="40" t="inlineStr">
        <is>
          <t>CHOOSE RATING</t>
        </is>
      </c>
      <c r="DW424" s="40" t="inlineStr">
        <is>
          <t>CHOOSE RATING</t>
        </is>
      </c>
      <c r="DX424" s="40" t="inlineStr">
        <is>
          <t>CHOOSE RATING</t>
        </is>
      </c>
      <c r="DY424" s="40" t="inlineStr">
        <is>
          <t>CHOOSE RATING</t>
        </is>
      </c>
      <c r="DZ424" s="53" t="inlineStr">
        <is>
          <t>CHOOSE RATING</t>
        </is>
      </c>
      <c r="EA424" s="54" t="inlineStr">
        <is>
          <t>Add the Tutor's Comment . . .</t>
        </is>
      </c>
      <c r="EB424" s="55" t="inlineStr">
        <is>
          <t>Choose Principals comment</t>
        </is>
      </c>
      <c r="EC424" s="56" t="n"/>
      <c r="ED424" s="57" t="inlineStr">
        <is>
          <t>Next Term Begins on Monday, 22nd September, 2025</t>
        </is>
      </c>
    </row>
    <row r="425" ht="30.6" customHeight="1" s="6">
      <c r="A425" s="18" t="n">
        <v>422</v>
      </c>
      <c r="B425" s="19" t="n"/>
      <c r="C425" s="20" t="n"/>
      <c r="D425" s="128" t="n"/>
      <c r="E425" s="21" t="n"/>
      <c r="F425" s="22" t="n"/>
      <c r="G425" s="22" t="n"/>
      <c r="H425" s="22" t="n"/>
      <c r="I425" s="26">
        <f>G425-H425</f>
        <v/>
      </c>
      <c r="J425" s="21" t="n"/>
      <c r="K425" s="21" t="n"/>
      <c r="L425" s="27">
        <f>SUM(J425:K425)</f>
        <v/>
      </c>
      <c r="M425" s="28" t="n"/>
      <c r="N425" s="28" t="n"/>
      <c r="O425" s="29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1" t="n"/>
      <c r="Q425" s="21" t="n"/>
      <c r="R425" s="27">
        <f>SUM(P425:Q425)</f>
        <v/>
      </c>
      <c r="S425" s="28" t="n"/>
      <c r="T425" s="28" t="n"/>
      <c r="U425" s="29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1" t="n"/>
      <c r="W425" s="21" t="n"/>
      <c r="X425" s="27">
        <f>SUM(V425:W425)</f>
        <v/>
      </c>
      <c r="Y425" s="28" t="n"/>
      <c r="Z425" s="28" t="n"/>
      <c r="AA425" s="29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1" t="n"/>
      <c r="AC425" s="21" t="n"/>
      <c r="AD425" s="27">
        <f>SUM(AB425:AC425)</f>
        <v/>
      </c>
      <c r="AE425" s="28" t="n"/>
      <c r="AF425" s="28" t="n"/>
      <c r="AG425" s="29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1" t="n"/>
      <c r="AI425" s="21" t="n"/>
      <c r="AJ425" s="27">
        <f>SUM(AH425:AI425)</f>
        <v/>
      </c>
      <c r="AK425" s="28" t="n"/>
      <c r="AL425" s="28" t="n"/>
      <c r="AM425" s="29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1" t="n"/>
      <c r="AO425" s="21" t="n"/>
      <c r="AP425" s="27">
        <f>SUM(AN425:AO425)</f>
        <v/>
      </c>
      <c r="AQ425" s="28" t="n"/>
      <c r="AR425" s="30" t="n"/>
      <c r="AS425" s="29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1" t="n"/>
      <c r="AU425" s="21" t="n"/>
      <c r="AV425" s="27">
        <f>SUM(AT425:AU425)</f>
        <v/>
      </c>
      <c r="AW425" s="28" t="n"/>
      <c r="AX425" s="30" t="n"/>
      <c r="AY425" s="29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1" t="n"/>
      <c r="BA425" s="21" t="n"/>
      <c r="BB425" s="27">
        <f>SUM(AZ425:BA425)</f>
        <v/>
      </c>
      <c r="BC425" s="28" t="n"/>
      <c r="BD425" s="28" t="n"/>
      <c r="BE425" s="29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1" t="n"/>
      <c r="BG425" s="21" t="n"/>
      <c r="BH425" s="27">
        <f>SUM(BF425:BG425)</f>
        <v/>
      </c>
      <c r="BI425" s="28" t="n"/>
      <c r="BJ425" s="28" t="n"/>
      <c r="BK425" s="29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1" t="n"/>
      <c r="BM425" s="21" t="n"/>
      <c r="BN425" s="27">
        <f>SUM(BL425:BM425)</f>
        <v/>
      </c>
      <c r="BO425" s="28" t="n"/>
      <c r="BP425" s="31" t="n"/>
      <c r="BQ425" s="29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1" t="n"/>
      <c r="BS425" s="21" t="n"/>
      <c r="BT425" s="27">
        <f>SUM(BR425:BS425)</f>
        <v/>
      </c>
      <c r="BU425" s="28" t="n"/>
      <c r="BV425" s="31" t="n"/>
      <c r="BW425" s="29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1" t="n"/>
      <c r="BY425" s="21" t="n"/>
      <c r="BZ425" s="27">
        <f>SUM(BX425:BY425)</f>
        <v/>
      </c>
      <c r="CA425" s="28" t="n"/>
      <c r="CB425" s="31" t="n"/>
      <c r="CC425" s="29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1" t="n"/>
      <c r="CE425" s="21" t="n"/>
      <c r="CF425" s="27">
        <f>SUM(CD425:CE425)</f>
        <v/>
      </c>
      <c r="CG425" s="28" t="n"/>
      <c r="CH425" s="31" t="n"/>
      <c r="CI425" s="29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1" t="n"/>
      <c r="CK425" s="21" t="n"/>
      <c r="CL425" s="27">
        <f>SUM(CJ425:CK425)</f>
        <v/>
      </c>
      <c r="CM425" s="28" t="n"/>
      <c r="CN425" s="31" t="n"/>
      <c r="CO425" s="29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1" t="n"/>
      <c r="CQ425" s="21" t="n"/>
      <c r="CR425" s="27">
        <f>SUM(CP425:CQ425)</f>
        <v/>
      </c>
      <c r="CS425" s="28" t="n"/>
      <c r="CT425" s="31" t="n"/>
      <c r="CU425" s="29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1" t="n"/>
      <c r="CW425" s="21" t="n"/>
      <c r="CX425" s="27">
        <f>SUM(CV425:CW425)</f>
        <v/>
      </c>
      <c r="CY425" s="28" t="n"/>
      <c r="CZ425" s="31" t="n"/>
      <c r="DA425" s="29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1" t="n"/>
      <c r="DC425" s="21" t="n"/>
      <c r="DD425" s="27">
        <f>SUM(DB425:DC425)</f>
        <v/>
      </c>
      <c r="DE425" s="28" t="n"/>
      <c r="DF425" s="31" t="n"/>
      <c r="DG425" s="29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34">
        <f>SUM(O425,U425,AA425,AG425,AM425,AS425,AY425,BE425,BK425,BQ425,BW425,CC425,CI425,CO425,CU425,DA425,DG425)</f>
        <v/>
      </c>
      <c r="DI425" s="39">
        <f>RANK(DH425,DH$4:DH$503)</f>
        <v/>
      </c>
      <c r="DJ425" s="40" t="inlineStr">
        <is>
          <t>CHOOSE RATING</t>
        </is>
      </c>
      <c r="DK425" s="40" t="inlineStr">
        <is>
          <t>CHOOSE RATING</t>
        </is>
      </c>
      <c r="DL425" s="40" t="inlineStr">
        <is>
          <t>CHOOSE RATING</t>
        </is>
      </c>
      <c r="DM425" s="40" t="inlineStr">
        <is>
          <t>CHOOSE RATING</t>
        </is>
      </c>
      <c r="DN425" s="40" t="inlineStr">
        <is>
          <t>CHOOSE RATING</t>
        </is>
      </c>
      <c r="DO425" s="40" t="inlineStr">
        <is>
          <t>CHOOSE RATING</t>
        </is>
      </c>
      <c r="DP425" s="40" t="inlineStr">
        <is>
          <t>CHOOSE RATING</t>
        </is>
      </c>
      <c r="DQ425" s="40" t="inlineStr">
        <is>
          <t>CHOOSE RATING</t>
        </is>
      </c>
      <c r="DR425" s="43" t="inlineStr">
        <is>
          <t>2024/2025</t>
        </is>
      </c>
      <c r="DS425" s="45" t="inlineStr">
        <is>
          <t>THIRD</t>
        </is>
      </c>
      <c r="DT425" s="40" t="inlineStr">
        <is>
          <t>CHOOSE RATING</t>
        </is>
      </c>
      <c r="DU425" s="40" t="inlineStr">
        <is>
          <t>CHOOSE RATING</t>
        </is>
      </c>
      <c r="DV425" s="40" t="inlineStr">
        <is>
          <t>CHOOSE RATING</t>
        </is>
      </c>
      <c r="DW425" s="40" t="inlineStr">
        <is>
          <t>CHOOSE RATING</t>
        </is>
      </c>
      <c r="DX425" s="40" t="inlineStr">
        <is>
          <t>CHOOSE RATING</t>
        </is>
      </c>
      <c r="DY425" s="40" t="inlineStr">
        <is>
          <t>CHOOSE RATING</t>
        </is>
      </c>
      <c r="DZ425" s="53" t="inlineStr">
        <is>
          <t>CHOOSE RATING</t>
        </is>
      </c>
      <c r="EA425" s="54" t="inlineStr">
        <is>
          <t>Add the Tutor's Comment . . .</t>
        </is>
      </c>
      <c r="EB425" s="55" t="inlineStr">
        <is>
          <t>Choose Principals comment</t>
        </is>
      </c>
      <c r="EC425" s="56" t="n"/>
      <c r="ED425" s="57" t="inlineStr">
        <is>
          <t>Next Term Begins on Monday, 22nd September, 2025</t>
        </is>
      </c>
    </row>
    <row r="426" ht="30.6" customHeight="1" s="6">
      <c r="A426" s="18" t="n">
        <v>423</v>
      </c>
      <c r="B426" s="19" t="n"/>
      <c r="C426" s="20" t="n"/>
      <c r="D426" s="128" t="n"/>
      <c r="E426" s="21" t="n"/>
      <c r="F426" s="22" t="n"/>
      <c r="G426" s="22" t="n"/>
      <c r="H426" s="22" t="n"/>
      <c r="I426" s="26">
        <f>G426-H426</f>
        <v/>
      </c>
      <c r="J426" s="21" t="n"/>
      <c r="K426" s="21" t="n"/>
      <c r="L426" s="27">
        <f>SUM(J426:K426)</f>
        <v/>
      </c>
      <c r="M426" s="28" t="n"/>
      <c r="N426" s="28" t="n"/>
      <c r="O426" s="29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1" t="n"/>
      <c r="Q426" s="21" t="n"/>
      <c r="R426" s="27">
        <f>SUM(P426:Q426)</f>
        <v/>
      </c>
      <c r="S426" s="28" t="n"/>
      <c r="T426" s="28" t="n"/>
      <c r="U426" s="29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1" t="n"/>
      <c r="W426" s="21" t="n"/>
      <c r="X426" s="27">
        <f>SUM(V426:W426)</f>
        <v/>
      </c>
      <c r="Y426" s="28" t="n"/>
      <c r="Z426" s="28" t="n"/>
      <c r="AA426" s="29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1" t="n"/>
      <c r="AC426" s="21" t="n"/>
      <c r="AD426" s="27">
        <f>SUM(AB426:AC426)</f>
        <v/>
      </c>
      <c r="AE426" s="28" t="n"/>
      <c r="AF426" s="28" t="n"/>
      <c r="AG426" s="29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1" t="n"/>
      <c r="AI426" s="21" t="n"/>
      <c r="AJ426" s="27">
        <f>SUM(AH426:AI426)</f>
        <v/>
      </c>
      <c r="AK426" s="28" t="n"/>
      <c r="AL426" s="28" t="n"/>
      <c r="AM426" s="29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1" t="n"/>
      <c r="AO426" s="21" t="n"/>
      <c r="AP426" s="27">
        <f>SUM(AN426:AO426)</f>
        <v/>
      </c>
      <c r="AQ426" s="28" t="n"/>
      <c r="AR426" s="30" t="n"/>
      <c r="AS426" s="29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1" t="n"/>
      <c r="AU426" s="21" t="n"/>
      <c r="AV426" s="27">
        <f>SUM(AT426:AU426)</f>
        <v/>
      </c>
      <c r="AW426" s="28" t="n"/>
      <c r="AX426" s="30" t="n"/>
      <c r="AY426" s="29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1" t="n"/>
      <c r="BA426" s="21" t="n"/>
      <c r="BB426" s="27">
        <f>SUM(AZ426:BA426)</f>
        <v/>
      </c>
      <c r="BC426" s="28" t="n"/>
      <c r="BD426" s="28" t="n"/>
      <c r="BE426" s="29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1" t="n"/>
      <c r="BG426" s="21" t="n"/>
      <c r="BH426" s="27">
        <f>SUM(BF426:BG426)</f>
        <v/>
      </c>
      <c r="BI426" s="28" t="n"/>
      <c r="BJ426" s="28" t="n"/>
      <c r="BK426" s="29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1" t="n"/>
      <c r="BM426" s="21" t="n"/>
      <c r="BN426" s="27">
        <f>SUM(BL426:BM426)</f>
        <v/>
      </c>
      <c r="BO426" s="28" t="n"/>
      <c r="BP426" s="31" t="n"/>
      <c r="BQ426" s="29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1" t="n"/>
      <c r="BS426" s="21" t="n"/>
      <c r="BT426" s="27">
        <f>SUM(BR426:BS426)</f>
        <v/>
      </c>
      <c r="BU426" s="28" t="n"/>
      <c r="BV426" s="31" t="n"/>
      <c r="BW426" s="29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1" t="n"/>
      <c r="BY426" s="21" t="n"/>
      <c r="BZ426" s="27">
        <f>SUM(BX426:BY426)</f>
        <v/>
      </c>
      <c r="CA426" s="28" t="n"/>
      <c r="CB426" s="31" t="n"/>
      <c r="CC426" s="29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1" t="n"/>
      <c r="CE426" s="21" t="n"/>
      <c r="CF426" s="27">
        <f>SUM(CD426:CE426)</f>
        <v/>
      </c>
      <c r="CG426" s="28" t="n"/>
      <c r="CH426" s="31" t="n"/>
      <c r="CI426" s="29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1" t="n"/>
      <c r="CK426" s="21" t="n"/>
      <c r="CL426" s="27">
        <f>SUM(CJ426:CK426)</f>
        <v/>
      </c>
      <c r="CM426" s="28" t="n"/>
      <c r="CN426" s="31" t="n"/>
      <c r="CO426" s="29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1" t="n"/>
      <c r="CQ426" s="21" t="n"/>
      <c r="CR426" s="27">
        <f>SUM(CP426:CQ426)</f>
        <v/>
      </c>
      <c r="CS426" s="28" t="n"/>
      <c r="CT426" s="31" t="n"/>
      <c r="CU426" s="29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1" t="n"/>
      <c r="CW426" s="21" t="n"/>
      <c r="CX426" s="27">
        <f>SUM(CV426:CW426)</f>
        <v/>
      </c>
      <c r="CY426" s="28" t="n"/>
      <c r="CZ426" s="31" t="n"/>
      <c r="DA426" s="29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1" t="n"/>
      <c r="DC426" s="21" t="n"/>
      <c r="DD426" s="27">
        <f>SUM(DB426:DC426)</f>
        <v/>
      </c>
      <c r="DE426" s="28" t="n"/>
      <c r="DF426" s="31" t="n"/>
      <c r="DG426" s="29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34">
        <f>SUM(O426,U426,AA426,AG426,AM426,AS426,AY426,BE426,BK426,BQ426,BW426,CC426,CI426,CO426,CU426,DA426,DG426)</f>
        <v/>
      </c>
      <c r="DI426" s="39">
        <f>RANK(DH426,DH$4:DH$503)</f>
        <v/>
      </c>
      <c r="DJ426" s="40" t="inlineStr">
        <is>
          <t>CHOOSE RATING</t>
        </is>
      </c>
      <c r="DK426" s="40" t="inlineStr">
        <is>
          <t>CHOOSE RATING</t>
        </is>
      </c>
      <c r="DL426" s="40" t="inlineStr">
        <is>
          <t>CHOOSE RATING</t>
        </is>
      </c>
      <c r="DM426" s="40" t="inlineStr">
        <is>
          <t>CHOOSE RATING</t>
        </is>
      </c>
      <c r="DN426" s="40" t="inlineStr">
        <is>
          <t>CHOOSE RATING</t>
        </is>
      </c>
      <c r="DO426" s="40" t="inlineStr">
        <is>
          <t>CHOOSE RATING</t>
        </is>
      </c>
      <c r="DP426" s="40" t="inlineStr">
        <is>
          <t>CHOOSE RATING</t>
        </is>
      </c>
      <c r="DQ426" s="40" t="inlineStr">
        <is>
          <t>CHOOSE RATING</t>
        </is>
      </c>
      <c r="DR426" s="43" t="inlineStr">
        <is>
          <t>2024/2025</t>
        </is>
      </c>
      <c r="DS426" s="45" t="inlineStr">
        <is>
          <t>THIRD</t>
        </is>
      </c>
      <c r="DT426" s="40" t="inlineStr">
        <is>
          <t>CHOOSE RATING</t>
        </is>
      </c>
      <c r="DU426" s="40" t="inlineStr">
        <is>
          <t>CHOOSE RATING</t>
        </is>
      </c>
      <c r="DV426" s="40" t="inlineStr">
        <is>
          <t>CHOOSE RATING</t>
        </is>
      </c>
      <c r="DW426" s="40" t="inlineStr">
        <is>
          <t>CHOOSE RATING</t>
        </is>
      </c>
      <c r="DX426" s="40" t="inlineStr">
        <is>
          <t>CHOOSE RATING</t>
        </is>
      </c>
      <c r="DY426" s="40" t="inlineStr">
        <is>
          <t>CHOOSE RATING</t>
        </is>
      </c>
      <c r="DZ426" s="53" t="inlineStr">
        <is>
          <t>CHOOSE RATING</t>
        </is>
      </c>
      <c r="EA426" s="54" t="inlineStr">
        <is>
          <t>Add the Tutor's Comment . . .</t>
        </is>
      </c>
      <c r="EB426" s="55" t="inlineStr">
        <is>
          <t>Choose Principals comment</t>
        </is>
      </c>
      <c r="EC426" s="56" t="n"/>
      <c r="ED426" s="57" t="inlineStr">
        <is>
          <t>Next Term Begins on Monday, 22nd September, 2025</t>
        </is>
      </c>
    </row>
    <row r="427" ht="30.6" customHeight="1" s="6">
      <c r="A427" s="18" t="n">
        <v>424</v>
      </c>
      <c r="B427" s="19" t="n"/>
      <c r="C427" s="20" t="n"/>
      <c r="D427" s="128" t="n"/>
      <c r="E427" s="21" t="n"/>
      <c r="F427" s="22" t="n"/>
      <c r="G427" s="22" t="n"/>
      <c r="H427" s="22" t="n"/>
      <c r="I427" s="26">
        <f>G427-H427</f>
        <v/>
      </c>
      <c r="J427" s="21" t="n"/>
      <c r="K427" s="21" t="n"/>
      <c r="L427" s="27">
        <f>SUM(J427:K427)</f>
        <v/>
      </c>
      <c r="M427" s="28" t="n"/>
      <c r="N427" s="28" t="n"/>
      <c r="O427" s="29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1" t="n"/>
      <c r="Q427" s="21" t="n"/>
      <c r="R427" s="27">
        <f>SUM(P427:Q427)</f>
        <v/>
      </c>
      <c r="S427" s="28" t="n"/>
      <c r="T427" s="28" t="n"/>
      <c r="U427" s="29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1" t="n"/>
      <c r="W427" s="21" t="n"/>
      <c r="X427" s="27">
        <f>SUM(V427:W427)</f>
        <v/>
      </c>
      <c r="Y427" s="28" t="n"/>
      <c r="Z427" s="28" t="n"/>
      <c r="AA427" s="29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1" t="n"/>
      <c r="AC427" s="21" t="n"/>
      <c r="AD427" s="27">
        <f>SUM(AB427:AC427)</f>
        <v/>
      </c>
      <c r="AE427" s="28" t="n"/>
      <c r="AF427" s="28" t="n"/>
      <c r="AG427" s="29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1" t="n"/>
      <c r="AI427" s="21" t="n"/>
      <c r="AJ427" s="27">
        <f>SUM(AH427:AI427)</f>
        <v/>
      </c>
      <c r="AK427" s="28" t="n"/>
      <c r="AL427" s="28" t="n"/>
      <c r="AM427" s="29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1" t="n"/>
      <c r="AO427" s="21" t="n"/>
      <c r="AP427" s="27">
        <f>SUM(AN427:AO427)</f>
        <v/>
      </c>
      <c r="AQ427" s="28" t="n"/>
      <c r="AR427" s="30" t="n"/>
      <c r="AS427" s="29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1" t="n"/>
      <c r="AU427" s="21" t="n"/>
      <c r="AV427" s="27">
        <f>SUM(AT427:AU427)</f>
        <v/>
      </c>
      <c r="AW427" s="28" t="n"/>
      <c r="AX427" s="30" t="n"/>
      <c r="AY427" s="29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1" t="n"/>
      <c r="BA427" s="21" t="n"/>
      <c r="BB427" s="27">
        <f>SUM(AZ427:BA427)</f>
        <v/>
      </c>
      <c r="BC427" s="28" t="n"/>
      <c r="BD427" s="28" t="n"/>
      <c r="BE427" s="29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1" t="n"/>
      <c r="BG427" s="21" t="n"/>
      <c r="BH427" s="27">
        <f>SUM(BF427:BG427)</f>
        <v/>
      </c>
      <c r="BI427" s="28" t="n"/>
      <c r="BJ427" s="28" t="n"/>
      <c r="BK427" s="29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1" t="n"/>
      <c r="BM427" s="21" t="n"/>
      <c r="BN427" s="27">
        <f>SUM(BL427:BM427)</f>
        <v/>
      </c>
      <c r="BO427" s="28" t="n"/>
      <c r="BP427" s="31" t="n"/>
      <c r="BQ427" s="29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1" t="n"/>
      <c r="BS427" s="21" t="n"/>
      <c r="BT427" s="27">
        <f>SUM(BR427:BS427)</f>
        <v/>
      </c>
      <c r="BU427" s="28" t="n"/>
      <c r="BV427" s="31" t="n"/>
      <c r="BW427" s="29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1" t="n"/>
      <c r="BY427" s="21" t="n"/>
      <c r="BZ427" s="27">
        <f>SUM(BX427:BY427)</f>
        <v/>
      </c>
      <c r="CA427" s="28" t="n"/>
      <c r="CB427" s="31" t="n"/>
      <c r="CC427" s="29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1" t="n"/>
      <c r="CE427" s="21" t="n"/>
      <c r="CF427" s="27">
        <f>SUM(CD427:CE427)</f>
        <v/>
      </c>
      <c r="CG427" s="28" t="n"/>
      <c r="CH427" s="31" t="n"/>
      <c r="CI427" s="29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1" t="n"/>
      <c r="CK427" s="21" t="n"/>
      <c r="CL427" s="27">
        <f>SUM(CJ427:CK427)</f>
        <v/>
      </c>
      <c r="CM427" s="28" t="n"/>
      <c r="CN427" s="31" t="n"/>
      <c r="CO427" s="29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1" t="n"/>
      <c r="CQ427" s="21" t="n"/>
      <c r="CR427" s="27">
        <f>SUM(CP427:CQ427)</f>
        <v/>
      </c>
      <c r="CS427" s="28" t="n"/>
      <c r="CT427" s="31" t="n"/>
      <c r="CU427" s="29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1" t="n"/>
      <c r="CW427" s="21" t="n"/>
      <c r="CX427" s="27">
        <f>SUM(CV427:CW427)</f>
        <v/>
      </c>
      <c r="CY427" s="28" t="n"/>
      <c r="CZ427" s="31" t="n"/>
      <c r="DA427" s="29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1" t="n"/>
      <c r="DC427" s="21" t="n"/>
      <c r="DD427" s="27">
        <f>SUM(DB427:DC427)</f>
        <v/>
      </c>
      <c r="DE427" s="28" t="n"/>
      <c r="DF427" s="31" t="n"/>
      <c r="DG427" s="29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34">
        <f>SUM(O427,U427,AA427,AG427,AM427,AS427,AY427,BE427,BK427,BQ427,BW427,CC427,CI427,CO427,CU427,DA427,DG427)</f>
        <v/>
      </c>
      <c r="DI427" s="39">
        <f>RANK(DH427,DH$4:DH$503)</f>
        <v/>
      </c>
      <c r="DJ427" s="40" t="inlineStr">
        <is>
          <t>CHOOSE RATING</t>
        </is>
      </c>
      <c r="DK427" s="40" t="inlineStr">
        <is>
          <t>CHOOSE RATING</t>
        </is>
      </c>
      <c r="DL427" s="40" t="inlineStr">
        <is>
          <t>CHOOSE RATING</t>
        </is>
      </c>
      <c r="DM427" s="40" t="inlineStr">
        <is>
          <t>CHOOSE RATING</t>
        </is>
      </c>
      <c r="DN427" s="40" t="inlineStr">
        <is>
          <t>CHOOSE RATING</t>
        </is>
      </c>
      <c r="DO427" s="40" t="inlineStr">
        <is>
          <t>CHOOSE RATING</t>
        </is>
      </c>
      <c r="DP427" s="40" t="inlineStr">
        <is>
          <t>CHOOSE RATING</t>
        </is>
      </c>
      <c r="DQ427" s="40" t="inlineStr">
        <is>
          <t>CHOOSE RATING</t>
        </is>
      </c>
      <c r="DR427" s="43" t="inlineStr">
        <is>
          <t>2024/2025</t>
        </is>
      </c>
      <c r="DS427" s="45" t="inlineStr">
        <is>
          <t>THIRD</t>
        </is>
      </c>
      <c r="DT427" s="40" t="inlineStr">
        <is>
          <t>CHOOSE RATING</t>
        </is>
      </c>
      <c r="DU427" s="40" t="inlineStr">
        <is>
          <t>CHOOSE RATING</t>
        </is>
      </c>
      <c r="DV427" s="40" t="inlineStr">
        <is>
          <t>CHOOSE RATING</t>
        </is>
      </c>
      <c r="DW427" s="40" t="inlineStr">
        <is>
          <t>CHOOSE RATING</t>
        </is>
      </c>
      <c r="DX427" s="40" t="inlineStr">
        <is>
          <t>CHOOSE RATING</t>
        </is>
      </c>
      <c r="DY427" s="40" t="inlineStr">
        <is>
          <t>CHOOSE RATING</t>
        </is>
      </c>
      <c r="DZ427" s="53" t="inlineStr">
        <is>
          <t>CHOOSE RATING</t>
        </is>
      </c>
      <c r="EA427" s="54" t="inlineStr">
        <is>
          <t>Add the Tutor's Comment . . .</t>
        </is>
      </c>
      <c r="EB427" s="55" t="inlineStr">
        <is>
          <t>Choose Principals comment</t>
        </is>
      </c>
      <c r="EC427" s="56" t="n"/>
      <c r="ED427" s="57" t="inlineStr">
        <is>
          <t>Next Term Begins on Monday, 22nd September, 2025</t>
        </is>
      </c>
    </row>
    <row r="428" ht="30.6" customHeight="1" s="6">
      <c r="A428" s="18" t="n">
        <v>425</v>
      </c>
      <c r="B428" s="19" t="n"/>
      <c r="C428" s="20" t="n"/>
      <c r="D428" s="128" t="n"/>
      <c r="E428" s="21" t="n"/>
      <c r="F428" s="22" t="n"/>
      <c r="G428" s="22" t="n"/>
      <c r="H428" s="22" t="n"/>
      <c r="I428" s="26">
        <f>G428-H428</f>
        <v/>
      </c>
      <c r="J428" s="21" t="n"/>
      <c r="K428" s="21" t="n"/>
      <c r="L428" s="27">
        <f>SUM(J428:K428)</f>
        <v/>
      </c>
      <c r="M428" s="28" t="n"/>
      <c r="N428" s="28" t="n"/>
      <c r="O428" s="29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1" t="n"/>
      <c r="Q428" s="21" t="n"/>
      <c r="R428" s="27">
        <f>SUM(P428:Q428)</f>
        <v/>
      </c>
      <c r="S428" s="28" t="n"/>
      <c r="T428" s="28" t="n"/>
      <c r="U428" s="29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1" t="n"/>
      <c r="W428" s="21" t="n"/>
      <c r="X428" s="27">
        <f>SUM(V428:W428)</f>
        <v/>
      </c>
      <c r="Y428" s="28" t="n"/>
      <c r="Z428" s="28" t="n"/>
      <c r="AA428" s="29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1" t="n"/>
      <c r="AC428" s="21" t="n"/>
      <c r="AD428" s="27">
        <f>SUM(AB428:AC428)</f>
        <v/>
      </c>
      <c r="AE428" s="28" t="n"/>
      <c r="AF428" s="28" t="n"/>
      <c r="AG428" s="29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1" t="n"/>
      <c r="AI428" s="21" t="n"/>
      <c r="AJ428" s="27">
        <f>SUM(AH428:AI428)</f>
        <v/>
      </c>
      <c r="AK428" s="28" t="n"/>
      <c r="AL428" s="28" t="n"/>
      <c r="AM428" s="29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1" t="n"/>
      <c r="AO428" s="21" t="n"/>
      <c r="AP428" s="27">
        <f>SUM(AN428:AO428)</f>
        <v/>
      </c>
      <c r="AQ428" s="28" t="n"/>
      <c r="AR428" s="30" t="n"/>
      <c r="AS428" s="29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1" t="n"/>
      <c r="AU428" s="21" t="n"/>
      <c r="AV428" s="27">
        <f>SUM(AT428:AU428)</f>
        <v/>
      </c>
      <c r="AW428" s="28" t="n"/>
      <c r="AX428" s="30" t="n"/>
      <c r="AY428" s="29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1" t="n"/>
      <c r="BA428" s="21" t="n"/>
      <c r="BB428" s="27">
        <f>SUM(AZ428:BA428)</f>
        <v/>
      </c>
      <c r="BC428" s="28" t="n"/>
      <c r="BD428" s="28" t="n"/>
      <c r="BE428" s="29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1" t="n"/>
      <c r="BG428" s="21" t="n"/>
      <c r="BH428" s="27">
        <f>SUM(BF428:BG428)</f>
        <v/>
      </c>
      <c r="BI428" s="28" t="n"/>
      <c r="BJ428" s="28" t="n"/>
      <c r="BK428" s="29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1" t="n"/>
      <c r="BM428" s="21" t="n"/>
      <c r="BN428" s="27">
        <f>SUM(BL428:BM428)</f>
        <v/>
      </c>
      <c r="BO428" s="28" t="n"/>
      <c r="BP428" s="31" t="n"/>
      <c r="BQ428" s="29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1" t="n"/>
      <c r="BS428" s="21" t="n"/>
      <c r="BT428" s="27">
        <f>SUM(BR428:BS428)</f>
        <v/>
      </c>
      <c r="BU428" s="28" t="n"/>
      <c r="BV428" s="31" t="n"/>
      <c r="BW428" s="29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1" t="n"/>
      <c r="BY428" s="21" t="n"/>
      <c r="BZ428" s="27">
        <f>SUM(BX428:BY428)</f>
        <v/>
      </c>
      <c r="CA428" s="28" t="n"/>
      <c r="CB428" s="31" t="n"/>
      <c r="CC428" s="29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1" t="n"/>
      <c r="CE428" s="21" t="n"/>
      <c r="CF428" s="27">
        <f>SUM(CD428:CE428)</f>
        <v/>
      </c>
      <c r="CG428" s="28" t="n"/>
      <c r="CH428" s="31" t="n"/>
      <c r="CI428" s="29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1" t="n"/>
      <c r="CK428" s="21" t="n"/>
      <c r="CL428" s="27">
        <f>SUM(CJ428:CK428)</f>
        <v/>
      </c>
      <c r="CM428" s="28" t="n"/>
      <c r="CN428" s="31" t="n"/>
      <c r="CO428" s="29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1" t="n"/>
      <c r="CQ428" s="21" t="n"/>
      <c r="CR428" s="27">
        <f>SUM(CP428:CQ428)</f>
        <v/>
      </c>
      <c r="CS428" s="28" t="n"/>
      <c r="CT428" s="31" t="n"/>
      <c r="CU428" s="29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1" t="n"/>
      <c r="CW428" s="21" t="n"/>
      <c r="CX428" s="27">
        <f>SUM(CV428:CW428)</f>
        <v/>
      </c>
      <c r="CY428" s="28" t="n"/>
      <c r="CZ428" s="31" t="n"/>
      <c r="DA428" s="29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1" t="n"/>
      <c r="DC428" s="21" t="n"/>
      <c r="DD428" s="27">
        <f>SUM(DB428:DC428)</f>
        <v/>
      </c>
      <c r="DE428" s="28" t="n"/>
      <c r="DF428" s="31" t="n"/>
      <c r="DG428" s="29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34">
        <f>SUM(O428,U428,AA428,AG428,AM428,AS428,AY428,BE428,BK428,BQ428,BW428,CC428,CI428,CO428,CU428,DA428,DG428)</f>
        <v/>
      </c>
      <c r="DI428" s="39">
        <f>RANK(DH428,DH$4:DH$503)</f>
        <v/>
      </c>
      <c r="DJ428" s="40" t="inlineStr">
        <is>
          <t>CHOOSE RATING</t>
        </is>
      </c>
      <c r="DK428" s="40" t="inlineStr">
        <is>
          <t>CHOOSE RATING</t>
        </is>
      </c>
      <c r="DL428" s="40" t="inlineStr">
        <is>
          <t>CHOOSE RATING</t>
        </is>
      </c>
      <c r="DM428" s="40" t="inlineStr">
        <is>
          <t>CHOOSE RATING</t>
        </is>
      </c>
      <c r="DN428" s="40" t="inlineStr">
        <is>
          <t>CHOOSE RATING</t>
        </is>
      </c>
      <c r="DO428" s="40" t="inlineStr">
        <is>
          <t>CHOOSE RATING</t>
        </is>
      </c>
      <c r="DP428" s="40" t="inlineStr">
        <is>
          <t>CHOOSE RATING</t>
        </is>
      </c>
      <c r="DQ428" s="40" t="inlineStr">
        <is>
          <t>CHOOSE RATING</t>
        </is>
      </c>
      <c r="DR428" s="43" t="inlineStr">
        <is>
          <t>2024/2025</t>
        </is>
      </c>
      <c r="DS428" s="45" t="inlineStr">
        <is>
          <t>THIRD</t>
        </is>
      </c>
      <c r="DT428" s="40" t="inlineStr">
        <is>
          <t>CHOOSE RATING</t>
        </is>
      </c>
      <c r="DU428" s="40" t="inlineStr">
        <is>
          <t>CHOOSE RATING</t>
        </is>
      </c>
      <c r="DV428" s="40" t="inlineStr">
        <is>
          <t>CHOOSE RATING</t>
        </is>
      </c>
      <c r="DW428" s="40" t="inlineStr">
        <is>
          <t>CHOOSE RATING</t>
        </is>
      </c>
      <c r="DX428" s="40" t="inlineStr">
        <is>
          <t>CHOOSE RATING</t>
        </is>
      </c>
      <c r="DY428" s="40" t="inlineStr">
        <is>
          <t>CHOOSE RATING</t>
        </is>
      </c>
      <c r="DZ428" s="53" t="inlineStr">
        <is>
          <t>CHOOSE RATING</t>
        </is>
      </c>
      <c r="EA428" s="54" t="inlineStr">
        <is>
          <t>Add the Tutor's Comment . . .</t>
        </is>
      </c>
      <c r="EB428" s="55" t="inlineStr">
        <is>
          <t>Choose Principals comment</t>
        </is>
      </c>
      <c r="EC428" s="56" t="n"/>
      <c r="ED428" s="57" t="inlineStr">
        <is>
          <t>Next Term Begins on Monday, 22nd September, 2025</t>
        </is>
      </c>
    </row>
    <row r="429" ht="30.6" customHeight="1" s="6">
      <c r="A429" s="18" t="n">
        <v>426</v>
      </c>
      <c r="B429" s="19" t="n"/>
      <c r="C429" s="20" t="n"/>
      <c r="D429" s="128" t="n"/>
      <c r="E429" s="21" t="n"/>
      <c r="F429" s="22" t="n"/>
      <c r="G429" s="22" t="n"/>
      <c r="H429" s="22" t="n"/>
      <c r="I429" s="26">
        <f>G429-H429</f>
        <v/>
      </c>
      <c r="J429" s="21" t="n"/>
      <c r="K429" s="21" t="n"/>
      <c r="L429" s="27">
        <f>SUM(J429:K429)</f>
        <v/>
      </c>
      <c r="M429" s="28" t="n"/>
      <c r="N429" s="28" t="n"/>
      <c r="O429" s="29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1" t="n"/>
      <c r="Q429" s="21" t="n"/>
      <c r="R429" s="27">
        <f>SUM(P429:Q429)</f>
        <v/>
      </c>
      <c r="S429" s="28" t="n"/>
      <c r="T429" s="28" t="n"/>
      <c r="U429" s="29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1" t="n"/>
      <c r="W429" s="21" t="n"/>
      <c r="X429" s="27">
        <f>SUM(V429:W429)</f>
        <v/>
      </c>
      <c r="Y429" s="28" t="n"/>
      <c r="Z429" s="28" t="n"/>
      <c r="AA429" s="29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1" t="n"/>
      <c r="AC429" s="21" t="n"/>
      <c r="AD429" s="27">
        <f>SUM(AB429:AC429)</f>
        <v/>
      </c>
      <c r="AE429" s="28" t="n"/>
      <c r="AF429" s="28" t="n"/>
      <c r="AG429" s="29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1" t="n"/>
      <c r="AI429" s="21" t="n"/>
      <c r="AJ429" s="27">
        <f>SUM(AH429:AI429)</f>
        <v/>
      </c>
      <c r="AK429" s="28" t="n"/>
      <c r="AL429" s="28" t="n"/>
      <c r="AM429" s="29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1" t="n"/>
      <c r="AO429" s="21" t="n"/>
      <c r="AP429" s="27">
        <f>SUM(AN429:AO429)</f>
        <v/>
      </c>
      <c r="AQ429" s="28" t="n"/>
      <c r="AR429" s="30" t="n"/>
      <c r="AS429" s="29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1" t="n"/>
      <c r="AU429" s="21" t="n"/>
      <c r="AV429" s="27">
        <f>SUM(AT429:AU429)</f>
        <v/>
      </c>
      <c r="AW429" s="28" t="n"/>
      <c r="AX429" s="30" t="n"/>
      <c r="AY429" s="29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1" t="n"/>
      <c r="BA429" s="21" t="n"/>
      <c r="BB429" s="27">
        <f>SUM(AZ429:BA429)</f>
        <v/>
      </c>
      <c r="BC429" s="28" t="n"/>
      <c r="BD429" s="28" t="n"/>
      <c r="BE429" s="29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1" t="n"/>
      <c r="BG429" s="21" t="n"/>
      <c r="BH429" s="27">
        <f>SUM(BF429:BG429)</f>
        <v/>
      </c>
      <c r="BI429" s="28" t="n"/>
      <c r="BJ429" s="28" t="n"/>
      <c r="BK429" s="29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1" t="n"/>
      <c r="BM429" s="21" t="n"/>
      <c r="BN429" s="27">
        <f>SUM(BL429:BM429)</f>
        <v/>
      </c>
      <c r="BO429" s="28" t="n"/>
      <c r="BP429" s="31" t="n"/>
      <c r="BQ429" s="29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1" t="n"/>
      <c r="BS429" s="21" t="n"/>
      <c r="BT429" s="27">
        <f>SUM(BR429:BS429)</f>
        <v/>
      </c>
      <c r="BU429" s="28" t="n"/>
      <c r="BV429" s="31" t="n"/>
      <c r="BW429" s="29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1" t="n"/>
      <c r="BY429" s="21" t="n"/>
      <c r="BZ429" s="27">
        <f>SUM(BX429:BY429)</f>
        <v/>
      </c>
      <c r="CA429" s="28" t="n"/>
      <c r="CB429" s="31" t="n"/>
      <c r="CC429" s="29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1" t="n"/>
      <c r="CE429" s="21" t="n"/>
      <c r="CF429" s="27">
        <f>SUM(CD429:CE429)</f>
        <v/>
      </c>
      <c r="CG429" s="28" t="n"/>
      <c r="CH429" s="31" t="n"/>
      <c r="CI429" s="29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1" t="n"/>
      <c r="CK429" s="21" t="n"/>
      <c r="CL429" s="27">
        <f>SUM(CJ429:CK429)</f>
        <v/>
      </c>
      <c r="CM429" s="28" t="n"/>
      <c r="CN429" s="31" t="n"/>
      <c r="CO429" s="29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1" t="n"/>
      <c r="CQ429" s="21" t="n"/>
      <c r="CR429" s="27">
        <f>SUM(CP429:CQ429)</f>
        <v/>
      </c>
      <c r="CS429" s="28" t="n"/>
      <c r="CT429" s="31" t="n"/>
      <c r="CU429" s="29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1" t="n"/>
      <c r="CW429" s="21" t="n"/>
      <c r="CX429" s="27">
        <f>SUM(CV429:CW429)</f>
        <v/>
      </c>
      <c r="CY429" s="28" t="n"/>
      <c r="CZ429" s="31" t="n"/>
      <c r="DA429" s="29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1" t="n"/>
      <c r="DC429" s="21" t="n"/>
      <c r="DD429" s="27">
        <f>SUM(DB429:DC429)</f>
        <v/>
      </c>
      <c r="DE429" s="28" t="n"/>
      <c r="DF429" s="31" t="n"/>
      <c r="DG429" s="29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34">
        <f>SUM(O429,U429,AA429,AG429,AM429,AS429,AY429,BE429,BK429,BQ429,BW429,CC429,CI429,CO429,CU429,DA429,DG429)</f>
        <v/>
      </c>
      <c r="DI429" s="39">
        <f>RANK(DH429,DH$4:DH$503)</f>
        <v/>
      </c>
      <c r="DJ429" s="40" t="inlineStr">
        <is>
          <t>CHOOSE RATING</t>
        </is>
      </c>
      <c r="DK429" s="40" t="inlineStr">
        <is>
          <t>CHOOSE RATING</t>
        </is>
      </c>
      <c r="DL429" s="40" t="inlineStr">
        <is>
          <t>CHOOSE RATING</t>
        </is>
      </c>
      <c r="DM429" s="40" t="inlineStr">
        <is>
          <t>CHOOSE RATING</t>
        </is>
      </c>
      <c r="DN429" s="40" t="inlineStr">
        <is>
          <t>CHOOSE RATING</t>
        </is>
      </c>
      <c r="DO429" s="40" t="inlineStr">
        <is>
          <t>CHOOSE RATING</t>
        </is>
      </c>
      <c r="DP429" s="40" t="inlineStr">
        <is>
          <t>CHOOSE RATING</t>
        </is>
      </c>
      <c r="DQ429" s="40" t="inlineStr">
        <is>
          <t>CHOOSE RATING</t>
        </is>
      </c>
      <c r="DR429" s="43" t="inlineStr">
        <is>
          <t>2024/2025</t>
        </is>
      </c>
      <c r="DS429" s="45" t="inlineStr">
        <is>
          <t>THIRD</t>
        </is>
      </c>
      <c r="DT429" s="40" t="inlineStr">
        <is>
          <t>CHOOSE RATING</t>
        </is>
      </c>
      <c r="DU429" s="40" t="inlineStr">
        <is>
          <t>CHOOSE RATING</t>
        </is>
      </c>
      <c r="DV429" s="40" t="inlineStr">
        <is>
          <t>CHOOSE RATING</t>
        </is>
      </c>
      <c r="DW429" s="40" t="inlineStr">
        <is>
          <t>CHOOSE RATING</t>
        </is>
      </c>
      <c r="DX429" s="40" t="inlineStr">
        <is>
          <t>CHOOSE RATING</t>
        </is>
      </c>
      <c r="DY429" s="40" t="inlineStr">
        <is>
          <t>CHOOSE RATING</t>
        </is>
      </c>
      <c r="DZ429" s="53" t="inlineStr">
        <is>
          <t>CHOOSE RATING</t>
        </is>
      </c>
      <c r="EA429" s="54" t="inlineStr">
        <is>
          <t>Add the Tutor's Comment . . .</t>
        </is>
      </c>
      <c r="EB429" s="55" t="inlineStr">
        <is>
          <t>Choose Principals comment</t>
        </is>
      </c>
      <c r="EC429" s="56" t="n"/>
      <c r="ED429" s="57" t="inlineStr">
        <is>
          <t>Next Term Begins on Monday, 22nd September, 2025</t>
        </is>
      </c>
    </row>
    <row r="430" ht="30.6" customHeight="1" s="6">
      <c r="A430" s="18" t="n">
        <v>427</v>
      </c>
      <c r="B430" s="19" t="n"/>
      <c r="C430" s="20" t="n"/>
      <c r="D430" s="128" t="n"/>
      <c r="E430" s="21" t="n"/>
      <c r="F430" s="22" t="n"/>
      <c r="G430" s="22" t="n"/>
      <c r="H430" s="22" t="n"/>
      <c r="I430" s="26">
        <f>G430-H430</f>
        <v/>
      </c>
      <c r="J430" s="21" t="n"/>
      <c r="K430" s="21" t="n"/>
      <c r="L430" s="27">
        <f>SUM(J430:K430)</f>
        <v/>
      </c>
      <c r="M430" s="28" t="n"/>
      <c r="N430" s="28" t="n"/>
      <c r="O430" s="29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1" t="n"/>
      <c r="Q430" s="21" t="n"/>
      <c r="R430" s="27">
        <f>SUM(P430:Q430)</f>
        <v/>
      </c>
      <c r="S430" s="28" t="n"/>
      <c r="T430" s="28" t="n"/>
      <c r="U430" s="29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1" t="n"/>
      <c r="W430" s="21" t="n"/>
      <c r="X430" s="27">
        <f>SUM(V430:W430)</f>
        <v/>
      </c>
      <c r="Y430" s="28" t="n"/>
      <c r="Z430" s="28" t="n"/>
      <c r="AA430" s="29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1" t="n"/>
      <c r="AC430" s="21" t="n"/>
      <c r="AD430" s="27">
        <f>SUM(AB430:AC430)</f>
        <v/>
      </c>
      <c r="AE430" s="28" t="n"/>
      <c r="AF430" s="28" t="n"/>
      <c r="AG430" s="29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1" t="n"/>
      <c r="AI430" s="21" t="n"/>
      <c r="AJ430" s="27">
        <f>SUM(AH430:AI430)</f>
        <v/>
      </c>
      <c r="AK430" s="28" t="n"/>
      <c r="AL430" s="28" t="n"/>
      <c r="AM430" s="29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1" t="n"/>
      <c r="AO430" s="21" t="n"/>
      <c r="AP430" s="27">
        <f>SUM(AN430:AO430)</f>
        <v/>
      </c>
      <c r="AQ430" s="28" t="n"/>
      <c r="AR430" s="30" t="n"/>
      <c r="AS430" s="29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1" t="n"/>
      <c r="AU430" s="21" t="n"/>
      <c r="AV430" s="27">
        <f>SUM(AT430:AU430)</f>
        <v/>
      </c>
      <c r="AW430" s="28" t="n"/>
      <c r="AX430" s="30" t="n"/>
      <c r="AY430" s="29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1" t="n"/>
      <c r="BA430" s="21" t="n"/>
      <c r="BB430" s="27">
        <f>SUM(AZ430:BA430)</f>
        <v/>
      </c>
      <c r="BC430" s="28" t="n"/>
      <c r="BD430" s="28" t="n"/>
      <c r="BE430" s="29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1" t="n"/>
      <c r="BG430" s="21" t="n"/>
      <c r="BH430" s="27">
        <f>SUM(BF430:BG430)</f>
        <v/>
      </c>
      <c r="BI430" s="28" t="n"/>
      <c r="BJ430" s="28" t="n"/>
      <c r="BK430" s="29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1" t="n"/>
      <c r="BM430" s="21" t="n"/>
      <c r="BN430" s="27">
        <f>SUM(BL430:BM430)</f>
        <v/>
      </c>
      <c r="BO430" s="28" t="n"/>
      <c r="BP430" s="31" t="n"/>
      <c r="BQ430" s="29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1" t="n"/>
      <c r="BS430" s="21" t="n"/>
      <c r="BT430" s="27">
        <f>SUM(BR430:BS430)</f>
        <v/>
      </c>
      <c r="BU430" s="28" t="n"/>
      <c r="BV430" s="31" t="n"/>
      <c r="BW430" s="29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1" t="n"/>
      <c r="BY430" s="21" t="n"/>
      <c r="BZ430" s="27">
        <f>SUM(BX430:BY430)</f>
        <v/>
      </c>
      <c r="CA430" s="28" t="n"/>
      <c r="CB430" s="31" t="n"/>
      <c r="CC430" s="29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1" t="n"/>
      <c r="CE430" s="21" t="n"/>
      <c r="CF430" s="27">
        <f>SUM(CD430:CE430)</f>
        <v/>
      </c>
      <c r="CG430" s="28" t="n"/>
      <c r="CH430" s="31" t="n"/>
      <c r="CI430" s="29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1" t="n"/>
      <c r="CK430" s="21" t="n"/>
      <c r="CL430" s="27">
        <f>SUM(CJ430:CK430)</f>
        <v/>
      </c>
      <c r="CM430" s="28" t="n"/>
      <c r="CN430" s="31" t="n"/>
      <c r="CO430" s="29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1" t="n"/>
      <c r="CQ430" s="21" t="n"/>
      <c r="CR430" s="27">
        <f>SUM(CP430:CQ430)</f>
        <v/>
      </c>
      <c r="CS430" s="28" t="n"/>
      <c r="CT430" s="31" t="n"/>
      <c r="CU430" s="29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1" t="n"/>
      <c r="CW430" s="21" t="n"/>
      <c r="CX430" s="27">
        <f>SUM(CV430:CW430)</f>
        <v/>
      </c>
      <c r="CY430" s="28" t="n"/>
      <c r="CZ430" s="31" t="n"/>
      <c r="DA430" s="29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1" t="n"/>
      <c r="DC430" s="21" t="n"/>
      <c r="DD430" s="27">
        <f>SUM(DB430:DC430)</f>
        <v/>
      </c>
      <c r="DE430" s="28" t="n"/>
      <c r="DF430" s="31" t="n"/>
      <c r="DG430" s="29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34">
        <f>SUM(O430,U430,AA430,AG430,AM430,AS430,AY430,BE430,BK430,BQ430,BW430,CC430,CI430,CO430,CU430,DA430,DG430)</f>
        <v/>
      </c>
      <c r="DI430" s="39">
        <f>RANK(DH430,DH$4:DH$503)</f>
        <v/>
      </c>
      <c r="DJ430" s="40" t="inlineStr">
        <is>
          <t>CHOOSE RATING</t>
        </is>
      </c>
      <c r="DK430" s="40" t="inlineStr">
        <is>
          <t>CHOOSE RATING</t>
        </is>
      </c>
      <c r="DL430" s="40" t="inlineStr">
        <is>
          <t>CHOOSE RATING</t>
        </is>
      </c>
      <c r="DM430" s="40" t="inlineStr">
        <is>
          <t>CHOOSE RATING</t>
        </is>
      </c>
      <c r="DN430" s="40" t="inlineStr">
        <is>
          <t>CHOOSE RATING</t>
        </is>
      </c>
      <c r="DO430" s="40" t="inlineStr">
        <is>
          <t>CHOOSE RATING</t>
        </is>
      </c>
      <c r="DP430" s="40" t="inlineStr">
        <is>
          <t>CHOOSE RATING</t>
        </is>
      </c>
      <c r="DQ430" s="40" t="inlineStr">
        <is>
          <t>CHOOSE RATING</t>
        </is>
      </c>
      <c r="DR430" s="43" t="inlineStr">
        <is>
          <t>2024/2025</t>
        </is>
      </c>
      <c r="DS430" s="45" t="inlineStr">
        <is>
          <t>THIRD</t>
        </is>
      </c>
      <c r="DT430" s="40" t="inlineStr">
        <is>
          <t>CHOOSE RATING</t>
        </is>
      </c>
      <c r="DU430" s="40" t="inlineStr">
        <is>
          <t>CHOOSE RATING</t>
        </is>
      </c>
      <c r="DV430" s="40" t="inlineStr">
        <is>
          <t>CHOOSE RATING</t>
        </is>
      </c>
      <c r="DW430" s="40" t="inlineStr">
        <is>
          <t>CHOOSE RATING</t>
        </is>
      </c>
      <c r="DX430" s="40" t="inlineStr">
        <is>
          <t>CHOOSE RATING</t>
        </is>
      </c>
      <c r="DY430" s="40" t="inlineStr">
        <is>
          <t>CHOOSE RATING</t>
        </is>
      </c>
      <c r="DZ430" s="53" t="inlineStr">
        <is>
          <t>CHOOSE RATING</t>
        </is>
      </c>
      <c r="EA430" s="54" t="inlineStr">
        <is>
          <t>Add the Tutor's Comment . . .</t>
        </is>
      </c>
      <c r="EB430" s="55" t="inlineStr">
        <is>
          <t>Choose Principals comment</t>
        </is>
      </c>
      <c r="EC430" s="56" t="n"/>
      <c r="ED430" s="57" t="inlineStr">
        <is>
          <t>Next Term Begins on Monday, 22nd September, 2025</t>
        </is>
      </c>
    </row>
    <row r="431" ht="30.6" customHeight="1" s="6">
      <c r="A431" s="18" t="n">
        <v>428</v>
      </c>
      <c r="B431" s="19" t="n"/>
      <c r="C431" s="20" t="n"/>
      <c r="D431" s="128" t="n"/>
      <c r="E431" s="21" t="n"/>
      <c r="F431" s="22" t="n"/>
      <c r="G431" s="22" t="n"/>
      <c r="H431" s="22" t="n"/>
      <c r="I431" s="26">
        <f>G431-H431</f>
        <v/>
      </c>
      <c r="J431" s="21" t="n"/>
      <c r="K431" s="21" t="n"/>
      <c r="L431" s="27">
        <f>SUM(J431:K431)</f>
        <v/>
      </c>
      <c r="M431" s="28" t="n"/>
      <c r="N431" s="28" t="n"/>
      <c r="O431" s="29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1" t="n"/>
      <c r="Q431" s="21" t="n"/>
      <c r="R431" s="27">
        <f>SUM(P431:Q431)</f>
        <v/>
      </c>
      <c r="S431" s="28" t="n"/>
      <c r="T431" s="28" t="n"/>
      <c r="U431" s="29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1" t="n"/>
      <c r="W431" s="21" t="n"/>
      <c r="X431" s="27">
        <f>SUM(V431:W431)</f>
        <v/>
      </c>
      <c r="Y431" s="28" t="n"/>
      <c r="Z431" s="28" t="n"/>
      <c r="AA431" s="29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1" t="n"/>
      <c r="AC431" s="21" t="n"/>
      <c r="AD431" s="27">
        <f>SUM(AB431:AC431)</f>
        <v/>
      </c>
      <c r="AE431" s="28" t="n"/>
      <c r="AF431" s="28" t="n"/>
      <c r="AG431" s="29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1" t="n"/>
      <c r="AI431" s="21" t="n"/>
      <c r="AJ431" s="27">
        <f>SUM(AH431:AI431)</f>
        <v/>
      </c>
      <c r="AK431" s="28" t="n"/>
      <c r="AL431" s="28" t="n"/>
      <c r="AM431" s="29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1" t="n"/>
      <c r="AO431" s="21" t="n"/>
      <c r="AP431" s="27">
        <f>SUM(AN431:AO431)</f>
        <v/>
      </c>
      <c r="AQ431" s="28" t="n"/>
      <c r="AR431" s="30" t="n"/>
      <c r="AS431" s="29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1" t="n"/>
      <c r="AU431" s="21" t="n"/>
      <c r="AV431" s="27">
        <f>SUM(AT431:AU431)</f>
        <v/>
      </c>
      <c r="AW431" s="28" t="n"/>
      <c r="AX431" s="30" t="n"/>
      <c r="AY431" s="29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1" t="n"/>
      <c r="BA431" s="21" t="n"/>
      <c r="BB431" s="27">
        <f>SUM(AZ431:BA431)</f>
        <v/>
      </c>
      <c r="BC431" s="28" t="n"/>
      <c r="BD431" s="28" t="n"/>
      <c r="BE431" s="29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1" t="n"/>
      <c r="BG431" s="21" t="n"/>
      <c r="BH431" s="27">
        <f>SUM(BF431:BG431)</f>
        <v/>
      </c>
      <c r="BI431" s="28" t="n"/>
      <c r="BJ431" s="28" t="n"/>
      <c r="BK431" s="29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1" t="n"/>
      <c r="BM431" s="21" t="n"/>
      <c r="BN431" s="27">
        <f>SUM(BL431:BM431)</f>
        <v/>
      </c>
      <c r="BO431" s="28" t="n"/>
      <c r="BP431" s="31" t="n"/>
      <c r="BQ431" s="29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1" t="n"/>
      <c r="BS431" s="21" t="n"/>
      <c r="BT431" s="27">
        <f>SUM(BR431:BS431)</f>
        <v/>
      </c>
      <c r="BU431" s="28" t="n"/>
      <c r="BV431" s="31" t="n"/>
      <c r="BW431" s="29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1" t="n"/>
      <c r="BY431" s="21" t="n"/>
      <c r="BZ431" s="27">
        <f>SUM(BX431:BY431)</f>
        <v/>
      </c>
      <c r="CA431" s="28" t="n"/>
      <c r="CB431" s="31" t="n"/>
      <c r="CC431" s="29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1" t="n"/>
      <c r="CE431" s="21" t="n"/>
      <c r="CF431" s="27">
        <f>SUM(CD431:CE431)</f>
        <v/>
      </c>
      <c r="CG431" s="28" t="n"/>
      <c r="CH431" s="31" t="n"/>
      <c r="CI431" s="29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1" t="n"/>
      <c r="CK431" s="21" t="n"/>
      <c r="CL431" s="27">
        <f>SUM(CJ431:CK431)</f>
        <v/>
      </c>
      <c r="CM431" s="28" t="n"/>
      <c r="CN431" s="31" t="n"/>
      <c r="CO431" s="29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1" t="n"/>
      <c r="CQ431" s="21" t="n"/>
      <c r="CR431" s="27">
        <f>SUM(CP431:CQ431)</f>
        <v/>
      </c>
      <c r="CS431" s="28" t="n"/>
      <c r="CT431" s="31" t="n"/>
      <c r="CU431" s="29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1" t="n"/>
      <c r="CW431" s="21" t="n"/>
      <c r="CX431" s="27">
        <f>SUM(CV431:CW431)</f>
        <v/>
      </c>
      <c r="CY431" s="28" t="n"/>
      <c r="CZ431" s="31" t="n"/>
      <c r="DA431" s="29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1" t="n"/>
      <c r="DC431" s="21" t="n"/>
      <c r="DD431" s="27">
        <f>SUM(DB431:DC431)</f>
        <v/>
      </c>
      <c r="DE431" s="28" t="n"/>
      <c r="DF431" s="31" t="n"/>
      <c r="DG431" s="29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34">
        <f>SUM(O431,U431,AA431,AG431,AM431,AS431,AY431,BE431,BK431,BQ431,BW431,CC431,CI431,CO431,CU431,DA431,DG431)</f>
        <v/>
      </c>
      <c r="DI431" s="39">
        <f>RANK(DH431,DH$4:DH$503)</f>
        <v/>
      </c>
      <c r="DJ431" s="40" t="inlineStr">
        <is>
          <t>CHOOSE RATING</t>
        </is>
      </c>
      <c r="DK431" s="40" t="inlineStr">
        <is>
          <t>CHOOSE RATING</t>
        </is>
      </c>
      <c r="DL431" s="40" t="inlineStr">
        <is>
          <t>CHOOSE RATING</t>
        </is>
      </c>
      <c r="DM431" s="40" t="inlineStr">
        <is>
          <t>CHOOSE RATING</t>
        </is>
      </c>
      <c r="DN431" s="40" t="inlineStr">
        <is>
          <t>CHOOSE RATING</t>
        </is>
      </c>
      <c r="DO431" s="40" t="inlineStr">
        <is>
          <t>CHOOSE RATING</t>
        </is>
      </c>
      <c r="DP431" s="40" t="inlineStr">
        <is>
          <t>CHOOSE RATING</t>
        </is>
      </c>
      <c r="DQ431" s="40" t="inlineStr">
        <is>
          <t>CHOOSE RATING</t>
        </is>
      </c>
      <c r="DR431" s="43" t="inlineStr">
        <is>
          <t>2024/2025</t>
        </is>
      </c>
      <c r="DS431" s="45" t="inlineStr">
        <is>
          <t>THIRD</t>
        </is>
      </c>
      <c r="DT431" s="40" t="inlineStr">
        <is>
          <t>CHOOSE RATING</t>
        </is>
      </c>
      <c r="DU431" s="40" t="inlineStr">
        <is>
          <t>CHOOSE RATING</t>
        </is>
      </c>
      <c r="DV431" s="40" t="inlineStr">
        <is>
          <t>CHOOSE RATING</t>
        </is>
      </c>
      <c r="DW431" s="40" t="inlineStr">
        <is>
          <t>CHOOSE RATING</t>
        </is>
      </c>
      <c r="DX431" s="40" t="inlineStr">
        <is>
          <t>CHOOSE RATING</t>
        </is>
      </c>
      <c r="DY431" s="40" t="inlineStr">
        <is>
          <t>CHOOSE RATING</t>
        </is>
      </c>
      <c r="DZ431" s="53" t="inlineStr">
        <is>
          <t>CHOOSE RATING</t>
        </is>
      </c>
      <c r="EA431" s="54" t="inlineStr">
        <is>
          <t>Add the Tutor's Comment . . .</t>
        </is>
      </c>
      <c r="EB431" s="55" t="inlineStr">
        <is>
          <t>Choose Principals comment</t>
        </is>
      </c>
      <c r="EC431" s="56" t="n"/>
      <c r="ED431" s="57" t="inlineStr">
        <is>
          <t>Next Term Begins on Monday, 22nd September, 2025</t>
        </is>
      </c>
    </row>
    <row r="432" ht="30.6" customHeight="1" s="6">
      <c r="A432" s="18" t="n">
        <v>429</v>
      </c>
      <c r="B432" s="19" t="n"/>
      <c r="C432" s="20" t="n"/>
      <c r="D432" s="128" t="n"/>
      <c r="E432" s="21" t="n"/>
      <c r="F432" s="22" t="n"/>
      <c r="G432" s="22" t="n"/>
      <c r="H432" s="22" t="n"/>
      <c r="I432" s="26">
        <f>G432-H432</f>
        <v/>
      </c>
      <c r="J432" s="21" t="n"/>
      <c r="K432" s="21" t="n"/>
      <c r="L432" s="27">
        <f>SUM(J432:K432)</f>
        <v/>
      </c>
      <c r="M432" s="28" t="n"/>
      <c r="N432" s="28" t="n"/>
      <c r="O432" s="29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1" t="n"/>
      <c r="Q432" s="21" t="n"/>
      <c r="R432" s="27">
        <f>SUM(P432:Q432)</f>
        <v/>
      </c>
      <c r="S432" s="28" t="n"/>
      <c r="T432" s="28" t="n"/>
      <c r="U432" s="29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1" t="n"/>
      <c r="W432" s="21" t="n"/>
      <c r="X432" s="27">
        <f>SUM(V432:W432)</f>
        <v/>
      </c>
      <c r="Y432" s="28" t="n"/>
      <c r="Z432" s="28" t="n"/>
      <c r="AA432" s="29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1" t="n"/>
      <c r="AC432" s="21" t="n"/>
      <c r="AD432" s="27">
        <f>SUM(AB432:AC432)</f>
        <v/>
      </c>
      <c r="AE432" s="28" t="n"/>
      <c r="AF432" s="28" t="n"/>
      <c r="AG432" s="29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1" t="n"/>
      <c r="AI432" s="21" t="n"/>
      <c r="AJ432" s="27">
        <f>SUM(AH432:AI432)</f>
        <v/>
      </c>
      <c r="AK432" s="28" t="n"/>
      <c r="AL432" s="28" t="n"/>
      <c r="AM432" s="29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1" t="n"/>
      <c r="AO432" s="21" t="n"/>
      <c r="AP432" s="27">
        <f>SUM(AN432:AO432)</f>
        <v/>
      </c>
      <c r="AQ432" s="28" t="n"/>
      <c r="AR432" s="30" t="n"/>
      <c r="AS432" s="29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1" t="n"/>
      <c r="AU432" s="21" t="n"/>
      <c r="AV432" s="27">
        <f>SUM(AT432:AU432)</f>
        <v/>
      </c>
      <c r="AW432" s="28" t="n"/>
      <c r="AX432" s="30" t="n"/>
      <c r="AY432" s="29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1" t="n"/>
      <c r="BA432" s="21" t="n"/>
      <c r="BB432" s="27">
        <f>SUM(AZ432:BA432)</f>
        <v/>
      </c>
      <c r="BC432" s="28" t="n"/>
      <c r="BD432" s="28" t="n"/>
      <c r="BE432" s="29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1" t="n"/>
      <c r="BG432" s="21" t="n"/>
      <c r="BH432" s="27">
        <f>SUM(BF432:BG432)</f>
        <v/>
      </c>
      <c r="BI432" s="28" t="n"/>
      <c r="BJ432" s="28" t="n"/>
      <c r="BK432" s="29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1" t="n"/>
      <c r="BM432" s="21" t="n"/>
      <c r="BN432" s="27">
        <f>SUM(BL432:BM432)</f>
        <v/>
      </c>
      <c r="BO432" s="28" t="n"/>
      <c r="BP432" s="31" t="n"/>
      <c r="BQ432" s="29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1" t="n"/>
      <c r="BS432" s="21" t="n"/>
      <c r="BT432" s="27">
        <f>SUM(BR432:BS432)</f>
        <v/>
      </c>
      <c r="BU432" s="28" t="n"/>
      <c r="BV432" s="31" t="n"/>
      <c r="BW432" s="29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1" t="n"/>
      <c r="BY432" s="21" t="n"/>
      <c r="BZ432" s="27">
        <f>SUM(BX432:BY432)</f>
        <v/>
      </c>
      <c r="CA432" s="28" t="n"/>
      <c r="CB432" s="31" t="n"/>
      <c r="CC432" s="29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1" t="n"/>
      <c r="CE432" s="21" t="n"/>
      <c r="CF432" s="27">
        <f>SUM(CD432:CE432)</f>
        <v/>
      </c>
      <c r="CG432" s="28" t="n"/>
      <c r="CH432" s="31" t="n"/>
      <c r="CI432" s="29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1" t="n"/>
      <c r="CK432" s="21" t="n"/>
      <c r="CL432" s="27">
        <f>SUM(CJ432:CK432)</f>
        <v/>
      </c>
      <c r="CM432" s="28" t="n"/>
      <c r="CN432" s="31" t="n"/>
      <c r="CO432" s="29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1" t="n"/>
      <c r="CQ432" s="21" t="n"/>
      <c r="CR432" s="27">
        <f>SUM(CP432:CQ432)</f>
        <v/>
      </c>
      <c r="CS432" s="28" t="n"/>
      <c r="CT432" s="31" t="n"/>
      <c r="CU432" s="29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1" t="n"/>
      <c r="CW432" s="21" t="n"/>
      <c r="CX432" s="27">
        <f>SUM(CV432:CW432)</f>
        <v/>
      </c>
      <c r="CY432" s="28" t="n"/>
      <c r="CZ432" s="31" t="n"/>
      <c r="DA432" s="29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1" t="n"/>
      <c r="DC432" s="21" t="n"/>
      <c r="DD432" s="27">
        <f>SUM(DB432:DC432)</f>
        <v/>
      </c>
      <c r="DE432" s="28" t="n"/>
      <c r="DF432" s="31" t="n"/>
      <c r="DG432" s="29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34">
        <f>SUM(O432,U432,AA432,AG432,AM432,AS432,AY432,BE432,BK432,BQ432,BW432,CC432,CI432,CO432,CU432,DA432,DG432)</f>
        <v/>
      </c>
      <c r="DI432" s="39">
        <f>RANK(DH432,DH$4:DH$503)</f>
        <v/>
      </c>
      <c r="DJ432" s="40" t="inlineStr">
        <is>
          <t>CHOOSE RATING</t>
        </is>
      </c>
      <c r="DK432" s="40" t="inlineStr">
        <is>
          <t>CHOOSE RATING</t>
        </is>
      </c>
      <c r="DL432" s="40" t="inlineStr">
        <is>
          <t>CHOOSE RATING</t>
        </is>
      </c>
      <c r="DM432" s="40" t="inlineStr">
        <is>
          <t>CHOOSE RATING</t>
        </is>
      </c>
      <c r="DN432" s="40" t="inlineStr">
        <is>
          <t>CHOOSE RATING</t>
        </is>
      </c>
      <c r="DO432" s="40" t="inlineStr">
        <is>
          <t>CHOOSE RATING</t>
        </is>
      </c>
      <c r="DP432" s="40" t="inlineStr">
        <is>
          <t>CHOOSE RATING</t>
        </is>
      </c>
      <c r="DQ432" s="40" t="inlineStr">
        <is>
          <t>CHOOSE RATING</t>
        </is>
      </c>
      <c r="DR432" s="43" t="inlineStr">
        <is>
          <t>2024/2025</t>
        </is>
      </c>
      <c r="DS432" s="45" t="inlineStr">
        <is>
          <t>THIRD</t>
        </is>
      </c>
      <c r="DT432" s="40" t="inlineStr">
        <is>
          <t>CHOOSE RATING</t>
        </is>
      </c>
      <c r="DU432" s="40" t="inlineStr">
        <is>
          <t>CHOOSE RATING</t>
        </is>
      </c>
      <c r="DV432" s="40" t="inlineStr">
        <is>
          <t>CHOOSE RATING</t>
        </is>
      </c>
      <c r="DW432" s="40" t="inlineStr">
        <is>
          <t>CHOOSE RATING</t>
        </is>
      </c>
      <c r="DX432" s="40" t="inlineStr">
        <is>
          <t>CHOOSE RATING</t>
        </is>
      </c>
      <c r="DY432" s="40" t="inlineStr">
        <is>
          <t>CHOOSE RATING</t>
        </is>
      </c>
      <c r="DZ432" s="53" t="inlineStr">
        <is>
          <t>CHOOSE RATING</t>
        </is>
      </c>
      <c r="EA432" s="54" t="inlineStr">
        <is>
          <t>Add the Tutor's Comment . . .</t>
        </is>
      </c>
      <c r="EB432" s="55" t="inlineStr">
        <is>
          <t>Choose Principals comment</t>
        </is>
      </c>
      <c r="EC432" s="56" t="n"/>
      <c r="ED432" s="57" t="inlineStr">
        <is>
          <t>Next Term Begins on Monday, 22nd September, 2025</t>
        </is>
      </c>
    </row>
    <row r="433" ht="30.6" customHeight="1" s="6">
      <c r="A433" s="18" t="n">
        <v>430</v>
      </c>
      <c r="B433" s="19" t="n"/>
      <c r="C433" s="20" t="n"/>
      <c r="D433" s="128" t="n"/>
      <c r="E433" s="21" t="n"/>
      <c r="F433" s="22" t="n"/>
      <c r="G433" s="22" t="n"/>
      <c r="H433" s="22" t="n"/>
      <c r="I433" s="26">
        <f>G433-H433</f>
        <v/>
      </c>
      <c r="J433" s="21" t="n"/>
      <c r="K433" s="21" t="n"/>
      <c r="L433" s="27">
        <f>SUM(J433:K433)</f>
        <v/>
      </c>
      <c r="M433" s="28" t="n"/>
      <c r="N433" s="28" t="n"/>
      <c r="O433" s="29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1" t="n"/>
      <c r="Q433" s="21" t="n"/>
      <c r="R433" s="27">
        <f>SUM(P433:Q433)</f>
        <v/>
      </c>
      <c r="S433" s="28" t="n"/>
      <c r="T433" s="28" t="n"/>
      <c r="U433" s="29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1" t="n"/>
      <c r="W433" s="21" t="n"/>
      <c r="X433" s="27">
        <f>SUM(V433:W433)</f>
        <v/>
      </c>
      <c r="Y433" s="28" t="n"/>
      <c r="Z433" s="28" t="n"/>
      <c r="AA433" s="29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1" t="n"/>
      <c r="AC433" s="21" t="n"/>
      <c r="AD433" s="27">
        <f>SUM(AB433:AC433)</f>
        <v/>
      </c>
      <c r="AE433" s="28" t="n"/>
      <c r="AF433" s="28" t="n"/>
      <c r="AG433" s="29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1" t="n"/>
      <c r="AI433" s="21" t="n"/>
      <c r="AJ433" s="27">
        <f>SUM(AH433:AI433)</f>
        <v/>
      </c>
      <c r="AK433" s="28" t="n"/>
      <c r="AL433" s="28" t="n"/>
      <c r="AM433" s="29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1" t="n"/>
      <c r="AO433" s="21" t="n"/>
      <c r="AP433" s="27">
        <f>SUM(AN433:AO433)</f>
        <v/>
      </c>
      <c r="AQ433" s="28" t="n"/>
      <c r="AR433" s="30" t="n"/>
      <c r="AS433" s="29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1" t="n"/>
      <c r="AU433" s="21" t="n"/>
      <c r="AV433" s="27">
        <f>SUM(AT433:AU433)</f>
        <v/>
      </c>
      <c r="AW433" s="28" t="n"/>
      <c r="AX433" s="30" t="n"/>
      <c r="AY433" s="29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1" t="n"/>
      <c r="BA433" s="21" t="n"/>
      <c r="BB433" s="27">
        <f>SUM(AZ433:BA433)</f>
        <v/>
      </c>
      <c r="BC433" s="28" t="n"/>
      <c r="BD433" s="28" t="n"/>
      <c r="BE433" s="29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1" t="n"/>
      <c r="BG433" s="21" t="n"/>
      <c r="BH433" s="27">
        <f>SUM(BF433:BG433)</f>
        <v/>
      </c>
      <c r="BI433" s="28" t="n"/>
      <c r="BJ433" s="28" t="n"/>
      <c r="BK433" s="29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1" t="n"/>
      <c r="BM433" s="21" t="n"/>
      <c r="BN433" s="27">
        <f>SUM(BL433:BM433)</f>
        <v/>
      </c>
      <c r="BO433" s="28" t="n"/>
      <c r="BP433" s="31" t="n"/>
      <c r="BQ433" s="29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1" t="n"/>
      <c r="BS433" s="21" t="n"/>
      <c r="BT433" s="27">
        <f>SUM(BR433:BS433)</f>
        <v/>
      </c>
      <c r="BU433" s="28" t="n"/>
      <c r="BV433" s="31" t="n"/>
      <c r="BW433" s="29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1" t="n"/>
      <c r="BY433" s="21" t="n"/>
      <c r="BZ433" s="27">
        <f>SUM(BX433:BY433)</f>
        <v/>
      </c>
      <c r="CA433" s="28" t="n"/>
      <c r="CB433" s="31" t="n"/>
      <c r="CC433" s="29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1" t="n"/>
      <c r="CE433" s="21" t="n"/>
      <c r="CF433" s="27">
        <f>SUM(CD433:CE433)</f>
        <v/>
      </c>
      <c r="CG433" s="28" t="n"/>
      <c r="CH433" s="31" t="n"/>
      <c r="CI433" s="29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1" t="n"/>
      <c r="CK433" s="21" t="n"/>
      <c r="CL433" s="27">
        <f>SUM(CJ433:CK433)</f>
        <v/>
      </c>
      <c r="CM433" s="28" t="n"/>
      <c r="CN433" s="31" t="n"/>
      <c r="CO433" s="29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1" t="n"/>
      <c r="CQ433" s="21" t="n"/>
      <c r="CR433" s="27">
        <f>SUM(CP433:CQ433)</f>
        <v/>
      </c>
      <c r="CS433" s="28" t="n"/>
      <c r="CT433" s="31" t="n"/>
      <c r="CU433" s="29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1" t="n"/>
      <c r="CW433" s="21" t="n"/>
      <c r="CX433" s="27">
        <f>SUM(CV433:CW433)</f>
        <v/>
      </c>
      <c r="CY433" s="28" t="n"/>
      <c r="CZ433" s="31" t="n"/>
      <c r="DA433" s="29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1" t="n"/>
      <c r="DC433" s="21" t="n"/>
      <c r="DD433" s="27">
        <f>SUM(DB433:DC433)</f>
        <v/>
      </c>
      <c r="DE433" s="28" t="n"/>
      <c r="DF433" s="31" t="n"/>
      <c r="DG433" s="29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34">
        <f>SUM(O433,U433,AA433,AG433,AM433,AS433,AY433,BE433,BK433,BQ433,BW433,CC433,CI433,CO433,CU433,DA433,DG433)</f>
        <v/>
      </c>
      <c r="DI433" s="39">
        <f>RANK(DH433,DH$4:DH$503)</f>
        <v/>
      </c>
      <c r="DJ433" s="40" t="inlineStr">
        <is>
          <t>CHOOSE RATING</t>
        </is>
      </c>
      <c r="DK433" s="40" t="inlineStr">
        <is>
          <t>CHOOSE RATING</t>
        </is>
      </c>
      <c r="DL433" s="40" t="inlineStr">
        <is>
          <t>CHOOSE RATING</t>
        </is>
      </c>
      <c r="DM433" s="40" t="inlineStr">
        <is>
          <t>CHOOSE RATING</t>
        </is>
      </c>
      <c r="DN433" s="40" t="inlineStr">
        <is>
          <t>CHOOSE RATING</t>
        </is>
      </c>
      <c r="DO433" s="40" t="inlineStr">
        <is>
          <t>CHOOSE RATING</t>
        </is>
      </c>
      <c r="DP433" s="40" t="inlineStr">
        <is>
          <t>CHOOSE RATING</t>
        </is>
      </c>
      <c r="DQ433" s="40" t="inlineStr">
        <is>
          <t>CHOOSE RATING</t>
        </is>
      </c>
      <c r="DR433" s="43" t="inlineStr">
        <is>
          <t>2024/2025</t>
        </is>
      </c>
      <c r="DS433" s="45" t="inlineStr">
        <is>
          <t>THIRD</t>
        </is>
      </c>
      <c r="DT433" s="40" t="inlineStr">
        <is>
          <t>CHOOSE RATING</t>
        </is>
      </c>
      <c r="DU433" s="40" t="inlineStr">
        <is>
          <t>CHOOSE RATING</t>
        </is>
      </c>
      <c r="DV433" s="40" t="inlineStr">
        <is>
          <t>CHOOSE RATING</t>
        </is>
      </c>
      <c r="DW433" s="40" t="inlineStr">
        <is>
          <t>CHOOSE RATING</t>
        </is>
      </c>
      <c r="DX433" s="40" t="inlineStr">
        <is>
          <t>CHOOSE RATING</t>
        </is>
      </c>
      <c r="DY433" s="40" t="inlineStr">
        <is>
          <t>CHOOSE RATING</t>
        </is>
      </c>
      <c r="DZ433" s="53" t="inlineStr">
        <is>
          <t>CHOOSE RATING</t>
        </is>
      </c>
      <c r="EA433" s="54" t="inlineStr">
        <is>
          <t>Add the Tutor's Comment . . .</t>
        </is>
      </c>
      <c r="EB433" s="55" t="inlineStr">
        <is>
          <t>Choose Principals comment</t>
        </is>
      </c>
      <c r="EC433" s="56" t="n"/>
      <c r="ED433" s="57" t="inlineStr">
        <is>
          <t>Next Term Begins on Monday, 22nd September, 2025</t>
        </is>
      </c>
    </row>
    <row r="434" ht="30.6" customHeight="1" s="6">
      <c r="A434" s="18" t="n">
        <v>431</v>
      </c>
      <c r="B434" s="19" t="n"/>
      <c r="C434" s="20" t="n"/>
      <c r="D434" s="128" t="n"/>
      <c r="E434" s="21" t="n"/>
      <c r="F434" s="22" t="n"/>
      <c r="G434" s="22" t="n"/>
      <c r="H434" s="22" t="n"/>
      <c r="I434" s="26">
        <f>G434-H434</f>
        <v/>
      </c>
      <c r="J434" s="21" t="n"/>
      <c r="K434" s="21" t="n"/>
      <c r="L434" s="27">
        <f>SUM(J434:K434)</f>
        <v/>
      </c>
      <c r="M434" s="28" t="n"/>
      <c r="N434" s="28" t="n"/>
      <c r="O434" s="29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1" t="n"/>
      <c r="Q434" s="21" t="n"/>
      <c r="R434" s="27">
        <f>SUM(P434:Q434)</f>
        <v/>
      </c>
      <c r="S434" s="28" t="n"/>
      <c r="T434" s="28" t="n"/>
      <c r="U434" s="29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1" t="n"/>
      <c r="W434" s="21" t="n"/>
      <c r="X434" s="27">
        <f>SUM(V434:W434)</f>
        <v/>
      </c>
      <c r="Y434" s="28" t="n"/>
      <c r="Z434" s="28" t="n"/>
      <c r="AA434" s="29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1" t="n"/>
      <c r="AC434" s="21" t="n"/>
      <c r="AD434" s="27">
        <f>SUM(AB434:AC434)</f>
        <v/>
      </c>
      <c r="AE434" s="28" t="n"/>
      <c r="AF434" s="28" t="n"/>
      <c r="AG434" s="29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1" t="n"/>
      <c r="AI434" s="21" t="n"/>
      <c r="AJ434" s="27">
        <f>SUM(AH434:AI434)</f>
        <v/>
      </c>
      <c r="AK434" s="28" t="n"/>
      <c r="AL434" s="28" t="n"/>
      <c r="AM434" s="29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1" t="n"/>
      <c r="AO434" s="21" t="n"/>
      <c r="AP434" s="27">
        <f>SUM(AN434:AO434)</f>
        <v/>
      </c>
      <c r="AQ434" s="28" t="n"/>
      <c r="AR434" s="30" t="n"/>
      <c r="AS434" s="29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1" t="n"/>
      <c r="AU434" s="21" t="n"/>
      <c r="AV434" s="27">
        <f>SUM(AT434:AU434)</f>
        <v/>
      </c>
      <c r="AW434" s="28" t="n"/>
      <c r="AX434" s="30" t="n"/>
      <c r="AY434" s="29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1" t="n"/>
      <c r="BA434" s="21" t="n"/>
      <c r="BB434" s="27">
        <f>SUM(AZ434:BA434)</f>
        <v/>
      </c>
      <c r="BC434" s="28" t="n"/>
      <c r="BD434" s="28" t="n"/>
      <c r="BE434" s="29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1" t="n"/>
      <c r="BG434" s="21" t="n"/>
      <c r="BH434" s="27">
        <f>SUM(BF434:BG434)</f>
        <v/>
      </c>
      <c r="BI434" s="28" t="n"/>
      <c r="BJ434" s="28" t="n"/>
      <c r="BK434" s="29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1" t="n"/>
      <c r="BM434" s="21" t="n"/>
      <c r="BN434" s="27">
        <f>SUM(BL434:BM434)</f>
        <v/>
      </c>
      <c r="BO434" s="28" t="n"/>
      <c r="BP434" s="31" t="n"/>
      <c r="BQ434" s="29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1" t="n"/>
      <c r="BS434" s="21" t="n"/>
      <c r="BT434" s="27">
        <f>SUM(BR434:BS434)</f>
        <v/>
      </c>
      <c r="BU434" s="28" t="n"/>
      <c r="BV434" s="31" t="n"/>
      <c r="BW434" s="29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1" t="n"/>
      <c r="BY434" s="21" t="n"/>
      <c r="BZ434" s="27">
        <f>SUM(BX434:BY434)</f>
        <v/>
      </c>
      <c r="CA434" s="28" t="n"/>
      <c r="CB434" s="31" t="n"/>
      <c r="CC434" s="29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1" t="n"/>
      <c r="CE434" s="21" t="n"/>
      <c r="CF434" s="27">
        <f>SUM(CD434:CE434)</f>
        <v/>
      </c>
      <c r="CG434" s="28" t="n"/>
      <c r="CH434" s="31" t="n"/>
      <c r="CI434" s="29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1" t="n"/>
      <c r="CK434" s="21" t="n"/>
      <c r="CL434" s="27">
        <f>SUM(CJ434:CK434)</f>
        <v/>
      </c>
      <c r="CM434" s="28" t="n"/>
      <c r="CN434" s="31" t="n"/>
      <c r="CO434" s="29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1" t="n"/>
      <c r="CQ434" s="21" t="n"/>
      <c r="CR434" s="27">
        <f>SUM(CP434:CQ434)</f>
        <v/>
      </c>
      <c r="CS434" s="28" t="n"/>
      <c r="CT434" s="31" t="n"/>
      <c r="CU434" s="29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1" t="n"/>
      <c r="CW434" s="21" t="n"/>
      <c r="CX434" s="27">
        <f>SUM(CV434:CW434)</f>
        <v/>
      </c>
      <c r="CY434" s="28" t="n"/>
      <c r="CZ434" s="31" t="n"/>
      <c r="DA434" s="29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1" t="n"/>
      <c r="DC434" s="21" t="n"/>
      <c r="DD434" s="27">
        <f>SUM(DB434:DC434)</f>
        <v/>
      </c>
      <c r="DE434" s="28" t="n"/>
      <c r="DF434" s="31" t="n"/>
      <c r="DG434" s="29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34">
        <f>SUM(O434,U434,AA434,AG434,AM434,AS434,AY434,BE434,BK434,BQ434,BW434,CC434,CI434,CO434,CU434,DA434,DG434)</f>
        <v/>
      </c>
      <c r="DI434" s="39">
        <f>RANK(DH434,DH$4:DH$503)</f>
        <v/>
      </c>
      <c r="DJ434" s="40" t="inlineStr">
        <is>
          <t>CHOOSE RATING</t>
        </is>
      </c>
      <c r="DK434" s="40" t="inlineStr">
        <is>
          <t>CHOOSE RATING</t>
        </is>
      </c>
      <c r="DL434" s="40" t="inlineStr">
        <is>
          <t>CHOOSE RATING</t>
        </is>
      </c>
      <c r="DM434" s="40" t="inlineStr">
        <is>
          <t>CHOOSE RATING</t>
        </is>
      </c>
      <c r="DN434" s="40" t="inlineStr">
        <is>
          <t>CHOOSE RATING</t>
        </is>
      </c>
      <c r="DO434" s="40" t="inlineStr">
        <is>
          <t>CHOOSE RATING</t>
        </is>
      </c>
      <c r="DP434" s="40" t="inlineStr">
        <is>
          <t>CHOOSE RATING</t>
        </is>
      </c>
      <c r="DQ434" s="40" t="inlineStr">
        <is>
          <t>CHOOSE RATING</t>
        </is>
      </c>
      <c r="DR434" s="43" t="inlineStr">
        <is>
          <t>2024/2025</t>
        </is>
      </c>
      <c r="DS434" s="45" t="inlineStr">
        <is>
          <t>THIRD</t>
        </is>
      </c>
      <c r="DT434" s="40" t="inlineStr">
        <is>
          <t>CHOOSE RATING</t>
        </is>
      </c>
      <c r="DU434" s="40" t="inlineStr">
        <is>
          <t>CHOOSE RATING</t>
        </is>
      </c>
      <c r="DV434" s="40" t="inlineStr">
        <is>
          <t>CHOOSE RATING</t>
        </is>
      </c>
      <c r="DW434" s="40" t="inlineStr">
        <is>
          <t>CHOOSE RATING</t>
        </is>
      </c>
      <c r="DX434" s="40" t="inlineStr">
        <is>
          <t>CHOOSE RATING</t>
        </is>
      </c>
      <c r="DY434" s="40" t="inlineStr">
        <is>
          <t>CHOOSE RATING</t>
        </is>
      </c>
      <c r="DZ434" s="53" t="inlineStr">
        <is>
          <t>CHOOSE RATING</t>
        </is>
      </c>
      <c r="EA434" s="54" t="inlineStr">
        <is>
          <t>Add the Tutor's Comment . . .</t>
        </is>
      </c>
      <c r="EB434" s="55" t="inlineStr">
        <is>
          <t>Choose Principals comment</t>
        </is>
      </c>
      <c r="EC434" s="56" t="n"/>
      <c r="ED434" s="57" t="inlineStr">
        <is>
          <t>Next Term Begins on Monday, 22nd September, 2025</t>
        </is>
      </c>
    </row>
    <row r="435" ht="30.6" customHeight="1" s="6">
      <c r="A435" s="18" t="n">
        <v>432</v>
      </c>
      <c r="B435" s="19" t="n"/>
      <c r="C435" s="20" t="n"/>
      <c r="D435" s="128" t="n"/>
      <c r="E435" s="21" t="n"/>
      <c r="F435" s="22" t="n"/>
      <c r="G435" s="22" t="n"/>
      <c r="H435" s="22" t="n"/>
      <c r="I435" s="26">
        <f>G435-H435</f>
        <v/>
      </c>
      <c r="J435" s="21" t="n"/>
      <c r="K435" s="21" t="n"/>
      <c r="L435" s="27">
        <f>SUM(J435:K435)</f>
        <v/>
      </c>
      <c r="M435" s="28" t="n"/>
      <c r="N435" s="28" t="n"/>
      <c r="O435" s="29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1" t="n"/>
      <c r="Q435" s="21" t="n"/>
      <c r="R435" s="27">
        <f>SUM(P435:Q435)</f>
        <v/>
      </c>
      <c r="S435" s="28" t="n"/>
      <c r="T435" s="28" t="n"/>
      <c r="U435" s="29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1" t="n"/>
      <c r="W435" s="21" t="n"/>
      <c r="X435" s="27">
        <f>SUM(V435:W435)</f>
        <v/>
      </c>
      <c r="Y435" s="28" t="n"/>
      <c r="Z435" s="28" t="n"/>
      <c r="AA435" s="29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1" t="n"/>
      <c r="AC435" s="21" t="n"/>
      <c r="AD435" s="27">
        <f>SUM(AB435:AC435)</f>
        <v/>
      </c>
      <c r="AE435" s="28" t="n"/>
      <c r="AF435" s="28" t="n"/>
      <c r="AG435" s="29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1" t="n"/>
      <c r="AI435" s="21" t="n"/>
      <c r="AJ435" s="27">
        <f>SUM(AH435:AI435)</f>
        <v/>
      </c>
      <c r="AK435" s="28" t="n"/>
      <c r="AL435" s="28" t="n"/>
      <c r="AM435" s="29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1" t="n"/>
      <c r="AO435" s="21" t="n"/>
      <c r="AP435" s="27">
        <f>SUM(AN435:AO435)</f>
        <v/>
      </c>
      <c r="AQ435" s="28" t="n"/>
      <c r="AR435" s="30" t="n"/>
      <c r="AS435" s="29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1" t="n"/>
      <c r="AU435" s="21" t="n"/>
      <c r="AV435" s="27">
        <f>SUM(AT435:AU435)</f>
        <v/>
      </c>
      <c r="AW435" s="28" t="n"/>
      <c r="AX435" s="30" t="n"/>
      <c r="AY435" s="29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1" t="n"/>
      <c r="BA435" s="21" t="n"/>
      <c r="BB435" s="27">
        <f>SUM(AZ435:BA435)</f>
        <v/>
      </c>
      <c r="BC435" s="28" t="n"/>
      <c r="BD435" s="28" t="n"/>
      <c r="BE435" s="29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1" t="n"/>
      <c r="BG435" s="21" t="n"/>
      <c r="BH435" s="27">
        <f>SUM(BF435:BG435)</f>
        <v/>
      </c>
      <c r="BI435" s="28" t="n"/>
      <c r="BJ435" s="28" t="n"/>
      <c r="BK435" s="29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1" t="n"/>
      <c r="BM435" s="21" t="n"/>
      <c r="BN435" s="27">
        <f>SUM(BL435:BM435)</f>
        <v/>
      </c>
      <c r="BO435" s="28" t="n"/>
      <c r="BP435" s="31" t="n"/>
      <c r="BQ435" s="29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1" t="n"/>
      <c r="BS435" s="21" t="n"/>
      <c r="BT435" s="27">
        <f>SUM(BR435:BS435)</f>
        <v/>
      </c>
      <c r="BU435" s="28" t="n"/>
      <c r="BV435" s="31" t="n"/>
      <c r="BW435" s="29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1" t="n"/>
      <c r="BY435" s="21" t="n"/>
      <c r="BZ435" s="27">
        <f>SUM(BX435:BY435)</f>
        <v/>
      </c>
      <c r="CA435" s="28" t="n"/>
      <c r="CB435" s="31" t="n"/>
      <c r="CC435" s="29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1" t="n"/>
      <c r="CE435" s="21" t="n"/>
      <c r="CF435" s="27">
        <f>SUM(CD435:CE435)</f>
        <v/>
      </c>
      <c r="CG435" s="28" t="n"/>
      <c r="CH435" s="31" t="n"/>
      <c r="CI435" s="29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1" t="n"/>
      <c r="CK435" s="21" t="n"/>
      <c r="CL435" s="27">
        <f>SUM(CJ435:CK435)</f>
        <v/>
      </c>
      <c r="CM435" s="28" t="n"/>
      <c r="CN435" s="31" t="n"/>
      <c r="CO435" s="29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1" t="n"/>
      <c r="CQ435" s="21" t="n"/>
      <c r="CR435" s="27">
        <f>SUM(CP435:CQ435)</f>
        <v/>
      </c>
      <c r="CS435" s="28" t="n"/>
      <c r="CT435" s="31" t="n"/>
      <c r="CU435" s="29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1" t="n"/>
      <c r="CW435" s="21" t="n"/>
      <c r="CX435" s="27">
        <f>SUM(CV435:CW435)</f>
        <v/>
      </c>
      <c r="CY435" s="28" t="n"/>
      <c r="CZ435" s="31" t="n"/>
      <c r="DA435" s="29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1" t="n"/>
      <c r="DC435" s="21" t="n"/>
      <c r="DD435" s="27">
        <f>SUM(DB435:DC435)</f>
        <v/>
      </c>
      <c r="DE435" s="28" t="n"/>
      <c r="DF435" s="31" t="n"/>
      <c r="DG435" s="29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34">
        <f>SUM(O435,U435,AA435,AG435,AM435,AS435,AY435,BE435,BK435,BQ435,BW435,CC435,CI435,CO435,CU435,DA435,DG435)</f>
        <v/>
      </c>
      <c r="DI435" s="39">
        <f>RANK(DH435,DH$4:DH$503)</f>
        <v/>
      </c>
      <c r="DJ435" s="40" t="inlineStr">
        <is>
          <t>CHOOSE RATING</t>
        </is>
      </c>
      <c r="DK435" s="40" t="inlineStr">
        <is>
          <t>CHOOSE RATING</t>
        </is>
      </c>
      <c r="DL435" s="40" t="inlineStr">
        <is>
          <t>CHOOSE RATING</t>
        </is>
      </c>
      <c r="DM435" s="40" t="inlineStr">
        <is>
          <t>CHOOSE RATING</t>
        </is>
      </c>
      <c r="DN435" s="40" t="inlineStr">
        <is>
          <t>CHOOSE RATING</t>
        </is>
      </c>
      <c r="DO435" s="40" t="inlineStr">
        <is>
          <t>CHOOSE RATING</t>
        </is>
      </c>
      <c r="DP435" s="40" t="inlineStr">
        <is>
          <t>CHOOSE RATING</t>
        </is>
      </c>
      <c r="DQ435" s="40" t="inlineStr">
        <is>
          <t>CHOOSE RATING</t>
        </is>
      </c>
      <c r="DR435" s="43" t="inlineStr">
        <is>
          <t>2024/2025</t>
        </is>
      </c>
      <c r="DS435" s="45" t="inlineStr">
        <is>
          <t>THIRD</t>
        </is>
      </c>
      <c r="DT435" s="40" t="inlineStr">
        <is>
          <t>CHOOSE RATING</t>
        </is>
      </c>
      <c r="DU435" s="40" t="inlineStr">
        <is>
          <t>CHOOSE RATING</t>
        </is>
      </c>
      <c r="DV435" s="40" t="inlineStr">
        <is>
          <t>CHOOSE RATING</t>
        </is>
      </c>
      <c r="DW435" s="40" t="inlineStr">
        <is>
          <t>CHOOSE RATING</t>
        </is>
      </c>
      <c r="DX435" s="40" t="inlineStr">
        <is>
          <t>CHOOSE RATING</t>
        </is>
      </c>
      <c r="DY435" s="40" t="inlineStr">
        <is>
          <t>CHOOSE RATING</t>
        </is>
      </c>
      <c r="DZ435" s="53" t="inlineStr">
        <is>
          <t>CHOOSE RATING</t>
        </is>
      </c>
      <c r="EA435" s="54" t="inlineStr">
        <is>
          <t>Add the Tutor's Comment . . .</t>
        </is>
      </c>
      <c r="EB435" s="55" t="inlineStr">
        <is>
          <t>Choose Principals comment</t>
        </is>
      </c>
      <c r="EC435" s="56" t="n"/>
      <c r="ED435" s="57" t="inlineStr">
        <is>
          <t>Next Term Begins on Monday, 22nd September, 2025</t>
        </is>
      </c>
    </row>
    <row r="436" ht="30.6" customHeight="1" s="6">
      <c r="A436" s="18" t="n">
        <v>433</v>
      </c>
      <c r="B436" s="19" t="n"/>
      <c r="C436" s="20" t="n"/>
      <c r="D436" s="128" t="n"/>
      <c r="E436" s="21" t="n"/>
      <c r="F436" s="22" t="n"/>
      <c r="G436" s="22" t="n"/>
      <c r="H436" s="22" t="n"/>
      <c r="I436" s="26">
        <f>G436-H436</f>
        <v/>
      </c>
      <c r="J436" s="21" t="n"/>
      <c r="K436" s="21" t="n"/>
      <c r="L436" s="27">
        <f>SUM(J436:K436)</f>
        <v/>
      </c>
      <c r="M436" s="28" t="n"/>
      <c r="N436" s="28" t="n"/>
      <c r="O436" s="29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1" t="n"/>
      <c r="Q436" s="21" t="n"/>
      <c r="R436" s="27">
        <f>SUM(P436:Q436)</f>
        <v/>
      </c>
      <c r="S436" s="28" t="n"/>
      <c r="T436" s="28" t="n"/>
      <c r="U436" s="29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1" t="n"/>
      <c r="W436" s="21" t="n"/>
      <c r="X436" s="27">
        <f>SUM(V436:W436)</f>
        <v/>
      </c>
      <c r="Y436" s="28" t="n"/>
      <c r="Z436" s="28" t="n"/>
      <c r="AA436" s="29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1" t="n"/>
      <c r="AC436" s="21" t="n"/>
      <c r="AD436" s="27">
        <f>SUM(AB436:AC436)</f>
        <v/>
      </c>
      <c r="AE436" s="28" t="n"/>
      <c r="AF436" s="28" t="n"/>
      <c r="AG436" s="29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1" t="n"/>
      <c r="AI436" s="21" t="n"/>
      <c r="AJ436" s="27">
        <f>SUM(AH436:AI436)</f>
        <v/>
      </c>
      <c r="AK436" s="28" t="n"/>
      <c r="AL436" s="28" t="n"/>
      <c r="AM436" s="29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1" t="n"/>
      <c r="AO436" s="21" t="n"/>
      <c r="AP436" s="27">
        <f>SUM(AN436:AO436)</f>
        <v/>
      </c>
      <c r="AQ436" s="28" t="n"/>
      <c r="AR436" s="30" t="n"/>
      <c r="AS436" s="29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1" t="n"/>
      <c r="AU436" s="21" t="n"/>
      <c r="AV436" s="27">
        <f>SUM(AT436:AU436)</f>
        <v/>
      </c>
      <c r="AW436" s="28" t="n"/>
      <c r="AX436" s="30" t="n"/>
      <c r="AY436" s="29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1" t="n"/>
      <c r="BA436" s="21" t="n"/>
      <c r="BB436" s="27">
        <f>SUM(AZ436:BA436)</f>
        <v/>
      </c>
      <c r="BC436" s="28" t="n"/>
      <c r="BD436" s="28" t="n"/>
      <c r="BE436" s="29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1" t="n"/>
      <c r="BG436" s="21" t="n"/>
      <c r="BH436" s="27">
        <f>SUM(BF436:BG436)</f>
        <v/>
      </c>
      <c r="BI436" s="28" t="n"/>
      <c r="BJ436" s="28" t="n"/>
      <c r="BK436" s="29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1" t="n"/>
      <c r="BM436" s="21" t="n"/>
      <c r="BN436" s="27">
        <f>SUM(BL436:BM436)</f>
        <v/>
      </c>
      <c r="BO436" s="28" t="n"/>
      <c r="BP436" s="31" t="n"/>
      <c r="BQ436" s="29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1" t="n"/>
      <c r="BS436" s="21" t="n"/>
      <c r="BT436" s="27">
        <f>SUM(BR436:BS436)</f>
        <v/>
      </c>
      <c r="BU436" s="28" t="n"/>
      <c r="BV436" s="31" t="n"/>
      <c r="BW436" s="29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1" t="n"/>
      <c r="BY436" s="21" t="n"/>
      <c r="BZ436" s="27">
        <f>SUM(BX436:BY436)</f>
        <v/>
      </c>
      <c r="CA436" s="28" t="n"/>
      <c r="CB436" s="31" t="n"/>
      <c r="CC436" s="29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1" t="n"/>
      <c r="CE436" s="21" t="n"/>
      <c r="CF436" s="27">
        <f>SUM(CD436:CE436)</f>
        <v/>
      </c>
      <c r="CG436" s="28" t="n"/>
      <c r="CH436" s="31" t="n"/>
      <c r="CI436" s="29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1" t="n"/>
      <c r="CK436" s="21" t="n"/>
      <c r="CL436" s="27">
        <f>SUM(CJ436:CK436)</f>
        <v/>
      </c>
      <c r="CM436" s="28" t="n"/>
      <c r="CN436" s="31" t="n"/>
      <c r="CO436" s="29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1" t="n"/>
      <c r="CQ436" s="21" t="n"/>
      <c r="CR436" s="27">
        <f>SUM(CP436:CQ436)</f>
        <v/>
      </c>
      <c r="CS436" s="28" t="n"/>
      <c r="CT436" s="31" t="n"/>
      <c r="CU436" s="29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1" t="n"/>
      <c r="CW436" s="21" t="n"/>
      <c r="CX436" s="27">
        <f>SUM(CV436:CW436)</f>
        <v/>
      </c>
      <c r="CY436" s="28" t="n"/>
      <c r="CZ436" s="31" t="n"/>
      <c r="DA436" s="29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1" t="n"/>
      <c r="DC436" s="21" t="n"/>
      <c r="DD436" s="27">
        <f>SUM(DB436:DC436)</f>
        <v/>
      </c>
      <c r="DE436" s="28" t="n"/>
      <c r="DF436" s="31" t="n"/>
      <c r="DG436" s="29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34">
        <f>SUM(O436,U436,AA436,AG436,AM436,AS436,AY436,BE436,BK436,BQ436,BW436,CC436,CI436,CO436,CU436,DA436,DG436)</f>
        <v/>
      </c>
      <c r="DI436" s="39">
        <f>RANK(DH436,DH$4:DH$503)</f>
        <v/>
      </c>
      <c r="DJ436" s="40" t="inlineStr">
        <is>
          <t>CHOOSE RATING</t>
        </is>
      </c>
      <c r="DK436" s="40" t="inlineStr">
        <is>
          <t>CHOOSE RATING</t>
        </is>
      </c>
      <c r="DL436" s="40" t="inlineStr">
        <is>
          <t>CHOOSE RATING</t>
        </is>
      </c>
      <c r="DM436" s="40" t="inlineStr">
        <is>
          <t>CHOOSE RATING</t>
        </is>
      </c>
      <c r="DN436" s="40" t="inlineStr">
        <is>
          <t>CHOOSE RATING</t>
        </is>
      </c>
      <c r="DO436" s="40" t="inlineStr">
        <is>
          <t>CHOOSE RATING</t>
        </is>
      </c>
      <c r="DP436" s="40" t="inlineStr">
        <is>
          <t>CHOOSE RATING</t>
        </is>
      </c>
      <c r="DQ436" s="40" t="inlineStr">
        <is>
          <t>CHOOSE RATING</t>
        </is>
      </c>
      <c r="DR436" s="43" t="inlineStr">
        <is>
          <t>2024/2025</t>
        </is>
      </c>
      <c r="DS436" s="45" t="inlineStr">
        <is>
          <t>THIRD</t>
        </is>
      </c>
      <c r="DT436" s="40" t="inlineStr">
        <is>
          <t>CHOOSE RATING</t>
        </is>
      </c>
      <c r="DU436" s="40" t="inlineStr">
        <is>
          <t>CHOOSE RATING</t>
        </is>
      </c>
      <c r="DV436" s="40" t="inlineStr">
        <is>
          <t>CHOOSE RATING</t>
        </is>
      </c>
      <c r="DW436" s="40" t="inlineStr">
        <is>
          <t>CHOOSE RATING</t>
        </is>
      </c>
      <c r="DX436" s="40" t="inlineStr">
        <is>
          <t>CHOOSE RATING</t>
        </is>
      </c>
      <c r="DY436" s="40" t="inlineStr">
        <is>
          <t>CHOOSE RATING</t>
        </is>
      </c>
      <c r="DZ436" s="53" t="inlineStr">
        <is>
          <t>CHOOSE RATING</t>
        </is>
      </c>
      <c r="EA436" s="54" t="inlineStr">
        <is>
          <t>Add the Tutor's Comment . . .</t>
        </is>
      </c>
      <c r="EB436" s="55" t="inlineStr">
        <is>
          <t>Choose Principals comment</t>
        </is>
      </c>
      <c r="EC436" s="56" t="n"/>
      <c r="ED436" s="57" t="inlineStr">
        <is>
          <t>Next Term Begins on Monday, 22nd September, 2025</t>
        </is>
      </c>
    </row>
    <row r="437" ht="30.6" customHeight="1" s="6">
      <c r="A437" s="18" t="n">
        <v>434</v>
      </c>
      <c r="B437" s="19" t="n"/>
      <c r="C437" s="20" t="n"/>
      <c r="D437" s="128" t="n"/>
      <c r="E437" s="21" t="n"/>
      <c r="F437" s="22" t="n"/>
      <c r="G437" s="22" t="n"/>
      <c r="H437" s="22" t="n"/>
      <c r="I437" s="26">
        <f>G437-H437</f>
        <v/>
      </c>
      <c r="J437" s="21" t="n"/>
      <c r="K437" s="21" t="n"/>
      <c r="L437" s="27">
        <f>SUM(J437:K437)</f>
        <v/>
      </c>
      <c r="M437" s="28" t="n"/>
      <c r="N437" s="28" t="n"/>
      <c r="O437" s="29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1" t="n"/>
      <c r="Q437" s="21" t="n"/>
      <c r="R437" s="27">
        <f>SUM(P437:Q437)</f>
        <v/>
      </c>
      <c r="S437" s="28" t="n"/>
      <c r="T437" s="28" t="n"/>
      <c r="U437" s="29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1" t="n"/>
      <c r="W437" s="21" t="n"/>
      <c r="X437" s="27">
        <f>SUM(V437:W437)</f>
        <v/>
      </c>
      <c r="Y437" s="28" t="n"/>
      <c r="Z437" s="28" t="n"/>
      <c r="AA437" s="29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1" t="n"/>
      <c r="AC437" s="21" t="n"/>
      <c r="AD437" s="27">
        <f>SUM(AB437:AC437)</f>
        <v/>
      </c>
      <c r="AE437" s="28" t="n"/>
      <c r="AF437" s="28" t="n"/>
      <c r="AG437" s="29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1" t="n"/>
      <c r="AI437" s="21" t="n"/>
      <c r="AJ437" s="27">
        <f>SUM(AH437:AI437)</f>
        <v/>
      </c>
      <c r="AK437" s="28" t="n"/>
      <c r="AL437" s="28" t="n"/>
      <c r="AM437" s="29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1" t="n"/>
      <c r="AO437" s="21" t="n"/>
      <c r="AP437" s="27">
        <f>SUM(AN437:AO437)</f>
        <v/>
      </c>
      <c r="AQ437" s="28" t="n"/>
      <c r="AR437" s="30" t="n"/>
      <c r="AS437" s="29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1" t="n"/>
      <c r="AU437" s="21" t="n"/>
      <c r="AV437" s="27">
        <f>SUM(AT437:AU437)</f>
        <v/>
      </c>
      <c r="AW437" s="28" t="n"/>
      <c r="AX437" s="30" t="n"/>
      <c r="AY437" s="29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1" t="n"/>
      <c r="BA437" s="21" t="n"/>
      <c r="BB437" s="27">
        <f>SUM(AZ437:BA437)</f>
        <v/>
      </c>
      <c r="BC437" s="28" t="n"/>
      <c r="BD437" s="28" t="n"/>
      <c r="BE437" s="29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1" t="n"/>
      <c r="BG437" s="21" t="n"/>
      <c r="BH437" s="27">
        <f>SUM(BF437:BG437)</f>
        <v/>
      </c>
      <c r="BI437" s="28" t="n"/>
      <c r="BJ437" s="28" t="n"/>
      <c r="BK437" s="29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1" t="n"/>
      <c r="BM437" s="21" t="n"/>
      <c r="BN437" s="27">
        <f>SUM(BL437:BM437)</f>
        <v/>
      </c>
      <c r="BO437" s="28" t="n"/>
      <c r="BP437" s="31" t="n"/>
      <c r="BQ437" s="29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1" t="n"/>
      <c r="BS437" s="21" t="n"/>
      <c r="BT437" s="27">
        <f>SUM(BR437:BS437)</f>
        <v/>
      </c>
      <c r="BU437" s="28" t="n"/>
      <c r="BV437" s="31" t="n"/>
      <c r="BW437" s="29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1" t="n"/>
      <c r="BY437" s="21" t="n"/>
      <c r="BZ437" s="27">
        <f>SUM(BX437:BY437)</f>
        <v/>
      </c>
      <c r="CA437" s="28" t="n"/>
      <c r="CB437" s="31" t="n"/>
      <c r="CC437" s="29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1" t="n"/>
      <c r="CE437" s="21" t="n"/>
      <c r="CF437" s="27">
        <f>SUM(CD437:CE437)</f>
        <v/>
      </c>
      <c r="CG437" s="28" t="n"/>
      <c r="CH437" s="31" t="n"/>
      <c r="CI437" s="29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1" t="n"/>
      <c r="CK437" s="21" t="n"/>
      <c r="CL437" s="27">
        <f>SUM(CJ437:CK437)</f>
        <v/>
      </c>
      <c r="CM437" s="28" t="n"/>
      <c r="CN437" s="31" t="n"/>
      <c r="CO437" s="29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1" t="n"/>
      <c r="CQ437" s="21" t="n"/>
      <c r="CR437" s="27">
        <f>SUM(CP437:CQ437)</f>
        <v/>
      </c>
      <c r="CS437" s="28" t="n"/>
      <c r="CT437" s="31" t="n"/>
      <c r="CU437" s="29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1" t="n"/>
      <c r="CW437" s="21" t="n"/>
      <c r="CX437" s="27">
        <f>SUM(CV437:CW437)</f>
        <v/>
      </c>
      <c r="CY437" s="28" t="n"/>
      <c r="CZ437" s="31" t="n"/>
      <c r="DA437" s="29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1" t="n"/>
      <c r="DC437" s="21" t="n"/>
      <c r="DD437" s="27">
        <f>SUM(DB437:DC437)</f>
        <v/>
      </c>
      <c r="DE437" s="28" t="n"/>
      <c r="DF437" s="31" t="n"/>
      <c r="DG437" s="29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34">
        <f>SUM(O437,U437,AA437,AG437,AM437,AS437,AY437,BE437,BK437,BQ437,BW437,CC437,CI437,CO437,CU437,DA437,DG437)</f>
        <v/>
      </c>
      <c r="DI437" s="39">
        <f>RANK(DH437,DH$4:DH$503)</f>
        <v/>
      </c>
      <c r="DJ437" s="40" t="inlineStr">
        <is>
          <t>CHOOSE RATING</t>
        </is>
      </c>
      <c r="DK437" s="40" t="inlineStr">
        <is>
          <t>CHOOSE RATING</t>
        </is>
      </c>
      <c r="DL437" s="40" t="inlineStr">
        <is>
          <t>CHOOSE RATING</t>
        </is>
      </c>
      <c r="DM437" s="40" t="inlineStr">
        <is>
          <t>CHOOSE RATING</t>
        </is>
      </c>
      <c r="DN437" s="40" t="inlineStr">
        <is>
          <t>CHOOSE RATING</t>
        </is>
      </c>
      <c r="DO437" s="40" t="inlineStr">
        <is>
          <t>CHOOSE RATING</t>
        </is>
      </c>
      <c r="DP437" s="40" t="inlineStr">
        <is>
          <t>CHOOSE RATING</t>
        </is>
      </c>
      <c r="DQ437" s="40" t="inlineStr">
        <is>
          <t>CHOOSE RATING</t>
        </is>
      </c>
      <c r="DR437" s="43" t="inlineStr">
        <is>
          <t>2024/2025</t>
        </is>
      </c>
      <c r="DS437" s="45" t="inlineStr">
        <is>
          <t>THIRD</t>
        </is>
      </c>
      <c r="DT437" s="40" t="inlineStr">
        <is>
          <t>CHOOSE RATING</t>
        </is>
      </c>
      <c r="DU437" s="40" t="inlineStr">
        <is>
          <t>CHOOSE RATING</t>
        </is>
      </c>
      <c r="DV437" s="40" t="inlineStr">
        <is>
          <t>CHOOSE RATING</t>
        </is>
      </c>
      <c r="DW437" s="40" t="inlineStr">
        <is>
          <t>CHOOSE RATING</t>
        </is>
      </c>
      <c r="DX437" s="40" t="inlineStr">
        <is>
          <t>CHOOSE RATING</t>
        </is>
      </c>
      <c r="DY437" s="40" t="inlineStr">
        <is>
          <t>CHOOSE RATING</t>
        </is>
      </c>
      <c r="DZ437" s="53" t="inlineStr">
        <is>
          <t>CHOOSE RATING</t>
        </is>
      </c>
      <c r="EA437" s="54" t="inlineStr">
        <is>
          <t>Add the Tutor's Comment . . .</t>
        </is>
      </c>
      <c r="EB437" s="55" t="inlineStr">
        <is>
          <t>Choose Principals comment</t>
        </is>
      </c>
      <c r="EC437" s="56" t="n"/>
      <c r="ED437" s="57" t="inlineStr">
        <is>
          <t>Next Term Begins on Monday, 22nd September, 2025</t>
        </is>
      </c>
    </row>
    <row r="438" ht="30.6" customHeight="1" s="6">
      <c r="A438" s="18" t="n">
        <v>435</v>
      </c>
      <c r="B438" s="19" t="n"/>
      <c r="C438" s="20" t="n"/>
      <c r="D438" s="128" t="n"/>
      <c r="E438" s="21" t="n"/>
      <c r="F438" s="22" t="n"/>
      <c r="G438" s="22" t="n"/>
      <c r="H438" s="22" t="n"/>
      <c r="I438" s="26">
        <f>G438-H438</f>
        <v/>
      </c>
      <c r="J438" s="21" t="n"/>
      <c r="K438" s="21" t="n"/>
      <c r="L438" s="27">
        <f>SUM(J438:K438)</f>
        <v/>
      </c>
      <c r="M438" s="28" t="n"/>
      <c r="N438" s="28" t="n"/>
      <c r="O438" s="29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1" t="n"/>
      <c r="Q438" s="21" t="n"/>
      <c r="R438" s="27">
        <f>SUM(P438:Q438)</f>
        <v/>
      </c>
      <c r="S438" s="28" t="n"/>
      <c r="T438" s="28" t="n"/>
      <c r="U438" s="29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1" t="n"/>
      <c r="W438" s="21" t="n"/>
      <c r="X438" s="27">
        <f>SUM(V438:W438)</f>
        <v/>
      </c>
      <c r="Y438" s="28" t="n"/>
      <c r="Z438" s="28" t="n"/>
      <c r="AA438" s="29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1" t="n"/>
      <c r="AC438" s="21" t="n"/>
      <c r="AD438" s="27">
        <f>SUM(AB438:AC438)</f>
        <v/>
      </c>
      <c r="AE438" s="28" t="n"/>
      <c r="AF438" s="28" t="n"/>
      <c r="AG438" s="29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1" t="n"/>
      <c r="AI438" s="21" t="n"/>
      <c r="AJ438" s="27">
        <f>SUM(AH438:AI438)</f>
        <v/>
      </c>
      <c r="AK438" s="28" t="n"/>
      <c r="AL438" s="28" t="n"/>
      <c r="AM438" s="29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1" t="n"/>
      <c r="AO438" s="21" t="n"/>
      <c r="AP438" s="27">
        <f>SUM(AN438:AO438)</f>
        <v/>
      </c>
      <c r="AQ438" s="28" t="n"/>
      <c r="AR438" s="30" t="n"/>
      <c r="AS438" s="29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1" t="n"/>
      <c r="AU438" s="21" t="n"/>
      <c r="AV438" s="27">
        <f>SUM(AT438:AU438)</f>
        <v/>
      </c>
      <c r="AW438" s="28" t="n"/>
      <c r="AX438" s="30" t="n"/>
      <c r="AY438" s="29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1" t="n"/>
      <c r="BA438" s="21" t="n"/>
      <c r="BB438" s="27">
        <f>SUM(AZ438:BA438)</f>
        <v/>
      </c>
      <c r="BC438" s="28" t="n"/>
      <c r="BD438" s="28" t="n"/>
      <c r="BE438" s="29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1" t="n"/>
      <c r="BG438" s="21" t="n"/>
      <c r="BH438" s="27">
        <f>SUM(BF438:BG438)</f>
        <v/>
      </c>
      <c r="BI438" s="28" t="n"/>
      <c r="BJ438" s="28" t="n"/>
      <c r="BK438" s="29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1" t="n"/>
      <c r="BM438" s="21" t="n"/>
      <c r="BN438" s="27">
        <f>SUM(BL438:BM438)</f>
        <v/>
      </c>
      <c r="BO438" s="28" t="n"/>
      <c r="BP438" s="31" t="n"/>
      <c r="BQ438" s="29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1" t="n"/>
      <c r="BS438" s="21" t="n"/>
      <c r="BT438" s="27">
        <f>SUM(BR438:BS438)</f>
        <v/>
      </c>
      <c r="BU438" s="28" t="n"/>
      <c r="BV438" s="31" t="n"/>
      <c r="BW438" s="29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1" t="n"/>
      <c r="BY438" s="21" t="n"/>
      <c r="BZ438" s="27">
        <f>SUM(BX438:BY438)</f>
        <v/>
      </c>
      <c r="CA438" s="28" t="n"/>
      <c r="CB438" s="31" t="n"/>
      <c r="CC438" s="29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1" t="n"/>
      <c r="CE438" s="21" t="n"/>
      <c r="CF438" s="27">
        <f>SUM(CD438:CE438)</f>
        <v/>
      </c>
      <c r="CG438" s="28" t="n"/>
      <c r="CH438" s="31" t="n"/>
      <c r="CI438" s="29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1" t="n"/>
      <c r="CK438" s="21" t="n"/>
      <c r="CL438" s="27">
        <f>SUM(CJ438:CK438)</f>
        <v/>
      </c>
      <c r="CM438" s="28" t="n"/>
      <c r="CN438" s="31" t="n"/>
      <c r="CO438" s="29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1" t="n"/>
      <c r="CQ438" s="21" t="n"/>
      <c r="CR438" s="27">
        <f>SUM(CP438:CQ438)</f>
        <v/>
      </c>
      <c r="CS438" s="28" t="n"/>
      <c r="CT438" s="31" t="n"/>
      <c r="CU438" s="29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1" t="n"/>
      <c r="CW438" s="21" t="n"/>
      <c r="CX438" s="27">
        <f>SUM(CV438:CW438)</f>
        <v/>
      </c>
      <c r="CY438" s="28" t="n"/>
      <c r="CZ438" s="31" t="n"/>
      <c r="DA438" s="29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1" t="n"/>
      <c r="DC438" s="21" t="n"/>
      <c r="DD438" s="27">
        <f>SUM(DB438:DC438)</f>
        <v/>
      </c>
      <c r="DE438" s="28" t="n"/>
      <c r="DF438" s="31" t="n"/>
      <c r="DG438" s="29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34">
        <f>SUM(O438,U438,AA438,AG438,AM438,AS438,AY438,BE438,BK438,BQ438,BW438,CC438,CI438,CO438,CU438,DA438,DG438)</f>
        <v/>
      </c>
      <c r="DI438" s="39">
        <f>RANK(DH438,DH$4:DH$503)</f>
        <v/>
      </c>
      <c r="DJ438" s="40" t="inlineStr">
        <is>
          <t>CHOOSE RATING</t>
        </is>
      </c>
      <c r="DK438" s="40" t="inlineStr">
        <is>
          <t>CHOOSE RATING</t>
        </is>
      </c>
      <c r="DL438" s="40" t="inlineStr">
        <is>
          <t>CHOOSE RATING</t>
        </is>
      </c>
      <c r="DM438" s="40" t="inlineStr">
        <is>
          <t>CHOOSE RATING</t>
        </is>
      </c>
      <c r="DN438" s="40" t="inlineStr">
        <is>
          <t>CHOOSE RATING</t>
        </is>
      </c>
      <c r="DO438" s="40" t="inlineStr">
        <is>
          <t>CHOOSE RATING</t>
        </is>
      </c>
      <c r="DP438" s="40" t="inlineStr">
        <is>
          <t>CHOOSE RATING</t>
        </is>
      </c>
      <c r="DQ438" s="40" t="inlineStr">
        <is>
          <t>CHOOSE RATING</t>
        </is>
      </c>
      <c r="DR438" s="43" t="inlineStr">
        <is>
          <t>2024/2025</t>
        </is>
      </c>
      <c r="DS438" s="45" t="inlineStr">
        <is>
          <t>THIRD</t>
        </is>
      </c>
      <c r="DT438" s="40" t="inlineStr">
        <is>
          <t>CHOOSE RATING</t>
        </is>
      </c>
      <c r="DU438" s="40" t="inlineStr">
        <is>
          <t>CHOOSE RATING</t>
        </is>
      </c>
      <c r="DV438" s="40" t="inlineStr">
        <is>
          <t>CHOOSE RATING</t>
        </is>
      </c>
      <c r="DW438" s="40" t="inlineStr">
        <is>
          <t>CHOOSE RATING</t>
        </is>
      </c>
      <c r="DX438" s="40" t="inlineStr">
        <is>
          <t>CHOOSE RATING</t>
        </is>
      </c>
      <c r="DY438" s="40" t="inlineStr">
        <is>
          <t>CHOOSE RATING</t>
        </is>
      </c>
      <c r="DZ438" s="53" t="inlineStr">
        <is>
          <t>CHOOSE RATING</t>
        </is>
      </c>
      <c r="EA438" s="54" t="inlineStr">
        <is>
          <t>Add the Tutor's Comment . . .</t>
        </is>
      </c>
      <c r="EB438" s="55" t="inlineStr">
        <is>
          <t>Choose Principals comment</t>
        </is>
      </c>
      <c r="EC438" s="56" t="n"/>
      <c r="ED438" s="57" t="inlineStr">
        <is>
          <t>Next Term Begins on Monday, 22nd September, 2025</t>
        </is>
      </c>
    </row>
    <row r="439" ht="30.6" customHeight="1" s="6">
      <c r="A439" s="18" t="n">
        <v>436</v>
      </c>
      <c r="B439" s="19" t="n"/>
      <c r="C439" s="20" t="n"/>
      <c r="D439" s="128" t="n"/>
      <c r="E439" s="21" t="n"/>
      <c r="F439" s="22" t="n"/>
      <c r="G439" s="22" t="n"/>
      <c r="H439" s="22" t="n"/>
      <c r="I439" s="26">
        <f>G439-H439</f>
        <v/>
      </c>
      <c r="J439" s="21" t="n"/>
      <c r="K439" s="21" t="n"/>
      <c r="L439" s="27">
        <f>SUM(J439:K439)</f>
        <v/>
      </c>
      <c r="M439" s="28" t="n"/>
      <c r="N439" s="28" t="n"/>
      <c r="O439" s="29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1" t="n"/>
      <c r="Q439" s="21" t="n"/>
      <c r="R439" s="27">
        <f>SUM(P439:Q439)</f>
        <v/>
      </c>
      <c r="S439" s="28" t="n"/>
      <c r="T439" s="28" t="n"/>
      <c r="U439" s="29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1" t="n"/>
      <c r="W439" s="21" t="n"/>
      <c r="X439" s="27">
        <f>SUM(V439:W439)</f>
        <v/>
      </c>
      <c r="Y439" s="28" t="n"/>
      <c r="Z439" s="28" t="n"/>
      <c r="AA439" s="29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1" t="n"/>
      <c r="AC439" s="21" t="n"/>
      <c r="AD439" s="27">
        <f>SUM(AB439:AC439)</f>
        <v/>
      </c>
      <c r="AE439" s="28" t="n"/>
      <c r="AF439" s="28" t="n"/>
      <c r="AG439" s="29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1" t="n"/>
      <c r="AI439" s="21" t="n"/>
      <c r="AJ439" s="27">
        <f>SUM(AH439:AI439)</f>
        <v/>
      </c>
      <c r="AK439" s="28" t="n"/>
      <c r="AL439" s="28" t="n"/>
      <c r="AM439" s="29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1" t="n"/>
      <c r="AO439" s="21" t="n"/>
      <c r="AP439" s="27">
        <f>SUM(AN439:AO439)</f>
        <v/>
      </c>
      <c r="AQ439" s="28" t="n"/>
      <c r="AR439" s="30" t="n"/>
      <c r="AS439" s="29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1" t="n"/>
      <c r="AU439" s="21" t="n"/>
      <c r="AV439" s="27">
        <f>SUM(AT439:AU439)</f>
        <v/>
      </c>
      <c r="AW439" s="28" t="n"/>
      <c r="AX439" s="30" t="n"/>
      <c r="AY439" s="29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1" t="n"/>
      <c r="BA439" s="21" t="n"/>
      <c r="BB439" s="27">
        <f>SUM(AZ439:BA439)</f>
        <v/>
      </c>
      <c r="BC439" s="28" t="n"/>
      <c r="BD439" s="28" t="n"/>
      <c r="BE439" s="29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1" t="n"/>
      <c r="BG439" s="21" t="n"/>
      <c r="BH439" s="27">
        <f>SUM(BF439:BG439)</f>
        <v/>
      </c>
      <c r="BI439" s="28" t="n"/>
      <c r="BJ439" s="28" t="n"/>
      <c r="BK439" s="29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1" t="n"/>
      <c r="BM439" s="21" t="n"/>
      <c r="BN439" s="27">
        <f>SUM(BL439:BM439)</f>
        <v/>
      </c>
      <c r="BO439" s="28" t="n"/>
      <c r="BP439" s="31" t="n"/>
      <c r="BQ439" s="29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1" t="n"/>
      <c r="BS439" s="21" t="n"/>
      <c r="BT439" s="27">
        <f>SUM(BR439:BS439)</f>
        <v/>
      </c>
      <c r="BU439" s="28" t="n"/>
      <c r="BV439" s="31" t="n"/>
      <c r="BW439" s="29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1" t="n"/>
      <c r="BY439" s="21" t="n"/>
      <c r="BZ439" s="27">
        <f>SUM(BX439:BY439)</f>
        <v/>
      </c>
      <c r="CA439" s="28" t="n"/>
      <c r="CB439" s="31" t="n"/>
      <c r="CC439" s="29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1" t="n"/>
      <c r="CE439" s="21" t="n"/>
      <c r="CF439" s="27">
        <f>SUM(CD439:CE439)</f>
        <v/>
      </c>
      <c r="CG439" s="28" t="n"/>
      <c r="CH439" s="31" t="n"/>
      <c r="CI439" s="29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1" t="n"/>
      <c r="CK439" s="21" t="n"/>
      <c r="CL439" s="27">
        <f>SUM(CJ439:CK439)</f>
        <v/>
      </c>
      <c r="CM439" s="28" t="n"/>
      <c r="CN439" s="31" t="n"/>
      <c r="CO439" s="29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1" t="n"/>
      <c r="CQ439" s="21" t="n"/>
      <c r="CR439" s="27">
        <f>SUM(CP439:CQ439)</f>
        <v/>
      </c>
      <c r="CS439" s="28" t="n"/>
      <c r="CT439" s="31" t="n"/>
      <c r="CU439" s="29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1" t="n"/>
      <c r="CW439" s="21" t="n"/>
      <c r="CX439" s="27">
        <f>SUM(CV439:CW439)</f>
        <v/>
      </c>
      <c r="CY439" s="28" t="n"/>
      <c r="CZ439" s="31" t="n"/>
      <c r="DA439" s="29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1" t="n"/>
      <c r="DC439" s="21" t="n"/>
      <c r="DD439" s="27">
        <f>SUM(DB439:DC439)</f>
        <v/>
      </c>
      <c r="DE439" s="28" t="n"/>
      <c r="DF439" s="31" t="n"/>
      <c r="DG439" s="29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34">
        <f>SUM(O439,U439,AA439,AG439,AM439,AS439,AY439,BE439,BK439,BQ439,BW439,CC439,CI439,CO439,CU439,DA439,DG439)</f>
        <v/>
      </c>
      <c r="DI439" s="39">
        <f>RANK(DH439,DH$4:DH$503)</f>
        <v/>
      </c>
      <c r="DJ439" s="40" t="inlineStr">
        <is>
          <t>CHOOSE RATING</t>
        </is>
      </c>
      <c r="DK439" s="40" t="inlineStr">
        <is>
          <t>CHOOSE RATING</t>
        </is>
      </c>
      <c r="DL439" s="40" t="inlineStr">
        <is>
          <t>CHOOSE RATING</t>
        </is>
      </c>
      <c r="DM439" s="40" t="inlineStr">
        <is>
          <t>CHOOSE RATING</t>
        </is>
      </c>
      <c r="DN439" s="40" t="inlineStr">
        <is>
          <t>CHOOSE RATING</t>
        </is>
      </c>
      <c r="DO439" s="40" t="inlineStr">
        <is>
          <t>CHOOSE RATING</t>
        </is>
      </c>
      <c r="DP439" s="40" t="inlineStr">
        <is>
          <t>CHOOSE RATING</t>
        </is>
      </c>
      <c r="DQ439" s="40" t="inlineStr">
        <is>
          <t>CHOOSE RATING</t>
        </is>
      </c>
      <c r="DR439" s="43" t="inlineStr">
        <is>
          <t>2024/2025</t>
        </is>
      </c>
      <c r="DS439" s="45" t="inlineStr">
        <is>
          <t>THIRD</t>
        </is>
      </c>
      <c r="DT439" s="40" t="inlineStr">
        <is>
          <t>CHOOSE RATING</t>
        </is>
      </c>
      <c r="DU439" s="40" t="inlineStr">
        <is>
          <t>CHOOSE RATING</t>
        </is>
      </c>
      <c r="DV439" s="40" t="inlineStr">
        <is>
          <t>CHOOSE RATING</t>
        </is>
      </c>
      <c r="DW439" s="40" t="inlineStr">
        <is>
          <t>CHOOSE RATING</t>
        </is>
      </c>
      <c r="DX439" s="40" t="inlineStr">
        <is>
          <t>CHOOSE RATING</t>
        </is>
      </c>
      <c r="DY439" s="40" t="inlineStr">
        <is>
          <t>CHOOSE RATING</t>
        </is>
      </c>
      <c r="DZ439" s="53" t="inlineStr">
        <is>
          <t>CHOOSE RATING</t>
        </is>
      </c>
      <c r="EA439" s="54" t="inlineStr">
        <is>
          <t>Add the Tutor's Comment . . .</t>
        </is>
      </c>
      <c r="EB439" s="55" t="inlineStr">
        <is>
          <t>Choose Principals comment</t>
        </is>
      </c>
      <c r="EC439" s="56" t="n"/>
      <c r="ED439" s="57" t="inlineStr">
        <is>
          <t>Next Term Begins on Monday, 22nd September, 2025</t>
        </is>
      </c>
    </row>
    <row r="440" ht="30.6" customHeight="1" s="6">
      <c r="A440" s="18" t="n">
        <v>437</v>
      </c>
      <c r="B440" s="19" t="n"/>
      <c r="C440" s="20" t="n"/>
      <c r="D440" s="128" t="n"/>
      <c r="E440" s="21" t="n"/>
      <c r="F440" s="22" t="n"/>
      <c r="G440" s="22" t="n"/>
      <c r="H440" s="22" t="n"/>
      <c r="I440" s="26">
        <f>G440-H440</f>
        <v/>
      </c>
      <c r="J440" s="21" t="n"/>
      <c r="K440" s="21" t="n"/>
      <c r="L440" s="27">
        <f>SUM(J440:K440)</f>
        <v/>
      </c>
      <c r="M440" s="28" t="n"/>
      <c r="N440" s="28" t="n"/>
      <c r="O440" s="29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1" t="n"/>
      <c r="Q440" s="21" t="n"/>
      <c r="R440" s="27">
        <f>SUM(P440:Q440)</f>
        <v/>
      </c>
      <c r="S440" s="28" t="n"/>
      <c r="T440" s="28" t="n"/>
      <c r="U440" s="29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1" t="n"/>
      <c r="W440" s="21" t="n"/>
      <c r="X440" s="27">
        <f>SUM(V440:W440)</f>
        <v/>
      </c>
      <c r="Y440" s="28" t="n"/>
      <c r="Z440" s="28" t="n"/>
      <c r="AA440" s="29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1" t="n"/>
      <c r="AC440" s="21" t="n"/>
      <c r="AD440" s="27">
        <f>SUM(AB440:AC440)</f>
        <v/>
      </c>
      <c r="AE440" s="28" t="n"/>
      <c r="AF440" s="28" t="n"/>
      <c r="AG440" s="29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1" t="n"/>
      <c r="AI440" s="21" t="n"/>
      <c r="AJ440" s="27">
        <f>SUM(AH440:AI440)</f>
        <v/>
      </c>
      <c r="AK440" s="28" t="n"/>
      <c r="AL440" s="28" t="n"/>
      <c r="AM440" s="29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1" t="n"/>
      <c r="AO440" s="21" t="n"/>
      <c r="AP440" s="27">
        <f>SUM(AN440:AO440)</f>
        <v/>
      </c>
      <c r="AQ440" s="28" t="n"/>
      <c r="AR440" s="30" t="n"/>
      <c r="AS440" s="29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1" t="n"/>
      <c r="AU440" s="21" t="n"/>
      <c r="AV440" s="27">
        <f>SUM(AT440:AU440)</f>
        <v/>
      </c>
      <c r="AW440" s="28" t="n"/>
      <c r="AX440" s="30" t="n"/>
      <c r="AY440" s="29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1" t="n"/>
      <c r="BA440" s="21" t="n"/>
      <c r="BB440" s="27">
        <f>SUM(AZ440:BA440)</f>
        <v/>
      </c>
      <c r="BC440" s="28" t="n"/>
      <c r="BD440" s="28" t="n"/>
      <c r="BE440" s="29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1" t="n"/>
      <c r="BG440" s="21" t="n"/>
      <c r="BH440" s="27">
        <f>SUM(BF440:BG440)</f>
        <v/>
      </c>
      <c r="BI440" s="28" t="n"/>
      <c r="BJ440" s="28" t="n"/>
      <c r="BK440" s="29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1" t="n"/>
      <c r="BM440" s="21" t="n"/>
      <c r="BN440" s="27">
        <f>SUM(BL440:BM440)</f>
        <v/>
      </c>
      <c r="BO440" s="28" t="n"/>
      <c r="BP440" s="31" t="n"/>
      <c r="BQ440" s="29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1" t="n"/>
      <c r="BS440" s="21" t="n"/>
      <c r="BT440" s="27">
        <f>SUM(BR440:BS440)</f>
        <v/>
      </c>
      <c r="BU440" s="28" t="n"/>
      <c r="BV440" s="31" t="n"/>
      <c r="BW440" s="29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1" t="n"/>
      <c r="BY440" s="21" t="n"/>
      <c r="BZ440" s="27">
        <f>SUM(BX440:BY440)</f>
        <v/>
      </c>
      <c r="CA440" s="28" t="n"/>
      <c r="CB440" s="31" t="n"/>
      <c r="CC440" s="29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1" t="n"/>
      <c r="CE440" s="21" t="n"/>
      <c r="CF440" s="27">
        <f>SUM(CD440:CE440)</f>
        <v/>
      </c>
      <c r="CG440" s="28" t="n"/>
      <c r="CH440" s="31" t="n"/>
      <c r="CI440" s="29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1" t="n"/>
      <c r="CK440" s="21" t="n"/>
      <c r="CL440" s="27">
        <f>SUM(CJ440:CK440)</f>
        <v/>
      </c>
      <c r="CM440" s="28" t="n"/>
      <c r="CN440" s="31" t="n"/>
      <c r="CO440" s="29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1" t="n"/>
      <c r="CQ440" s="21" t="n"/>
      <c r="CR440" s="27">
        <f>SUM(CP440:CQ440)</f>
        <v/>
      </c>
      <c r="CS440" s="28" t="n"/>
      <c r="CT440" s="31" t="n"/>
      <c r="CU440" s="29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1" t="n"/>
      <c r="CW440" s="21" t="n"/>
      <c r="CX440" s="27">
        <f>SUM(CV440:CW440)</f>
        <v/>
      </c>
      <c r="CY440" s="28" t="n"/>
      <c r="CZ440" s="31" t="n"/>
      <c r="DA440" s="29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1" t="n"/>
      <c r="DC440" s="21" t="n"/>
      <c r="DD440" s="27">
        <f>SUM(DB440:DC440)</f>
        <v/>
      </c>
      <c r="DE440" s="28" t="n"/>
      <c r="DF440" s="31" t="n"/>
      <c r="DG440" s="29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34">
        <f>SUM(O440,U440,AA440,AG440,AM440,AS440,AY440,BE440,BK440,BQ440,BW440,CC440,CI440,CO440,CU440,DA440,DG440)</f>
        <v/>
      </c>
      <c r="DI440" s="39">
        <f>RANK(DH440,DH$4:DH$503)</f>
        <v/>
      </c>
      <c r="DJ440" s="40" t="inlineStr">
        <is>
          <t>CHOOSE RATING</t>
        </is>
      </c>
      <c r="DK440" s="40" t="inlineStr">
        <is>
          <t>CHOOSE RATING</t>
        </is>
      </c>
      <c r="DL440" s="40" t="inlineStr">
        <is>
          <t>CHOOSE RATING</t>
        </is>
      </c>
      <c r="DM440" s="40" t="inlineStr">
        <is>
          <t>CHOOSE RATING</t>
        </is>
      </c>
      <c r="DN440" s="40" t="inlineStr">
        <is>
          <t>CHOOSE RATING</t>
        </is>
      </c>
      <c r="DO440" s="40" t="inlineStr">
        <is>
          <t>CHOOSE RATING</t>
        </is>
      </c>
      <c r="DP440" s="40" t="inlineStr">
        <is>
          <t>CHOOSE RATING</t>
        </is>
      </c>
      <c r="DQ440" s="40" t="inlineStr">
        <is>
          <t>CHOOSE RATING</t>
        </is>
      </c>
      <c r="DR440" s="43" t="inlineStr">
        <is>
          <t>2024/2025</t>
        </is>
      </c>
      <c r="DS440" s="45" t="inlineStr">
        <is>
          <t>THIRD</t>
        </is>
      </c>
      <c r="DT440" s="40" t="inlineStr">
        <is>
          <t>CHOOSE RATING</t>
        </is>
      </c>
      <c r="DU440" s="40" t="inlineStr">
        <is>
          <t>CHOOSE RATING</t>
        </is>
      </c>
      <c r="DV440" s="40" t="inlineStr">
        <is>
          <t>CHOOSE RATING</t>
        </is>
      </c>
      <c r="DW440" s="40" t="inlineStr">
        <is>
          <t>CHOOSE RATING</t>
        </is>
      </c>
      <c r="DX440" s="40" t="inlineStr">
        <is>
          <t>CHOOSE RATING</t>
        </is>
      </c>
      <c r="DY440" s="40" t="inlineStr">
        <is>
          <t>CHOOSE RATING</t>
        </is>
      </c>
      <c r="DZ440" s="53" t="inlineStr">
        <is>
          <t>CHOOSE RATING</t>
        </is>
      </c>
      <c r="EA440" s="54" t="inlineStr">
        <is>
          <t>Add the Tutor's Comment . . .</t>
        </is>
      </c>
      <c r="EB440" s="55" t="inlineStr">
        <is>
          <t>Choose Principals comment</t>
        </is>
      </c>
      <c r="EC440" s="56" t="n"/>
      <c r="ED440" s="57" t="inlineStr">
        <is>
          <t>Next Term Begins on Monday, 22nd September, 2025</t>
        </is>
      </c>
    </row>
    <row r="441" ht="30.6" customHeight="1" s="6">
      <c r="A441" s="18" t="n">
        <v>438</v>
      </c>
      <c r="B441" s="19" t="n"/>
      <c r="C441" s="20" t="n"/>
      <c r="D441" s="128" t="n"/>
      <c r="E441" s="21" t="n"/>
      <c r="F441" s="22" t="n"/>
      <c r="G441" s="22" t="n"/>
      <c r="H441" s="22" t="n"/>
      <c r="I441" s="26">
        <f>G441-H441</f>
        <v/>
      </c>
      <c r="J441" s="21" t="n"/>
      <c r="K441" s="21" t="n"/>
      <c r="L441" s="27">
        <f>SUM(J441:K441)</f>
        <v/>
      </c>
      <c r="M441" s="28" t="n"/>
      <c r="N441" s="28" t="n"/>
      <c r="O441" s="29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1" t="n"/>
      <c r="Q441" s="21" t="n"/>
      <c r="R441" s="27">
        <f>SUM(P441:Q441)</f>
        <v/>
      </c>
      <c r="S441" s="28" t="n"/>
      <c r="T441" s="28" t="n"/>
      <c r="U441" s="29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1" t="n"/>
      <c r="W441" s="21" t="n"/>
      <c r="X441" s="27">
        <f>SUM(V441:W441)</f>
        <v/>
      </c>
      <c r="Y441" s="28" t="n"/>
      <c r="Z441" s="28" t="n"/>
      <c r="AA441" s="29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1" t="n"/>
      <c r="AC441" s="21" t="n"/>
      <c r="AD441" s="27">
        <f>SUM(AB441:AC441)</f>
        <v/>
      </c>
      <c r="AE441" s="28" t="n"/>
      <c r="AF441" s="28" t="n"/>
      <c r="AG441" s="29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1" t="n"/>
      <c r="AI441" s="21" t="n"/>
      <c r="AJ441" s="27">
        <f>SUM(AH441:AI441)</f>
        <v/>
      </c>
      <c r="AK441" s="28" t="n"/>
      <c r="AL441" s="28" t="n"/>
      <c r="AM441" s="29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1" t="n"/>
      <c r="AO441" s="21" t="n"/>
      <c r="AP441" s="27">
        <f>SUM(AN441:AO441)</f>
        <v/>
      </c>
      <c r="AQ441" s="28" t="n"/>
      <c r="AR441" s="30" t="n"/>
      <c r="AS441" s="29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1" t="n"/>
      <c r="AU441" s="21" t="n"/>
      <c r="AV441" s="27">
        <f>SUM(AT441:AU441)</f>
        <v/>
      </c>
      <c r="AW441" s="28" t="n"/>
      <c r="AX441" s="30" t="n"/>
      <c r="AY441" s="29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1" t="n"/>
      <c r="BA441" s="21" t="n"/>
      <c r="BB441" s="27">
        <f>SUM(AZ441:BA441)</f>
        <v/>
      </c>
      <c r="BC441" s="28" t="n"/>
      <c r="BD441" s="28" t="n"/>
      <c r="BE441" s="29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1" t="n"/>
      <c r="BG441" s="21" t="n"/>
      <c r="BH441" s="27">
        <f>SUM(BF441:BG441)</f>
        <v/>
      </c>
      <c r="BI441" s="28" t="n"/>
      <c r="BJ441" s="28" t="n"/>
      <c r="BK441" s="29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1" t="n"/>
      <c r="BM441" s="21" t="n"/>
      <c r="BN441" s="27">
        <f>SUM(BL441:BM441)</f>
        <v/>
      </c>
      <c r="BO441" s="28" t="n"/>
      <c r="BP441" s="31" t="n"/>
      <c r="BQ441" s="29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1" t="n"/>
      <c r="BS441" s="21" t="n"/>
      <c r="BT441" s="27">
        <f>SUM(BR441:BS441)</f>
        <v/>
      </c>
      <c r="BU441" s="28" t="n"/>
      <c r="BV441" s="31" t="n"/>
      <c r="BW441" s="29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1" t="n"/>
      <c r="BY441" s="21" t="n"/>
      <c r="BZ441" s="27">
        <f>SUM(BX441:BY441)</f>
        <v/>
      </c>
      <c r="CA441" s="28" t="n"/>
      <c r="CB441" s="31" t="n"/>
      <c r="CC441" s="29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1" t="n"/>
      <c r="CE441" s="21" t="n"/>
      <c r="CF441" s="27">
        <f>SUM(CD441:CE441)</f>
        <v/>
      </c>
      <c r="CG441" s="28" t="n"/>
      <c r="CH441" s="31" t="n"/>
      <c r="CI441" s="29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1" t="n"/>
      <c r="CK441" s="21" t="n"/>
      <c r="CL441" s="27">
        <f>SUM(CJ441:CK441)</f>
        <v/>
      </c>
      <c r="CM441" s="28" t="n"/>
      <c r="CN441" s="31" t="n"/>
      <c r="CO441" s="29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1" t="n"/>
      <c r="CQ441" s="21" t="n"/>
      <c r="CR441" s="27">
        <f>SUM(CP441:CQ441)</f>
        <v/>
      </c>
      <c r="CS441" s="28" t="n"/>
      <c r="CT441" s="31" t="n"/>
      <c r="CU441" s="29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1" t="n"/>
      <c r="CW441" s="21" t="n"/>
      <c r="CX441" s="27">
        <f>SUM(CV441:CW441)</f>
        <v/>
      </c>
      <c r="CY441" s="28" t="n"/>
      <c r="CZ441" s="31" t="n"/>
      <c r="DA441" s="29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1" t="n"/>
      <c r="DC441" s="21" t="n"/>
      <c r="DD441" s="27">
        <f>SUM(DB441:DC441)</f>
        <v/>
      </c>
      <c r="DE441" s="28" t="n"/>
      <c r="DF441" s="31" t="n"/>
      <c r="DG441" s="29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34">
        <f>SUM(O441,U441,AA441,AG441,AM441,AS441,AY441,BE441,BK441,BQ441,BW441,CC441,CI441,CO441,CU441,DA441,DG441)</f>
        <v/>
      </c>
      <c r="DI441" s="39">
        <f>RANK(DH441,DH$4:DH$503)</f>
        <v/>
      </c>
      <c r="DJ441" s="40" t="inlineStr">
        <is>
          <t>CHOOSE RATING</t>
        </is>
      </c>
      <c r="DK441" s="40" t="inlineStr">
        <is>
          <t>CHOOSE RATING</t>
        </is>
      </c>
      <c r="DL441" s="40" t="inlineStr">
        <is>
          <t>CHOOSE RATING</t>
        </is>
      </c>
      <c r="DM441" s="40" t="inlineStr">
        <is>
          <t>CHOOSE RATING</t>
        </is>
      </c>
      <c r="DN441" s="40" t="inlineStr">
        <is>
          <t>CHOOSE RATING</t>
        </is>
      </c>
      <c r="DO441" s="40" t="inlineStr">
        <is>
          <t>CHOOSE RATING</t>
        </is>
      </c>
      <c r="DP441" s="40" t="inlineStr">
        <is>
          <t>CHOOSE RATING</t>
        </is>
      </c>
      <c r="DQ441" s="40" t="inlineStr">
        <is>
          <t>CHOOSE RATING</t>
        </is>
      </c>
      <c r="DR441" s="43" t="inlineStr">
        <is>
          <t>2024/2025</t>
        </is>
      </c>
      <c r="DS441" s="45" t="inlineStr">
        <is>
          <t>THIRD</t>
        </is>
      </c>
      <c r="DT441" s="40" t="inlineStr">
        <is>
          <t>CHOOSE RATING</t>
        </is>
      </c>
      <c r="DU441" s="40" t="inlineStr">
        <is>
          <t>CHOOSE RATING</t>
        </is>
      </c>
      <c r="DV441" s="40" t="inlineStr">
        <is>
          <t>CHOOSE RATING</t>
        </is>
      </c>
      <c r="DW441" s="40" t="inlineStr">
        <is>
          <t>CHOOSE RATING</t>
        </is>
      </c>
      <c r="DX441" s="40" t="inlineStr">
        <is>
          <t>CHOOSE RATING</t>
        </is>
      </c>
      <c r="DY441" s="40" t="inlineStr">
        <is>
          <t>CHOOSE RATING</t>
        </is>
      </c>
      <c r="DZ441" s="53" t="inlineStr">
        <is>
          <t>CHOOSE RATING</t>
        </is>
      </c>
      <c r="EA441" s="54" t="inlineStr">
        <is>
          <t>Add the Tutor's Comment . . .</t>
        </is>
      </c>
      <c r="EB441" s="55" t="inlineStr">
        <is>
          <t>Choose Principals comment</t>
        </is>
      </c>
      <c r="EC441" s="56" t="n"/>
      <c r="ED441" s="57" t="inlineStr">
        <is>
          <t>Next Term Begins on Monday, 22nd September, 2025</t>
        </is>
      </c>
    </row>
    <row r="442" ht="30.6" customHeight="1" s="6">
      <c r="A442" s="18" t="n">
        <v>439</v>
      </c>
      <c r="B442" s="19" t="n"/>
      <c r="C442" s="20" t="n"/>
      <c r="D442" s="128" t="n"/>
      <c r="E442" s="21" t="n"/>
      <c r="F442" s="22" t="n"/>
      <c r="G442" s="22" t="n"/>
      <c r="H442" s="22" t="n"/>
      <c r="I442" s="26">
        <f>G442-H442</f>
        <v/>
      </c>
      <c r="J442" s="21" t="n"/>
      <c r="K442" s="21" t="n"/>
      <c r="L442" s="27">
        <f>SUM(J442:K442)</f>
        <v/>
      </c>
      <c r="M442" s="28" t="n"/>
      <c r="N442" s="28" t="n"/>
      <c r="O442" s="29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1" t="n"/>
      <c r="Q442" s="21" t="n"/>
      <c r="R442" s="27">
        <f>SUM(P442:Q442)</f>
        <v/>
      </c>
      <c r="S442" s="28" t="n"/>
      <c r="T442" s="28" t="n"/>
      <c r="U442" s="29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1" t="n"/>
      <c r="W442" s="21" t="n"/>
      <c r="X442" s="27">
        <f>SUM(V442:W442)</f>
        <v/>
      </c>
      <c r="Y442" s="28" t="n"/>
      <c r="Z442" s="28" t="n"/>
      <c r="AA442" s="29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1" t="n"/>
      <c r="AC442" s="21" t="n"/>
      <c r="AD442" s="27">
        <f>SUM(AB442:AC442)</f>
        <v/>
      </c>
      <c r="AE442" s="28" t="n"/>
      <c r="AF442" s="28" t="n"/>
      <c r="AG442" s="29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1" t="n"/>
      <c r="AI442" s="21" t="n"/>
      <c r="AJ442" s="27">
        <f>SUM(AH442:AI442)</f>
        <v/>
      </c>
      <c r="AK442" s="28" t="n"/>
      <c r="AL442" s="28" t="n"/>
      <c r="AM442" s="29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1" t="n"/>
      <c r="AO442" s="21" t="n"/>
      <c r="AP442" s="27">
        <f>SUM(AN442:AO442)</f>
        <v/>
      </c>
      <c r="AQ442" s="28" t="n"/>
      <c r="AR442" s="30" t="n"/>
      <c r="AS442" s="29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1" t="n"/>
      <c r="AU442" s="21" t="n"/>
      <c r="AV442" s="27">
        <f>SUM(AT442:AU442)</f>
        <v/>
      </c>
      <c r="AW442" s="28" t="n"/>
      <c r="AX442" s="30" t="n"/>
      <c r="AY442" s="29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1" t="n"/>
      <c r="BA442" s="21" t="n"/>
      <c r="BB442" s="27">
        <f>SUM(AZ442:BA442)</f>
        <v/>
      </c>
      <c r="BC442" s="28" t="n"/>
      <c r="BD442" s="28" t="n"/>
      <c r="BE442" s="29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1" t="n"/>
      <c r="BG442" s="21" t="n"/>
      <c r="BH442" s="27">
        <f>SUM(BF442:BG442)</f>
        <v/>
      </c>
      <c r="BI442" s="28" t="n"/>
      <c r="BJ442" s="28" t="n"/>
      <c r="BK442" s="29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1" t="n"/>
      <c r="BM442" s="21" t="n"/>
      <c r="BN442" s="27">
        <f>SUM(BL442:BM442)</f>
        <v/>
      </c>
      <c r="BO442" s="28" t="n"/>
      <c r="BP442" s="31" t="n"/>
      <c r="BQ442" s="29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1" t="n"/>
      <c r="BS442" s="21" t="n"/>
      <c r="BT442" s="27">
        <f>SUM(BR442:BS442)</f>
        <v/>
      </c>
      <c r="BU442" s="28" t="n"/>
      <c r="BV442" s="31" t="n"/>
      <c r="BW442" s="29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1" t="n"/>
      <c r="BY442" s="21" t="n"/>
      <c r="BZ442" s="27">
        <f>SUM(BX442:BY442)</f>
        <v/>
      </c>
      <c r="CA442" s="28" t="n"/>
      <c r="CB442" s="31" t="n"/>
      <c r="CC442" s="29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1" t="n"/>
      <c r="CE442" s="21" t="n"/>
      <c r="CF442" s="27">
        <f>SUM(CD442:CE442)</f>
        <v/>
      </c>
      <c r="CG442" s="28" t="n"/>
      <c r="CH442" s="31" t="n"/>
      <c r="CI442" s="29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1" t="n"/>
      <c r="CK442" s="21" t="n"/>
      <c r="CL442" s="27">
        <f>SUM(CJ442:CK442)</f>
        <v/>
      </c>
      <c r="CM442" s="28" t="n"/>
      <c r="CN442" s="31" t="n"/>
      <c r="CO442" s="29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1" t="n"/>
      <c r="CQ442" s="21" t="n"/>
      <c r="CR442" s="27">
        <f>SUM(CP442:CQ442)</f>
        <v/>
      </c>
      <c r="CS442" s="28" t="n"/>
      <c r="CT442" s="31" t="n"/>
      <c r="CU442" s="29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1" t="n"/>
      <c r="CW442" s="21" t="n"/>
      <c r="CX442" s="27">
        <f>SUM(CV442:CW442)</f>
        <v/>
      </c>
      <c r="CY442" s="28" t="n"/>
      <c r="CZ442" s="31" t="n"/>
      <c r="DA442" s="29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1" t="n"/>
      <c r="DC442" s="21" t="n"/>
      <c r="DD442" s="27">
        <f>SUM(DB442:DC442)</f>
        <v/>
      </c>
      <c r="DE442" s="28" t="n"/>
      <c r="DF442" s="31" t="n"/>
      <c r="DG442" s="29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34">
        <f>SUM(O442,U442,AA442,AG442,AM442,AS442,AY442,BE442,BK442,BQ442,BW442,CC442,CI442,CO442,CU442,DA442,DG442)</f>
        <v/>
      </c>
      <c r="DI442" s="39">
        <f>RANK(DH442,DH$4:DH$503)</f>
        <v/>
      </c>
      <c r="DJ442" s="40" t="inlineStr">
        <is>
          <t>CHOOSE RATING</t>
        </is>
      </c>
      <c r="DK442" s="40" t="inlineStr">
        <is>
          <t>CHOOSE RATING</t>
        </is>
      </c>
      <c r="DL442" s="40" t="inlineStr">
        <is>
          <t>CHOOSE RATING</t>
        </is>
      </c>
      <c r="DM442" s="40" t="inlineStr">
        <is>
          <t>CHOOSE RATING</t>
        </is>
      </c>
      <c r="DN442" s="40" t="inlineStr">
        <is>
          <t>CHOOSE RATING</t>
        </is>
      </c>
      <c r="DO442" s="40" t="inlineStr">
        <is>
          <t>CHOOSE RATING</t>
        </is>
      </c>
      <c r="DP442" s="40" t="inlineStr">
        <is>
          <t>CHOOSE RATING</t>
        </is>
      </c>
      <c r="DQ442" s="40" t="inlineStr">
        <is>
          <t>CHOOSE RATING</t>
        </is>
      </c>
      <c r="DR442" s="43" t="inlineStr">
        <is>
          <t>2024/2025</t>
        </is>
      </c>
      <c r="DS442" s="45" t="inlineStr">
        <is>
          <t>THIRD</t>
        </is>
      </c>
      <c r="DT442" s="40" t="inlineStr">
        <is>
          <t>CHOOSE RATING</t>
        </is>
      </c>
      <c r="DU442" s="40" t="inlineStr">
        <is>
          <t>CHOOSE RATING</t>
        </is>
      </c>
      <c r="DV442" s="40" t="inlineStr">
        <is>
          <t>CHOOSE RATING</t>
        </is>
      </c>
      <c r="DW442" s="40" t="inlineStr">
        <is>
          <t>CHOOSE RATING</t>
        </is>
      </c>
      <c r="DX442" s="40" t="inlineStr">
        <is>
          <t>CHOOSE RATING</t>
        </is>
      </c>
      <c r="DY442" s="40" t="inlineStr">
        <is>
          <t>CHOOSE RATING</t>
        </is>
      </c>
      <c r="DZ442" s="53" t="inlineStr">
        <is>
          <t>CHOOSE RATING</t>
        </is>
      </c>
      <c r="EA442" s="54" t="inlineStr">
        <is>
          <t>Add the Tutor's Comment . . .</t>
        </is>
      </c>
      <c r="EB442" s="55" t="inlineStr">
        <is>
          <t>Choose Principals comment</t>
        </is>
      </c>
      <c r="EC442" s="56" t="n"/>
      <c r="ED442" s="57" t="inlineStr">
        <is>
          <t>Next Term Begins on Monday, 22nd September, 2025</t>
        </is>
      </c>
    </row>
    <row r="443" ht="30.6" customHeight="1" s="6">
      <c r="A443" s="18" t="n">
        <v>440</v>
      </c>
      <c r="B443" s="19" t="n"/>
      <c r="C443" s="20" t="n"/>
      <c r="D443" s="128" t="n"/>
      <c r="E443" s="21" t="n"/>
      <c r="F443" s="22" t="n"/>
      <c r="G443" s="22" t="n"/>
      <c r="H443" s="22" t="n"/>
      <c r="I443" s="26">
        <f>G443-H443</f>
        <v/>
      </c>
      <c r="J443" s="21" t="n"/>
      <c r="K443" s="21" t="n"/>
      <c r="L443" s="27">
        <f>SUM(J443:K443)</f>
        <v/>
      </c>
      <c r="M443" s="28" t="n"/>
      <c r="N443" s="28" t="n"/>
      <c r="O443" s="29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1" t="n"/>
      <c r="Q443" s="21" t="n"/>
      <c r="R443" s="27">
        <f>SUM(P443:Q443)</f>
        <v/>
      </c>
      <c r="S443" s="28" t="n"/>
      <c r="T443" s="28" t="n"/>
      <c r="U443" s="29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1" t="n"/>
      <c r="W443" s="21" t="n"/>
      <c r="X443" s="27">
        <f>SUM(V443:W443)</f>
        <v/>
      </c>
      <c r="Y443" s="28" t="n"/>
      <c r="Z443" s="28" t="n"/>
      <c r="AA443" s="29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1" t="n"/>
      <c r="AC443" s="21" t="n"/>
      <c r="AD443" s="27">
        <f>SUM(AB443:AC443)</f>
        <v/>
      </c>
      <c r="AE443" s="28" t="n"/>
      <c r="AF443" s="28" t="n"/>
      <c r="AG443" s="29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1" t="n"/>
      <c r="AI443" s="21" t="n"/>
      <c r="AJ443" s="27">
        <f>SUM(AH443:AI443)</f>
        <v/>
      </c>
      <c r="AK443" s="28" t="n"/>
      <c r="AL443" s="28" t="n"/>
      <c r="AM443" s="29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1" t="n"/>
      <c r="AO443" s="21" t="n"/>
      <c r="AP443" s="27">
        <f>SUM(AN443:AO443)</f>
        <v/>
      </c>
      <c r="AQ443" s="28" t="n"/>
      <c r="AR443" s="30" t="n"/>
      <c r="AS443" s="29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1" t="n"/>
      <c r="AU443" s="21" t="n"/>
      <c r="AV443" s="27">
        <f>SUM(AT443:AU443)</f>
        <v/>
      </c>
      <c r="AW443" s="28" t="n"/>
      <c r="AX443" s="30" t="n"/>
      <c r="AY443" s="29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1" t="n"/>
      <c r="BA443" s="21" t="n"/>
      <c r="BB443" s="27">
        <f>SUM(AZ443:BA443)</f>
        <v/>
      </c>
      <c r="BC443" s="28" t="n"/>
      <c r="BD443" s="28" t="n"/>
      <c r="BE443" s="29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1" t="n"/>
      <c r="BG443" s="21" t="n"/>
      <c r="BH443" s="27">
        <f>SUM(BF443:BG443)</f>
        <v/>
      </c>
      <c r="BI443" s="28" t="n"/>
      <c r="BJ443" s="28" t="n"/>
      <c r="BK443" s="29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1" t="n"/>
      <c r="BM443" s="21" t="n"/>
      <c r="BN443" s="27">
        <f>SUM(BL443:BM443)</f>
        <v/>
      </c>
      <c r="BO443" s="28" t="n"/>
      <c r="BP443" s="31" t="n"/>
      <c r="BQ443" s="29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1" t="n"/>
      <c r="BS443" s="21" t="n"/>
      <c r="BT443" s="27">
        <f>SUM(BR443:BS443)</f>
        <v/>
      </c>
      <c r="BU443" s="28" t="n"/>
      <c r="BV443" s="31" t="n"/>
      <c r="BW443" s="29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1" t="n"/>
      <c r="BY443" s="21" t="n"/>
      <c r="BZ443" s="27">
        <f>SUM(BX443:BY443)</f>
        <v/>
      </c>
      <c r="CA443" s="28" t="n"/>
      <c r="CB443" s="31" t="n"/>
      <c r="CC443" s="29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1" t="n"/>
      <c r="CE443" s="21" t="n"/>
      <c r="CF443" s="27">
        <f>SUM(CD443:CE443)</f>
        <v/>
      </c>
      <c r="CG443" s="28" t="n"/>
      <c r="CH443" s="31" t="n"/>
      <c r="CI443" s="29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1" t="n"/>
      <c r="CK443" s="21" t="n"/>
      <c r="CL443" s="27">
        <f>SUM(CJ443:CK443)</f>
        <v/>
      </c>
      <c r="CM443" s="28" t="n"/>
      <c r="CN443" s="31" t="n"/>
      <c r="CO443" s="29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1" t="n"/>
      <c r="CQ443" s="21" t="n"/>
      <c r="CR443" s="27">
        <f>SUM(CP443:CQ443)</f>
        <v/>
      </c>
      <c r="CS443" s="28" t="n"/>
      <c r="CT443" s="31" t="n"/>
      <c r="CU443" s="29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1" t="n"/>
      <c r="CW443" s="21" t="n"/>
      <c r="CX443" s="27">
        <f>SUM(CV443:CW443)</f>
        <v/>
      </c>
      <c r="CY443" s="28" t="n"/>
      <c r="CZ443" s="31" t="n"/>
      <c r="DA443" s="29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1" t="n"/>
      <c r="DC443" s="21" t="n"/>
      <c r="DD443" s="27">
        <f>SUM(DB443:DC443)</f>
        <v/>
      </c>
      <c r="DE443" s="28" t="n"/>
      <c r="DF443" s="31" t="n"/>
      <c r="DG443" s="29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34">
        <f>SUM(O443,U443,AA443,AG443,AM443,AS443,AY443,BE443,BK443,BQ443,BW443,CC443,CI443,CO443,CU443,DA443,DG443)</f>
        <v/>
      </c>
      <c r="DI443" s="39">
        <f>RANK(DH443,DH$4:DH$503)</f>
        <v/>
      </c>
      <c r="DJ443" s="40" t="inlineStr">
        <is>
          <t>CHOOSE RATING</t>
        </is>
      </c>
      <c r="DK443" s="40" t="inlineStr">
        <is>
          <t>CHOOSE RATING</t>
        </is>
      </c>
      <c r="DL443" s="40" t="inlineStr">
        <is>
          <t>CHOOSE RATING</t>
        </is>
      </c>
      <c r="DM443" s="40" t="inlineStr">
        <is>
          <t>CHOOSE RATING</t>
        </is>
      </c>
      <c r="DN443" s="40" t="inlineStr">
        <is>
          <t>CHOOSE RATING</t>
        </is>
      </c>
      <c r="DO443" s="40" t="inlineStr">
        <is>
          <t>CHOOSE RATING</t>
        </is>
      </c>
      <c r="DP443" s="40" t="inlineStr">
        <is>
          <t>CHOOSE RATING</t>
        </is>
      </c>
      <c r="DQ443" s="40" t="inlineStr">
        <is>
          <t>CHOOSE RATING</t>
        </is>
      </c>
      <c r="DR443" s="43" t="inlineStr">
        <is>
          <t>2024/2025</t>
        </is>
      </c>
      <c r="DS443" s="45" t="inlineStr">
        <is>
          <t>THIRD</t>
        </is>
      </c>
      <c r="DT443" s="40" t="inlineStr">
        <is>
          <t>CHOOSE RATING</t>
        </is>
      </c>
      <c r="DU443" s="40" t="inlineStr">
        <is>
          <t>CHOOSE RATING</t>
        </is>
      </c>
      <c r="DV443" s="40" t="inlineStr">
        <is>
          <t>CHOOSE RATING</t>
        </is>
      </c>
      <c r="DW443" s="40" t="inlineStr">
        <is>
          <t>CHOOSE RATING</t>
        </is>
      </c>
      <c r="DX443" s="40" t="inlineStr">
        <is>
          <t>CHOOSE RATING</t>
        </is>
      </c>
      <c r="DY443" s="40" t="inlineStr">
        <is>
          <t>CHOOSE RATING</t>
        </is>
      </c>
      <c r="DZ443" s="53" t="inlineStr">
        <is>
          <t>CHOOSE RATING</t>
        </is>
      </c>
      <c r="EA443" s="54" t="inlineStr">
        <is>
          <t>Add the Tutor's Comment . . .</t>
        </is>
      </c>
      <c r="EB443" s="55" t="inlineStr">
        <is>
          <t>Choose Principals comment</t>
        </is>
      </c>
      <c r="EC443" s="56" t="n"/>
      <c r="ED443" s="57" t="inlineStr">
        <is>
          <t>Next Term Begins on Monday, 22nd September, 2025</t>
        </is>
      </c>
    </row>
    <row r="444" ht="30.6" customHeight="1" s="6">
      <c r="A444" s="18" t="n">
        <v>441</v>
      </c>
      <c r="B444" s="19" t="n"/>
      <c r="C444" s="20" t="n"/>
      <c r="D444" s="128" t="n"/>
      <c r="E444" s="21" t="n"/>
      <c r="F444" s="22" t="n"/>
      <c r="G444" s="22" t="n"/>
      <c r="H444" s="22" t="n"/>
      <c r="I444" s="26">
        <f>G444-H444</f>
        <v/>
      </c>
      <c r="J444" s="21" t="n"/>
      <c r="K444" s="21" t="n"/>
      <c r="L444" s="27">
        <f>SUM(J444:K444)</f>
        <v/>
      </c>
      <c r="M444" s="28" t="n"/>
      <c r="N444" s="28" t="n"/>
      <c r="O444" s="29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1" t="n"/>
      <c r="Q444" s="21" t="n"/>
      <c r="R444" s="27">
        <f>SUM(P444:Q444)</f>
        <v/>
      </c>
      <c r="S444" s="28" t="n"/>
      <c r="T444" s="28" t="n"/>
      <c r="U444" s="29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1" t="n"/>
      <c r="W444" s="21" t="n"/>
      <c r="X444" s="27">
        <f>SUM(V444:W444)</f>
        <v/>
      </c>
      <c r="Y444" s="28" t="n"/>
      <c r="Z444" s="28" t="n"/>
      <c r="AA444" s="29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1" t="n"/>
      <c r="AC444" s="21" t="n"/>
      <c r="AD444" s="27">
        <f>SUM(AB444:AC444)</f>
        <v/>
      </c>
      <c r="AE444" s="28" t="n"/>
      <c r="AF444" s="28" t="n"/>
      <c r="AG444" s="29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1" t="n"/>
      <c r="AI444" s="21" t="n"/>
      <c r="AJ444" s="27">
        <f>SUM(AH444:AI444)</f>
        <v/>
      </c>
      <c r="AK444" s="28" t="n"/>
      <c r="AL444" s="28" t="n"/>
      <c r="AM444" s="29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1" t="n"/>
      <c r="AO444" s="21" t="n"/>
      <c r="AP444" s="27">
        <f>SUM(AN444:AO444)</f>
        <v/>
      </c>
      <c r="AQ444" s="28" t="n"/>
      <c r="AR444" s="30" t="n"/>
      <c r="AS444" s="29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1" t="n"/>
      <c r="AU444" s="21" t="n"/>
      <c r="AV444" s="27">
        <f>SUM(AT444:AU444)</f>
        <v/>
      </c>
      <c r="AW444" s="28" t="n"/>
      <c r="AX444" s="30" t="n"/>
      <c r="AY444" s="29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1" t="n"/>
      <c r="BA444" s="21" t="n"/>
      <c r="BB444" s="27">
        <f>SUM(AZ444:BA444)</f>
        <v/>
      </c>
      <c r="BC444" s="28" t="n"/>
      <c r="BD444" s="28" t="n"/>
      <c r="BE444" s="29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1" t="n"/>
      <c r="BG444" s="21" t="n"/>
      <c r="BH444" s="27">
        <f>SUM(BF444:BG444)</f>
        <v/>
      </c>
      <c r="BI444" s="28" t="n"/>
      <c r="BJ444" s="28" t="n"/>
      <c r="BK444" s="29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1" t="n"/>
      <c r="BM444" s="21" t="n"/>
      <c r="BN444" s="27">
        <f>SUM(BL444:BM444)</f>
        <v/>
      </c>
      <c r="BO444" s="28" t="n"/>
      <c r="BP444" s="31" t="n"/>
      <c r="BQ444" s="29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1" t="n"/>
      <c r="BS444" s="21" t="n"/>
      <c r="BT444" s="27">
        <f>SUM(BR444:BS444)</f>
        <v/>
      </c>
      <c r="BU444" s="28" t="n"/>
      <c r="BV444" s="31" t="n"/>
      <c r="BW444" s="29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1" t="n"/>
      <c r="BY444" s="21" t="n"/>
      <c r="BZ444" s="27">
        <f>SUM(BX444:BY444)</f>
        <v/>
      </c>
      <c r="CA444" s="28" t="n"/>
      <c r="CB444" s="31" t="n"/>
      <c r="CC444" s="29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1" t="n"/>
      <c r="CE444" s="21" t="n"/>
      <c r="CF444" s="27">
        <f>SUM(CD444:CE444)</f>
        <v/>
      </c>
      <c r="CG444" s="28" t="n"/>
      <c r="CH444" s="31" t="n"/>
      <c r="CI444" s="29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1" t="n"/>
      <c r="CK444" s="21" t="n"/>
      <c r="CL444" s="27">
        <f>SUM(CJ444:CK444)</f>
        <v/>
      </c>
      <c r="CM444" s="28" t="n"/>
      <c r="CN444" s="31" t="n"/>
      <c r="CO444" s="29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1" t="n"/>
      <c r="CQ444" s="21" t="n"/>
      <c r="CR444" s="27">
        <f>SUM(CP444:CQ444)</f>
        <v/>
      </c>
      <c r="CS444" s="28" t="n"/>
      <c r="CT444" s="31" t="n"/>
      <c r="CU444" s="29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1" t="n"/>
      <c r="CW444" s="21" t="n"/>
      <c r="CX444" s="27">
        <f>SUM(CV444:CW444)</f>
        <v/>
      </c>
      <c r="CY444" s="28" t="n"/>
      <c r="CZ444" s="31" t="n"/>
      <c r="DA444" s="29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1" t="n"/>
      <c r="DC444" s="21" t="n"/>
      <c r="DD444" s="27">
        <f>SUM(DB444:DC444)</f>
        <v/>
      </c>
      <c r="DE444" s="28" t="n"/>
      <c r="DF444" s="31" t="n"/>
      <c r="DG444" s="29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34">
        <f>SUM(O444,U444,AA444,AG444,AM444,AS444,AY444,BE444,BK444,BQ444,BW444,CC444,CI444,CO444,CU444,DA444,DG444)</f>
        <v/>
      </c>
      <c r="DI444" s="39">
        <f>RANK(DH444,DH$4:DH$503)</f>
        <v/>
      </c>
      <c r="DJ444" s="40" t="inlineStr">
        <is>
          <t>CHOOSE RATING</t>
        </is>
      </c>
      <c r="DK444" s="40" t="inlineStr">
        <is>
          <t>CHOOSE RATING</t>
        </is>
      </c>
      <c r="DL444" s="40" t="inlineStr">
        <is>
          <t>CHOOSE RATING</t>
        </is>
      </c>
      <c r="DM444" s="40" t="inlineStr">
        <is>
          <t>CHOOSE RATING</t>
        </is>
      </c>
      <c r="DN444" s="40" t="inlineStr">
        <is>
          <t>CHOOSE RATING</t>
        </is>
      </c>
      <c r="DO444" s="40" t="inlineStr">
        <is>
          <t>CHOOSE RATING</t>
        </is>
      </c>
      <c r="DP444" s="40" t="inlineStr">
        <is>
          <t>CHOOSE RATING</t>
        </is>
      </c>
      <c r="DQ444" s="40" t="inlineStr">
        <is>
          <t>CHOOSE RATING</t>
        </is>
      </c>
      <c r="DR444" s="43" t="inlineStr">
        <is>
          <t>2024/2025</t>
        </is>
      </c>
      <c r="DS444" s="45" t="inlineStr">
        <is>
          <t>THIRD</t>
        </is>
      </c>
      <c r="DT444" s="40" t="inlineStr">
        <is>
          <t>CHOOSE RATING</t>
        </is>
      </c>
      <c r="DU444" s="40" t="inlineStr">
        <is>
          <t>CHOOSE RATING</t>
        </is>
      </c>
      <c r="DV444" s="40" t="inlineStr">
        <is>
          <t>CHOOSE RATING</t>
        </is>
      </c>
      <c r="DW444" s="40" t="inlineStr">
        <is>
          <t>CHOOSE RATING</t>
        </is>
      </c>
      <c r="DX444" s="40" t="inlineStr">
        <is>
          <t>CHOOSE RATING</t>
        </is>
      </c>
      <c r="DY444" s="40" t="inlineStr">
        <is>
          <t>CHOOSE RATING</t>
        </is>
      </c>
      <c r="DZ444" s="53" t="inlineStr">
        <is>
          <t>CHOOSE RATING</t>
        </is>
      </c>
      <c r="EA444" s="54" t="inlineStr">
        <is>
          <t>Add the Tutor's Comment . . .</t>
        </is>
      </c>
      <c r="EB444" s="55" t="inlineStr">
        <is>
          <t>Choose Principals comment</t>
        </is>
      </c>
      <c r="EC444" s="56" t="n"/>
      <c r="ED444" s="57" t="inlineStr">
        <is>
          <t>Next Term Begins on Monday, 22nd September, 2025</t>
        </is>
      </c>
    </row>
    <row r="445" ht="30.6" customHeight="1" s="6">
      <c r="A445" s="18" t="n">
        <v>442</v>
      </c>
      <c r="B445" s="19" t="n"/>
      <c r="C445" s="20" t="n"/>
      <c r="D445" s="128" t="n"/>
      <c r="E445" s="21" t="n"/>
      <c r="F445" s="22" t="n"/>
      <c r="G445" s="22" t="n"/>
      <c r="H445" s="22" t="n"/>
      <c r="I445" s="26">
        <f>G445-H445</f>
        <v/>
      </c>
      <c r="J445" s="21" t="n"/>
      <c r="K445" s="21" t="n"/>
      <c r="L445" s="27">
        <f>SUM(J445:K445)</f>
        <v/>
      </c>
      <c r="M445" s="28" t="n"/>
      <c r="N445" s="28" t="n"/>
      <c r="O445" s="29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1" t="n"/>
      <c r="Q445" s="21" t="n"/>
      <c r="R445" s="27">
        <f>SUM(P445:Q445)</f>
        <v/>
      </c>
      <c r="S445" s="28" t="n"/>
      <c r="T445" s="28" t="n"/>
      <c r="U445" s="29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1" t="n"/>
      <c r="W445" s="21" t="n"/>
      <c r="X445" s="27">
        <f>SUM(V445:W445)</f>
        <v/>
      </c>
      <c r="Y445" s="28" t="n"/>
      <c r="Z445" s="28" t="n"/>
      <c r="AA445" s="29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1" t="n"/>
      <c r="AC445" s="21" t="n"/>
      <c r="AD445" s="27">
        <f>SUM(AB445:AC445)</f>
        <v/>
      </c>
      <c r="AE445" s="28" t="n"/>
      <c r="AF445" s="28" t="n"/>
      <c r="AG445" s="29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1" t="n"/>
      <c r="AI445" s="21" t="n"/>
      <c r="AJ445" s="27">
        <f>SUM(AH445:AI445)</f>
        <v/>
      </c>
      <c r="AK445" s="28" t="n"/>
      <c r="AL445" s="28" t="n"/>
      <c r="AM445" s="29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1" t="n"/>
      <c r="AO445" s="21" t="n"/>
      <c r="AP445" s="27">
        <f>SUM(AN445:AO445)</f>
        <v/>
      </c>
      <c r="AQ445" s="28" t="n"/>
      <c r="AR445" s="30" t="n"/>
      <c r="AS445" s="29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1" t="n"/>
      <c r="AU445" s="21" t="n"/>
      <c r="AV445" s="27">
        <f>SUM(AT445:AU445)</f>
        <v/>
      </c>
      <c r="AW445" s="28" t="n"/>
      <c r="AX445" s="30" t="n"/>
      <c r="AY445" s="29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1" t="n"/>
      <c r="BA445" s="21" t="n"/>
      <c r="BB445" s="27">
        <f>SUM(AZ445:BA445)</f>
        <v/>
      </c>
      <c r="BC445" s="28" t="n"/>
      <c r="BD445" s="28" t="n"/>
      <c r="BE445" s="29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1" t="n"/>
      <c r="BG445" s="21" t="n"/>
      <c r="BH445" s="27">
        <f>SUM(BF445:BG445)</f>
        <v/>
      </c>
      <c r="BI445" s="28" t="n"/>
      <c r="BJ445" s="28" t="n"/>
      <c r="BK445" s="29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1" t="n"/>
      <c r="BM445" s="21" t="n"/>
      <c r="BN445" s="27">
        <f>SUM(BL445:BM445)</f>
        <v/>
      </c>
      <c r="BO445" s="28" t="n"/>
      <c r="BP445" s="31" t="n"/>
      <c r="BQ445" s="29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1" t="n"/>
      <c r="BS445" s="21" t="n"/>
      <c r="BT445" s="27">
        <f>SUM(BR445:BS445)</f>
        <v/>
      </c>
      <c r="BU445" s="28" t="n"/>
      <c r="BV445" s="31" t="n"/>
      <c r="BW445" s="29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1" t="n"/>
      <c r="BY445" s="21" t="n"/>
      <c r="BZ445" s="27">
        <f>SUM(BX445:BY445)</f>
        <v/>
      </c>
      <c r="CA445" s="28" t="n"/>
      <c r="CB445" s="31" t="n"/>
      <c r="CC445" s="29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1" t="n"/>
      <c r="CE445" s="21" t="n"/>
      <c r="CF445" s="27">
        <f>SUM(CD445:CE445)</f>
        <v/>
      </c>
      <c r="CG445" s="28" t="n"/>
      <c r="CH445" s="31" t="n"/>
      <c r="CI445" s="29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1" t="n"/>
      <c r="CK445" s="21" t="n"/>
      <c r="CL445" s="27">
        <f>SUM(CJ445:CK445)</f>
        <v/>
      </c>
      <c r="CM445" s="28" t="n"/>
      <c r="CN445" s="31" t="n"/>
      <c r="CO445" s="29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1" t="n"/>
      <c r="CQ445" s="21" t="n"/>
      <c r="CR445" s="27">
        <f>SUM(CP445:CQ445)</f>
        <v/>
      </c>
      <c r="CS445" s="28" t="n"/>
      <c r="CT445" s="31" t="n"/>
      <c r="CU445" s="29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1" t="n"/>
      <c r="CW445" s="21" t="n"/>
      <c r="CX445" s="27">
        <f>SUM(CV445:CW445)</f>
        <v/>
      </c>
      <c r="CY445" s="28" t="n"/>
      <c r="CZ445" s="31" t="n"/>
      <c r="DA445" s="29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1" t="n"/>
      <c r="DC445" s="21" t="n"/>
      <c r="DD445" s="27">
        <f>SUM(DB445:DC445)</f>
        <v/>
      </c>
      <c r="DE445" s="28" t="n"/>
      <c r="DF445" s="31" t="n"/>
      <c r="DG445" s="29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34">
        <f>SUM(O445,U445,AA445,AG445,AM445,AS445,AY445,BE445,BK445,BQ445,BW445,CC445,CI445,CO445,CU445,DA445,DG445)</f>
        <v/>
      </c>
      <c r="DI445" s="39">
        <f>RANK(DH445,DH$4:DH$503)</f>
        <v/>
      </c>
      <c r="DJ445" s="40" t="inlineStr">
        <is>
          <t>CHOOSE RATING</t>
        </is>
      </c>
      <c r="DK445" s="40" t="inlineStr">
        <is>
          <t>CHOOSE RATING</t>
        </is>
      </c>
      <c r="DL445" s="40" t="inlineStr">
        <is>
          <t>CHOOSE RATING</t>
        </is>
      </c>
      <c r="DM445" s="40" t="inlineStr">
        <is>
          <t>CHOOSE RATING</t>
        </is>
      </c>
      <c r="DN445" s="40" t="inlineStr">
        <is>
          <t>CHOOSE RATING</t>
        </is>
      </c>
      <c r="DO445" s="40" t="inlineStr">
        <is>
          <t>CHOOSE RATING</t>
        </is>
      </c>
      <c r="DP445" s="40" t="inlineStr">
        <is>
          <t>CHOOSE RATING</t>
        </is>
      </c>
      <c r="DQ445" s="40" t="inlineStr">
        <is>
          <t>CHOOSE RATING</t>
        </is>
      </c>
      <c r="DR445" s="43" t="inlineStr">
        <is>
          <t>2024/2025</t>
        </is>
      </c>
      <c r="DS445" s="45" t="inlineStr">
        <is>
          <t>THIRD</t>
        </is>
      </c>
      <c r="DT445" s="40" t="inlineStr">
        <is>
          <t>CHOOSE RATING</t>
        </is>
      </c>
      <c r="DU445" s="40" t="inlineStr">
        <is>
          <t>CHOOSE RATING</t>
        </is>
      </c>
      <c r="DV445" s="40" t="inlineStr">
        <is>
          <t>CHOOSE RATING</t>
        </is>
      </c>
      <c r="DW445" s="40" t="inlineStr">
        <is>
          <t>CHOOSE RATING</t>
        </is>
      </c>
      <c r="DX445" s="40" t="inlineStr">
        <is>
          <t>CHOOSE RATING</t>
        </is>
      </c>
      <c r="DY445" s="40" t="inlineStr">
        <is>
          <t>CHOOSE RATING</t>
        </is>
      </c>
      <c r="DZ445" s="53" t="inlineStr">
        <is>
          <t>CHOOSE RATING</t>
        </is>
      </c>
      <c r="EA445" s="54" t="inlineStr">
        <is>
          <t>Add the Tutor's Comment . . .</t>
        </is>
      </c>
      <c r="EB445" s="55" t="inlineStr">
        <is>
          <t>Choose Principals comment</t>
        </is>
      </c>
      <c r="EC445" s="56" t="n"/>
      <c r="ED445" s="57" t="inlineStr">
        <is>
          <t>Next Term Begins on Monday, 22nd September, 2025</t>
        </is>
      </c>
    </row>
    <row r="446" ht="30.6" customHeight="1" s="6">
      <c r="A446" s="18" t="n">
        <v>443</v>
      </c>
      <c r="B446" s="19" t="n"/>
      <c r="C446" s="20" t="n"/>
      <c r="D446" s="128" t="n"/>
      <c r="E446" s="21" t="n"/>
      <c r="F446" s="22" t="n"/>
      <c r="G446" s="22" t="n"/>
      <c r="H446" s="22" t="n"/>
      <c r="I446" s="26">
        <f>G446-H446</f>
        <v/>
      </c>
      <c r="J446" s="21" t="n"/>
      <c r="K446" s="21" t="n"/>
      <c r="L446" s="27">
        <f>SUM(J446:K446)</f>
        <v/>
      </c>
      <c r="M446" s="28" t="n"/>
      <c r="N446" s="28" t="n"/>
      <c r="O446" s="29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1" t="n"/>
      <c r="Q446" s="21" t="n"/>
      <c r="R446" s="27">
        <f>SUM(P446:Q446)</f>
        <v/>
      </c>
      <c r="S446" s="28" t="n"/>
      <c r="T446" s="28" t="n"/>
      <c r="U446" s="29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1" t="n"/>
      <c r="W446" s="21" t="n"/>
      <c r="X446" s="27">
        <f>SUM(V446:W446)</f>
        <v/>
      </c>
      <c r="Y446" s="28" t="n"/>
      <c r="Z446" s="28" t="n"/>
      <c r="AA446" s="29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1" t="n"/>
      <c r="AC446" s="21" t="n"/>
      <c r="AD446" s="27">
        <f>SUM(AB446:AC446)</f>
        <v/>
      </c>
      <c r="AE446" s="28" t="n"/>
      <c r="AF446" s="28" t="n"/>
      <c r="AG446" s="29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1" t="n"/>
      <c r="AI446" s="21" t="n"/>
      <c r="AJ446" s="27">
        <f>SUM(AH446:AI446)</f>
        <v/>
      </c>
      <c r="AK446" s="28" t="n"/>
      <c r="AL446" s="28" t="n"/>
      <c r="AM446" s="29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1" t="n"/>
      <c r="AO446" s="21" t="n"/>
      <c r="AP446" s="27">
        <f>SUM(AN446:AO446)</f>
        <v/>
      </c>
      <c r="AQ446" s="28" t="n"/>
      <c r="AR446" s="30" t="n"/>
      <c r="AS446" s="29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1" t="n"/>
      <c r="AU446" s="21" t="n"/>
      <c r="AV446" s="27">
        <f>SUM(AT446:AU446)</f>
        <v/>
      </c>
      <c r="AW446" s="28" t="n"/>
      <c r="AX446" s="30" t="n"/>
      <c r="AY446" s="29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1" t="n"/>
      <c r="BA446" s="21" t="n"/>
      <c r="BB446" s="27">
        <f>SUM(AZ446:BA446)</f>
        <v/>
      </c>
      <c r="BC446" s="28" t="n"/>
      <c r="BD446" s="28" t="n"/>
      <c r="BE446" s="29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1" t="n"/>
      <c r="BG446" s="21" t="n"/>
      <c r="BH446" s="27">
        <f>SUM(BF446:BG446)</f>
        <v/>
      </c>
      <c r="BI446" s="28" t="n"/>
      <c r="BJ446" s="28" t="n"/>
      <c r="BK446" s="29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1" t="n"/>
      <c r="BM446" s="21" t="n"/>
      <c r="BN446" s="27">
        <f>SUM(BL446:BM446)</f>
        <v/>
      </c>
      <c r="BO446" s="28" t="n"/>
      <c r="BP446" s="31" t="n"/>
      <c r="BQ446" s="29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1" t="n"/>
      <c r="BS446" s="21" t="n"/>
      <c r="BT446" s="27">
        <f>SUM(BR446:BS446)</f>
        <v/>
      </c>
      <c r="BU446" s="28" t="n"/>
      <c r="BV446" s="31" t="n"/>
      <c r="BW446" s="29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1" t="n"/>
      <c r="BY446" s="21" t="n"/>
      <c r="BZ446" s="27">
        <f>SUM(BX446:BY446)</f>
        <v/>
      </c>
      <c r="CA446" s="28" t="n"/>
      <c r="CB446" s="31" t="n"/>
      <c r="CC446" s="29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1" t="n"/>
      <c r="CE446" s="21" t="n"/>
      <c r="CF446" s="27">
        <f>SUM(CD446:CE446)</f>
        <v/>
      </c>
      <c r="CG446" s="28" t="n"/>
      <c r="CH446" s="31" t="n"/>
      <c r="CI446" s="29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1" t="n"/>
      <c r="CK446" s="21" t="n"/>
      <c r="CL446" s="27">
        <f>SUM(CJ446:CK446)</f>
        <v/>
      </c>
      <c r="CM446" s="28" t="n"/>
      <c r="CN446" s="31" t="n"/>
      <c r="CO446" s="29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1" t="n"/>
      <c r="CQ446" s="21" t="n"/>
      <c r="CR446" s="27">
        <f>SUM(CP446:CQ446)</f>
        <v/>
      </c>
      <c r="CS446" s="28" t="n"/>
      <c r="CT446" s="31" t="n"/>
      <c r="CU446" s="29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1" t="n"/>
      <c r="CW446" s="21" t="n"/>
      <c r="CX446" s="27">
        <f>SUM(CV446:CW446)</f>
        <v/>
      </c>
      <c r="CY446" s="28" t="n"/>
      <c r="CZ446" s="31" t="n"/>
      <c r="DA446" s="29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1" t="n"/>
      <c r="DC446" s="21" t="n"/>
      <c r="DD446" s="27">
        <f>SUM(DB446:DC446)</f>
        <v/>
      </c>
      <c r="DE446" s="28" t="n"/>
      <c r="DF446" s="31" t="n"/>
      <c r="DG446" s="29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34">
        <f>SUM(O446,U446,AA446,AG446,AM446,AS446,AY446,BE446,BK446,BQ446,BW446,CC446,CI446,CO446,CU446,DA446,DG446)</f>
        <v/>
      </c>
      <c r="DI446" s="39">
        <f>RANK(DH446,DH$4:DH$503)</f>
        <v/>
      </c>
      <c r="DJ446" s="40" t="inlineStr">
        <is>
          <t>CHOOSE RATING</t>
        </is>
      </c>
      <c r="DK446" s="40" t="inlineStr">
        <is>
          <t>CHOOSE RATING</t>
        </is>
      </c>
      <c r="DL446" s="40" t="inlineStr">
        <is>
          <t>CHOOSE RATING</t>
        </is>
      </c>
      <c r="DM446" s="40" t="inlineStr">
        <is>
          <t>CHOOSE RATING</t>
        </is>
      </c>
      <c r="DN446" s="40" t="inlineStr">
        <is>
          <t>CHOOSE RATING</t>
        </is>
      </c>
      <c r="DO446" s="40" t="inlineStr">
        <is>
          <t>CHOOSE RATING</t>
        </is>
      </c>
      <c r="DP446" s="40" t="inlineStr">
        <is>
          <t>CHOOSE RATING</t>
        </is>
      </c>
      <c r="DQ446" s="40" t="inlineStr">
        <is>
          <t>CHOOSE RATING</t>
        </is>
      </c>
      <c r="DR446" s="43" t="inlineStr">
        <is>
          <t>2024/2025</t>
        </is>
      </c>
      <c r="DS446" s="45" t="inlineStr">
        <is>
          <t>THIRD</t>
        </is>
      </c>
      <c r="DT446" s="40" t="inlineStr">
        <is>
          <t>CHOOSE RATING</t>
        </is>
      </c>
      <c r="DU446" s="40" t="inlineStr">
        <is>
          <t>CHOOSE RATING</t>
        </is>
      </c>
      <c r="DV446" s="40" t="inlineStr">
        <is>
          <t>CHOOSE RATING</t>
        </is>
      </c>
      <c r="DW446" s="40" t="inlineStr">
        <is>
          <t>CHOOSE RATING</t>
        </is>
      </c>
      <c r="DX446" s="40" t="inlineStr">
        <is>
          <t>CHOOSE RATING</t>
        </is>
      </c>
      <c r="DY446" s="40" t="inlineStr">
        <is>
          <t>CHOOSE RATING</t>
        </is>
      </c>
      <c r="DZ446" s="53" t="inlineStr">
        <is>
          <t>CHOOSE RATING</t>
        </is>
      </c>
      <c r="EA446" s="54" t="inlineStr">
        <is>
          <t>Add the Tutor's Comment . . .</t>
        </is>
      </c>
      <c r="EB446" s="55" t="inlineStr">
        <is>
          <t>Choose Principals comment</t>
        </is>
      </c>
      <c r="EC446" s="56" t="n"/>
      <c r="ED446" s="57" t="inlineStr">
        <is>
          <t>Next Term Begins on Monday, 22nd September, 2025</t>
        </is>
      </c>
    </row>
    <row r="447" ht="30.6" customHeight="1" s="6">
      <c r="A447" s="18" t="n">
        <v>444</v>
      </c>
      <c r="B447" s="19" t="n"/>
      <c r="C447" s="20" t="n"/>
      <c r="D447" s="128" t="n"/>
      <c r="E447" s="21" t="n"/>
      <c r="F447" s="22" t="n"/>
      <c r="G447" s="22" t="n"/>
      <c r="H447" s="22" t="n"/>
      <c r="I447" s="26">
        <f>G447-H447</f>
        <v/>
      </c>
      <c r="J447" s="21" t="n"/>
      <c r="K447" s="21" t="n"/>
      <c r="L447" s="27">
        <f>SUM(J447:K447)</f>
        <v/>
      </c>
      <c r="M447" s="28" t="n"/>
      <c r="N447" s="28" t="n"/>
      <c r="O447" s="29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1" t="n"/>
      <c r="Q447" s="21" t="n"/>
      <c r="R447" s="27">
        <f>SUM(P447:Q447)</f>
        <v/>
      </c>
      <c r="S447" s="28" t="n"/>
      <c r="T447" s="28" t="n"/>
      <c r="U447" s="29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1" t="n"/>
      <c r="W447" s="21" t="n"/>
      <c r="X447" s="27">
        <f>SUM(V447:W447)</f>
        <v/>
      </c>
      <c r="Y447" s="28" t="n"/>
      <c r="Z447" s="28" t="n"/>
      <c r="AA447" s="29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1" t="n"/>
      <c r="AC447" s="21" t="n"/>
      <c r="AD447" s="27">
        <f>SUM(AB447:AC447)</f>
        <v/>
      </c>
      <c r="AE447" s="28" t="n"/>
      <c r="AF447" s="28" t="n"/>
      <c r="AG447" s="29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1" t="n"/>
      <c r="AI447" s="21" t="n"/>
      <c r="AJ447" s="27">
        <f>SUM(AH447:AI447)</f>
        <v/>
      </c>
      <c r="AK447" s="28" t="n"/>
      <c r="AL447" s="28" t="n"/>
      <c r="AM447" s="29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1" t="n"/>
      <c r="AO447" s="21" t="n"/>
      <c r="AP447" s="27">
        <f>SUM(AN447:AO447)</f>
        <v/>
      </c>
      <c r="AQ447" s="28" t="n"/>
      <c r="AR447" s="30" t="n"/>
      <c r="AS447" s="29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1" t="n"/>
      <c r="AU447" s="21" t="n"/>
      <c r="AV447" s="27">
        <f>SUM(AT447:AU447)</f>
        <v/>
      </c>
      <c r="AW447" s="28" t="n"/>
      <c r="AX447" s="30" t="n"/>
      <c r="AY447" s="29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1" t="n"/>
      <c r="BA447" s="21" t="n"/>
      <c r="BB447" s="27">
        <f>SUM(AZ447:BA447)</f>
        <v/>
      </c>
      <c r="BC447" s="28" t="n"/>
      <c r="BD447" s="28" t="n"/>
      <c r="BE447" s="29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1" t="n"/>
      <c r="BG447" s="21" t="n"/>
      <c r="BH447" s="27">
        <f>SUM(BF447:BG447)</f>
        <v/>
      </c>
      <c r="BI447" s="28" t="n"/>
      <c r="BJ447" s="28" t="n"/>
      <c r="BK447" s="29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1" t="n"/>
      <c r="BM447" s="21" t="n"/>
      <c r="BN447" s="27">
        <f>SUM(BL447:BM447)</f>
        <v/>
      </c>
      <c r="BO447" s="28" t="n"/>
      <c r="BP447" s="31" t="n"/>
      <c r="BQ447" s="29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1" t="n"/>
      <c r="BS447" s="21" t="n"/>
      <c r="BT447" s="27">
        <f>SUM(BR447:BS447)</f>
        <v/>
      </c>
      <c r="BU447" s="28" t="n"/>
      <c r="BV447" s="31" t="n"/>
      <c r="BW447" s="29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1" t="n"/>
      <c r="BY447" s="21" t="n"/>
      <c r="BZ447" s="27">
        <f>SUM(BX447:BY447)</f>
        <v/>
      </c>
      <c r="CA447" s="28" t="n"/>
      <c r="CB447" s="31" t="n"/>
      <c r="CC447" s="29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1" t="n"/>
      <c r="CE447" s="21" t="n"/>
      <c r="CF447" s="27">
        <f>SUM(CD447:CE447)</f>
        <v/>
      </c>
      <c r="CG447" s="28" t="n"/>
      <c r="CH447" s="31" t="n"/>
      <c r="CI447" s="29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1" t="n"/>
      <c r="CK447" s="21" t="n"/>
      <c r="CL447" s="27">
        <f>SUM(CJ447:CK447)</f>
        <v/>
      </c>
      <c r="CM447" s="28" t="n"/>
      <c r="CN447" s="31" t="n"/>
      <c r="CO447" s="29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1" t="n"/>
      <c r="CQ447" s="21" t="n"/>
      <c r="CR447" s="27">
        <f>SUM(CP447:CQ447)</f>
        <v/>
      </c>
      <c r="CS447" s="28" t="n"/>
      <c r="CT447" s="31" t="n"/>
      <c r="CU447" s="29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1" t="n"/>
      <c r="CW447" s="21" t="n"/>
      <c r="CX447" s="27">
        <f>SUM(CV447:CW447)</f>
        <v/>
      </c>
      <c r="CY447" s="28" t="n"/>
      <c r="CZ447" s="31" t="n"/>
      <c r="DA447" s="29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1" t="n"/>
      <c r="DC447" s="21" t="n"/>
      <c r="DD447" s="27">
        <f>SUM(DB447:DC447)</f>
        <v/>
      </c>
      <c r="DE447" s="28" t="n"/>
      <c r="DF447" s="31" t="n"/>
      <c r="DG447" s="29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34">
        <f>SUM(O447,U447,AA447,AG447,AM447,AS447,AY447,BE447,BK447,BQ447,BW447,CC447,CI447,CO447,CU447,DA447,DG447)</f>
        <v/>
      </c>
      <c r="DI447" s="39">
        <f>RANK(DH447,DH$4:DH$503)</f>
        <v/>
      </c>
      <c r="DJ447" s="40" t="inlineStr">
        <is>
          <t>CHOOSE RATING</t>
        </is>
      </c>
      <c r="DK447" s="40" t="inlineStr">
        <is>
          <t>CHOOSE RATING</t>
        </is>
      </c>
      <c r="DL447" s="40" t="inlineStr">
        <is>
          <t>CHOOSE RATING</t>
        </is>
      </c>
      <c r="DM447" s="40" t="inlineStr">
        <is>
          <t>CHOOSE RATING</t>
        </is>
      </c>
      <c r="DN447" s="40" t="inlineStr">
        <is>
          <t>CHOOSE RATING</t>
        </is>
      </c>
      <c r="DO447" s="40" t="inlineStr">
        <is>
          <t>CHOOSE RATING</t>
        </is>
      </c>
      <c r="DP447" s="40" t="inlineStr">
        <is>
          <t>CHOOSE RATING</t>
        </is>
      </c>
      <c r="DQ447" s="40" t="inlineStr">
        <is>
          <t>CHOOSE RATING</t>
        </is>
      </c>
      <c r="DR447" s="43" t="inlineStr">
        <is>
          <t>2024/2025</t>
        </is>
      </c>
      <c r="DS447" s="45" t="inlineStr">
        <is>
          <t>THIRD</t>
        </is>
      </c>
      <c r="DT447" s="40" t="inlineStr">
        <is>
          <t>CHOOSE RATING</t>
        </is>
      </c>
      <c r="DU447" s="40" t="inlineStr">
        <is>
          <t>CHOOSE RATING</t>
        </is>
      </c>
      <c r="DV447" s="40" t="inlineStr">
        <is>
          <t>CHOOSE RATING</t>
        </is>
      </c>
      <c r="DW447" s="40" t="inlineStr">
        <is>
          <t>CHOOSE RATING</t>
        </is>
      </c>
      <c r="DX447" s="40" t="inlineStr">
        <is>
          <t>CHOOSE RATING</t>
        </is>
      </c>
      <c r="DY447" s="40" t="inlineStr">
        <is>
          <t>CHOOSE RATING</t>
        </is>
      </c>
      <c r="DZ447" s="53" t="inlineStr">
        <is>
          <t>CHOOSE RATING</t>
        </is>
      </c>
      <c r="EA447" s="54" t="inlineStr">
        <is>
          <t>Add the Tutor's Comment . . .</t>
        </is>
      </c>
      <c r="EB447" s="55" t="inlineStr">
        <is>
          <t>Choose Principals comment</t>
        </is>
      </c>
      <c r="EC447" s="56" t="n"/>
      <c r="ED447" s="57" t="inlineStr">
        <is>
          <t>Next Term Begins on Monday, 22nd September, 2025</t>
        </is>
      </c>
    </row>
    <row r="448" ht="30.6" customHeight="1" s="6">
      <c r="A448" s="18" t="n">
        <v>445</v>
      </c>
      <c r="B448" s="19" t="n"/>
      <c r="C448" s="20" t="n"/>
      <c r="D448" s="128" t="n"/>
      <c r="E448" s="21" t="n"/>
      <c r="F448" s="22" t="n"/>
      <c r="G448" s="22" t="n"/>
      <c r="H448" s="22" t="n"/>
      <c r="I448" s="26">
        <f>G448-H448</f>
        <v/>
      </c>
      <c r="J448" s="21" t="n"/>
      <c r="K448" s="21" t="n"/>
      <c r="L448" s="27">
        <f>SUM(J448:K448)</f>
        <v/>
      </c>
      <c r="M448" s="28" t="n"/>
      <c r="N448" s="28" t="n"/>
      <c r="O448" s="29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1" t="n"/>
      <c r="Q448" s="21" t="n"/>
      <c r="R448" s="27">
        <f>SUM(P448:Q448)</f>
        <v/>
      </c>
      <c r="S448" s="28" t="n"/>
      <c r="T448" s="28" t="n"/>
      <c r="U448" s="29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1" t="n"/>
      <c r="W448" s="21" t="n"/>
      <c r="X448" s="27">
        <f>SUM(V448:W448)</f>
        <v/>
      </c>
      <c r="Y448" s="28" t="n"/>
      <c r="Z448" s="28" t="n"/>
      <c r="AA448" s="29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1" t="n"/>
      <c r="AC448" s="21" t="n"/>
      <c r="AD448" s="27">
        <f>SUM(AB448:AC448)</f>
        <v/>
      </c>
      <c r="AE448" s="28" t="n"/>
      <c r="AF448" s="28" t="n"/>
      <c r="AG448" s="29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1" t="n"/>
      <c r="AI448" s="21" t="n"/>
      <c r="AJ448" s="27">
        <f>SUM(AH448:AI448)</f>
        <v/>
      </c>
      <c r="AK448" s="28" t="n"/>
      <c r="AL448" s="28" t="n"/>
      <c r="AM448" s="29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1" t="n"/>
      <c r="AO448" s="21" t="n"/>
      <c r="AP448" s="27">
        <f>SUM(AN448:AO448)</f>
        <v/>
      </c>
      <c r="AQ448" s="28" t="n"/>
      <c r="AR448" s="30" t="n"/>
      <c r="AS448" s="29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1" t="n"/>
      <c r="AU448" s="21" t="n"/>
      <c r="AV448" s="27">
        <f>SUM(AT448:AU448)</f>
        <v/>
      </c>
      <c r="AW448" s="28" t="n"/>
      <c r="AX448" s="30" t="n"/>
      <c r="AY448" s="29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1" t="n"/>
      <c r="BA448" s="21" t="n"/>
      <c r="BB448" s="27">
        <f>SUM(AZ448:BA448)</f>
        <v/>
      </c>
      <c r="BC448" s="28" t="n"/>
      <c r="BD448" s="28" t="n"/>
      <c r="BE448" s="29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1" t="n"/>
      <c r="BG448" s="21" t="n"/>
      <c r="BH448" s="27">
        <f>SUM(BF448:BG448)</f>
        <v/>
      </c>
      <c r="BI448" s="28" t="n"/>
      <c r="BJ448" s="28" t="n"/>
      <c r="BK448" s="29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1" t="n"/>
      <c r="BM448" s="21" t="n"/>
      <c r="BN448" s="27">
        <f>SUM(BL448:BM448)</f>
        <v/>
      </c>
      <c r="BO448" s="28" t="n"/>
      <c r="BP448" s="31" t="n"/>
      <c r="BQ448" s="29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1" t="n"/>
      <c r="BS448" s="21" t="n"/>
      <c r="BT448" s="27">
        <f>SUM(BR448:BS448)</f>
        <v/>
      </c>
      <c r="BU448" s="28" t="n"/>
      <c r="BV448" s="31" t="n"/>
      <c r="BW448" s="29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1" t="n"/>
      <c r="BY448" s="21" t="n"/>
      <c r="BZ448" s="27">
        <f>SUM(BX448:BY448)</f>
        <v/>
      </c>
      <c r="CA448" s="28" t="n"/>
      <c r="CB448" s="31" t="n"/>
      <c r="CC448" s="29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1" t="n"/>
      <c r="CE448" s="21" t="n"/>
      <c r="CF448" s="27">
        <f>SUM(CD448:CE448)</f>
        <v/>
      </c>
      <c r="CG448" s="28" t="n"/>
      <c r="CH448" s="31" t="n"/>
      <c r="CI448" s="29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1" t="n"/>
      <c r="CK448" s="21" t="n"/>
      <c r="CL448" s="27">
        <f>SUM(CJ448:CK448)</f>
        <v/>
      </c>
      <c r="CM448" s="28" t="n"/>
      <c r="CN448" s="31" t="n"/>
      <c r="CO448" s="29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1" t="n"/>
      <c r="CQ448" s="21" t="n"/>
      <c r="CR448" s="27">
        <f>SUM(CP448:CQ448)</f>
        <v/>
      </c>
      <c r="CS448" s="28" t="n"/>
      <c r="CT448" s="31" t="n"/>
      <c r="CU448" s="29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1" t="n"/>
      <c r="CW448" s="21" t="n"/>
      <c r="CX448" s="27">
        <f>SUM(CV448:CW448)</f>
        <v/>
      </c>
      <c r="CY448" s="28" t="n"/>
      <c r="CZ448" s="31" t="n"/>
      <c r="DA448" s="29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1" t="n"/>
      <c r="DC448" s="21" t="n"/>
      <c r="DD448" s="27">
        <f>SUM(DB448:DC448)</f>
        <v/>
      </c>
      <c r="DE448" s="28" t="n"/>
      <c r="DF448" s="31" t="n"/>
      <c r="DG448" s="29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34">
        <f>SUM(O448,U448,AA448,AG448,AM448,AS448,AY448,BE448,BK448,BQ448,BW448,CC448,CI448,CO448,CU448,DA448,DG448)</f>
        <v/>
      </c>
      <c r="DI448" s="39">
        <f>RANK(DH448,DH$4:DH$503)</f>
        <v/>
      </c>
      <c r="DJ448" s="40" t="inlineStr">
        <is>
          <t>CHOOSE RATING</t>
        </is>
      </c>
      <c r="DK448" s="40" t="inlineStr">
        <is>
          <t>CHOOSE RATING</t>
        </is>
      </c>
      <c r="DL448" s="40" t="inlineStr">
        <is>
          <t>CHOOSE RATING</t>
        </is>
      </c>
      <c r="DM448" s="40" t="inlineStr">
        <is>
          <t>CHOOSE RATING</t>
        </is>
      </c>
      <c r="DN448" s="40" t="inlineStr">
        <is>
          <t>CHOOSE RATING</t>
        </is>
      </c>
      <c r="DO448" s="40" t="inlineStr">
        <is>
          <t>CHOOSE RATING</t>
        </is>
      </c>
      <c r="DP448" s="40" t="inlineStr">
        <is>
          <t>CHOOSE RATING</t>
        </is>
      </c>
      <c r="DQ448" s="40" t="inlineStr">
        <is>
          <t>CHOOSE RATING</t>
        </is>
      </c>
      <c r="DR448" s="43" t="inlineStr">
        <is>
          <t>2024/2025</t>
        </is>
      </c>
      <c r="DS448" s="45" t="inlineStr">
        <is>
          <t>THIRD</t>
        </is>
      </c>
      <c r="DT448" s="40" t="inlineStr">
        <is>
          <t>CHOOSE RATING</t>
        </is>
      </c>
      <c r="DU448" s="40" t="inlineStr">
        <is>
          <t>CHOOSE RATING</t>
        </is>
      </c>
      <c r="DV448" s="40" t="inlineStr">
        <is>
          <t>CHOOSE RATING</t>
        </is>
      </c>
      <c r="DW448" s="40" t="inlineStr">
        <is>
          <t>CHOOSE RATING</t>
        </is>
      </c>
      <c r="DX448" s="40" t="inlineStr">
        <is>
          <t>CHOOSE RATING</t>
        </is>
      </c>
      <c r="DY448" s="40" t="inlineStr">
        <is>
          <t>CHOOSE RATING</t>
        </is>
      </c>
      <c r="DZ448" s="53" t="inlineStr">
        <is>
          <t>CHOOSE RATING</t>
        </is>
      </c>
      <c r="EA448" s="54" t="inlineStr">
        <is>
          <t>Add the Tutor's Comment . . .</t>
        </is>
      </c>
      <c r="EB448" s="55" t="inlineStr">
        <is>
          <t>Choose Principals comment</t>
        </is>
      </c>
      <c r="EC448" s="56" t="n"/>
      <c r="ED448" s="57" t="inlineStr">
        <is>
          <t>Next Term Begins on Monday, 22nd September, 2025</t>
        </is>
      </c>
    </row>
    <row r="449" ht="30.6" customHeight="1" s="6">
      <c r="A449" s="18" t="n">
        <v>446</v>
      </c>
      <c r="B449" s="19" t="n"/>
      <c r="C449" s="20" t="n"/>
      <c r="D449" s="128" t="n"/>
      <c r="E449" s="21" t="n"/>
      <c r="F449" s="22" t="n"/>
      <c r="G449" s="22" t="n"/>
      <c r="H449" s="22" t="n"/>
      <c r="I449" s="26">
        <f>G449-H449</f>
        <v/>
      </c>
      <c r="J449" s="21" t="n"/>
      <c r="K449" s="21" t="n"/>
      <c r="L449" s="27">
        <f>SUM(J449:K449)</f>
        <v/>
      </c>
      <c r="M449" s="28" t="n"/>
      <c r="N449" s="28" t="n"/>
      <c r="O449" s="29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1" t="n"/>
      <c r="Q449" s="21" t="n"/>
      <c r="R449" s="27">
        <f>SUM(P449:Q449)</f>
        <v/>
      </c>
      <c r="S449" s="28" t="n"/>
      <c r="T449" s="28" t="n"/>
      <c r="U449" s="29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1" t="n"/>
      <c r="W449" s="21" t="n"/>
      <c r="X449" s="27">
        <f>SUM(V449:W449)</f>
        <v/>
      </c>
      <c r="Y449" s="28" t="n"/>
      <c r="Z449" s="28" t="n"/>
      <c r="AA449" s="29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1" t="n"/>
      <c r="AC449" s="21" t="n"/>
      <c r="AD449" s="27">
        <f>SUM(AB449:AC449)</f>
        <v/>
      </c>
      <c r="AE449" s="28" t="n"/>
      <c r="AF449" s="28" t="n"/>
      <c r="AG449" s="29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1" t="n"/>
      <c r="AI449" s="21" t="n"/>
      <c r="AJ449" s="27">
        <f>SUM(AH449:AI449)</f>
        <v/>
      </c>
      <c r="AK449" s="28" t="n"/>
      <c r="AL449" s="28" t="n"/>
      <c r="AM449" s="29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1" t="n"/>
      <c r="AO449" s="21" t="n"/>
      <c r="AP449" s="27">
        <f>SUM(AN449:AO449)</f>
        <v/>
      </c>
      <c r="AQ449" s="28" t="n"/>
      <c r="AR449" s="30" t="n"/>
      <c r="AS449" s="29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1" t="n"/>
      <c r="AU449" s="21" t="n"/>
      <c r="AV449" s="27">
        <f>SUM(AT449:AU449)</f>
        <v/>
      </c>
      <c r="AW449" s="28" t="n"/>
      <c r="AX449" s="30" t="n"/>
      <c r="AY449" s="29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1" t="n"/>
      <c r="BA449" s="21" t="n"/>
      <c r="BB449" s="27">
        <f>SUM(AZ449:BA449)</f>
        <v/>
      </c>
      <c r="BC449" s="28" t="n"/>
      <c r="BD449" s="28" t="n"/>
      <c r="BE449" s="29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1" t="n"/>
      <c r="BG449" s="21" t="n"/>
      <c r="BH449" s="27">
        <f>SUM(BF449:BG449)</f>
        <v/>
      </c>
      <c r="BI449" s="28" t="n"/>
      <c r="BJ449" s="28" t="n"/>
      <c r="BK449" s="29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1" t="n"/>
      <c r="BM449" s="21" t="n"/>
      <c r="BN449" s="27">
        <f>SUM(BL449:BM449)</f>
        <v/>
      </c>
      <c r="BO449" s="28" t="n"/>
      <c r="BP449" s="31" t="n"/>
      <c r="BQ449" s="29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1" t="n"/>
      <c r="BS449" s="21" t="n"/>
      <c r="BT449" s="27">
        <f>SUM(BR449:BS449)</f>
        <v/>
      </c>
      <c r="BU449" s="28" t="n"/>
      <c r="BV449" s="31" t="n"/>
      <c r="BW449" s="29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1" t="n"/>
      <c r="BY449" s="21" t="n"/>
      <c r="BZ449" s="27">
        <f>SUM(BX449:BY449)</f>
        <v/>
      </c>
      <c r="CA449" s="28" t="n"/>
      <c r="CB449" s="31" t="n"/>
      <c r="CC449" s="29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1" t="n"/>
      <c r="CE449" s="21" t="n"/>
      <c r="CF449" s="27">
        <f>SUM(CD449:CE449)</f>
        <v/>
      </c>
      <c r="CG449" s="28" t="n"/>
      <c r="CH449" s="31" t="n"/>
      <c r="CI449" s="29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1" t="n"/>
      <c r="CK449" s="21" t="n"/>
      <c r="CL449" s="27">
        <f>SUM(CJ449:CK449)</f>
        <v/>
      </c>
      <c r="CM449" s="28" t="n"/>
      <c r="CN449" s="31" t="n"/>
      <c r="CO449" s="29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1" t="n"/>
      <c r="CQ449" s="21" t="n"/>
      <c r="CR449" s="27">
        <f>SUM(CP449:CQ449)</f>
        <v/>
      </c>
      <c r="CS449" s="28" t="n"/>
      <c r="CT449" s="31" t="n"/>
      <c r="CU449" s="29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1" t="n"/>
      <c r="CW449" s="21" t="n"/>
      <c r="CX449" s="27">
        <f>SUM(CV449:CW449)</f>
        <v/>
      </c>
      <c r="CY449" s="28" t="n"/>
      <c r="CZ449" s="31" t="n"/>
      <c r="DA449" s="29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1" t="n"/>
      <c r="DC449" s="21" t="n"/>
      <c r="DD449" s="27">
        <f>SUM(DB449:DC449)</f>
        <v/>
      </c>
      <c r="DE449" s="28" t="n"/>
      <c r="DF449" s="31" t="n"/>
      <c r="DG449" s="29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34">
        <f>SUM(O449,U449,AA449,AG449,AM449,AS449,AY449,BE449,BK449,BQ449,BW449,CC449,CI449,CO449,CU449,DA449,DG449)</f>
        <v/>
      </c>
      <c r="DI449" s="39">
        <f>RANK(DH449,DH$4:DH$503)</f>
        <v/>
      </c>
      <c r="DJ449" s="40" t="inlineStr">
        <is>
          <t>CHOOSE RATING</t>
        </is>
      </c>
      <c r="DK449" s="40" t="inlineStr">
        <is>
          <t>CHOOSE RATING</t>
        </is>
      </c>
      <c r="DL449" s="40" t="inlineStr">
        <is>
          <t>CHOOSE RATING</t>
        </is>
      </c>
      <c r="DM449" s="40" t="inlineStr">
        <is>
          <t>CHOOSE RATING</t>
        </is>
      </c>
      <c r="DN449" s="40" t="inlineStr">
        <is>
          <t>CHOOSE RATING</t>
        </is>
      </c>
      <c r="DO449" s="40" t="inlineStr">
        <is>
          <t>CHOOSE RATING</t>
        </is>
      </c>
      <c r="DP449" s="40" t="inlineStr">
        <is>
          <t>CHOOSE RATING</t>
        </is>
      </c>
      <c r="DQ449" s="40" t="inlineStr">
        <is>
          <t>CHOOSE RATING</t>
        </is>
      </c>
      <c r="DR449" s="43" t="inlineStr">
        <is>
          <t>2024/2025</t>
        </is>
      </c>
      <c r="DS449" s="45" t="inlineStr">
        <is>
          <t>THIRD</t>
        </is>
      </c>
      <c r="DT449" s="40" t="inlineStr">
        <is>
          <t>CHOOSE RATING</t>
        </is>
      </c>
      <c r="DU449" s="40" t="inlineStr">
        <is>
          <t>CHOOSE RATING</t>
        </is>
      </c>
      <c r="DV449" s="40" t="inlineStr">
        <is>
          <t>CHOOSE RATING</t>
        </is>
      </c>
      <c r="DW449" s="40" t="inlineStr">
        <is>
          <t>CHOOSE RATING</t>
        </is>
      </c>
      <c r="DX449" s="40" t="inlineStr">
        <is>
          <t>CHOOSE RATING</t>
        </is>
      </c>
      <c r="DY449" s="40" t="inlineStr">
        <is>
          <t>CHOOSE RATING</t>
        </is>
      </c>
      <c r="DZ449" s="53" t="inlineStr">
        <is>
          <t>CHOOSE RATING</t>
        </is>
      </c>
      <c r="EA449" s="54" t="inlineStr">
        <is>
          <t>Add the Tutor's Comment . . .</t>
        </is>
      </c>
      <c r="EB449" s="55" t="inlineStr">
        <is>
          <t>Choose Principals comment</t>
        </is>
      </c>
      <c r="EC449" s="56" t="n"/>
      <c r="ED449" s="57" t="inlineStr">
        <is>
          <t>Next Term Begins on Monday, 22nd September, 2025</t>
        </is>
      </c>
    </row>
    <row r="450" ht="30.6" customHeight="1" s="6">
      <c r="A450" s="18" t="n">
        <v>447</v>
      </c>
      <c r="B450" s="19" t="n"/>
      <c r="C450" s="20" t="n"/>
      <c r="D450" s="128" t="n"/>
      <c r="E450" s="21" t="n"/>
      <c r="F450" s="22" t="n"/>
      <c r="G450" s="22" t="n"/>
      <c r="H450" s="22" t="n"/>
      <c r="I450" s="26">
        <f>G450-H450</f>
        <v/>
      </c>
      <c r="J450" s="21" t="n"/>
      <c r="K450" s="21" t="n"/>
      <c r="L450" s="27">
        <f>SUM(J450:K450)</f>
        <v/>
      </c>
      <c r="M450" s="28" t="n"/>
      <c r="N450" s="28" t="n"/>
      <c r="O450" s="29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1" t="n"/>
      <c r="Q450" s="21" t="n"/>
      <c r="R450" s="27">
        <f>SUM(P450:Q450)</f>
        <v/>
      </c>
      <c r="S450" s="28" t="n"/>
      <c r="T450" s="28" t="n"/>
      <c r="U450" s="29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1" t="n"/>
      <c r="W450" s="21" t="n"/>
      <c r="X450" s="27">
        <f>SUM(V450:W450)</f>
        <v/>
      </c>
      <c r="Y450" s="28" t="n"/>
      <c r="Z450" s="28" t="n"/>
      <c r="AA450" s="29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1" t="n"/>
      <c r="AC450" s="21" t="n"/>
      <c r="AD450" s="27">
        <f>SUM(AB450:AC450)</f>
        <v/>
      </c>
      <c r="AE450" s="28" t="n"/>
      <c r="AF450" s="28" t="n"/>
      <c r="AG450" s="29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1" t="n"/>
      <c r="AI450" s="21" t="n"/>
      <c r="AJ450" s="27">
        <f>SUM(AH450:AI450)</f>
        <v/>
      </c>
      <c r="AK450" s="28" t="n"/>
      <c r="AL450" s="28" t="n"/>
      <c r="AM450" s="29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1" t="n"/>
      <c r="AO450" s="21" t="n"/>
      <c r="AP450" s="27">
        <f>SUM(AN450:AO450)</f>
        <v/>
      </c>
      <c r="AQ450" s="28" t="n"/>
      <c r="AR450" s="30" t="n"/>
      <c r="AS450" s="29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1" t="n"/>
      <c r="AU450" s="21" t="n"/>
      <c r="AV450" s="27">
        <f>SUM(AT450:AU450)</f>
        <v/>
      </c>
      <c r="AW450" s="28" t="n"/>
      <c r="AX450" s="30" t="n"/>
      <c r="AY450" s="29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1" t="n"/>
      <c r="BA450" s="21" t="n"/>
      <c r="BB450" s="27">
        <f>SUM(AZ450:BA450)</f>
        <v/>
      </c>
      <c r="BC450" s="28" t="n"/>
      <c r="BD450" s="28" t="n"/>
      <c r="BE450" s="29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1" t="n"/>
      <c r="BG450" s="21" t="n"/>
      <c r="BH450" s="27">
        <f>SUM(BF450:BG450)</f>
        <v/>
      </c>
      <c r="BI450" s="28" t="n"/>
      <c r="BJ450" s="28" t="n"/>
      <c r="BK450" s="29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1" t="n"/>
      <c r="BM450" s="21" t="n"/>
      <c r="BN450" s="27">
        <f>SUM(BL450:BM450)</f>
        <v/>
      </c>
      <c r="BO450" s="28" t="n"/>
      <c r="BP450" s="31" t="n"/>
      <c r="BQ450" s="29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1" t="n"/>
      <c r="BS450" s="21" t="n"/>
      <c r="BT450" s="27">
        <f>SUM(BR450:BS450)</f>
        <v/>
      </c>
      <c r="BU450" s="28" t="n"/>
      <c r="BV450" s="31" t="n"/>
      <c r="BW450" s="29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1" t="n"/>
      <c r="BY450" s="21" t="n"/>
      <c r="BZ450" s="27">
        <f>SUM(BX450:BY450)</f>
        <v/>
      </c>
      <c r="CA450" s="28" t="n"/>
      <c r="CB450" s="31" t="n"/>
      <c r="CC450" s="29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1" t="n"/>
      <c r="CE450" s="21" t="n"/>
      <c r="CF450" s="27">
        <f>SUM(CD450:CE450)</f>
        <v/>
      </c>
      <c r="CG450" s="28" t="n"/>
      <c r="CH450" s="31" t="n"/>
      <c r="CI450" s="29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1" t="n"/>
      <c r="CK450" s="21" t="n"/>
      <c r="CL450" s="27">
        <f>SUM(CJ450:CK450)</f>
        <v/>
      </c>
      <c r="CM450" s="28" t="n"/>
      <c r="CN450" s="31" t="n"/>
      <c r="CO450" s="29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1" t="n"/>
      <c r="CQ450" s="21" t="n"/>
      <c r="CR450" s="27">
        <f>SUM(CP450:CQ450)</f>
        <v/>
      </c>
      <c r="CS450" s="28" t="n"/>
      <c r="CT450" s="31" t="n"/>
      <c r="CU450" s="29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1" t="n"/>
      <c r="CW450" s="21" t="n"/>
      <c r="CX450" s="27">
        <f>SUM(CV450:CW450)</f>
        <v/>
      </c>
      <c r="CY450" s="28" t="n"/>
      <c r="CZ450" s="31" t="n"/>
      <c r="DA450" s="29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1" t="n"/>
      <c r="DC450" s="21" t="n"/>
      <c r="DD450" s="27">
        <f>SUM(DB450:DC450)</f>
        <v/>
      </c>
      <c r="DE450" s="28" t="n"/>
      <c r="DF450" s="31" t="n"/>
      <c r="DG450" s="29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34">
        <f>SUM(O450,U450,AA450,AG450,AM450,AS450,AY450,BE450,BK450,BQ450,BW450,CC450,CI450,CO450,CU450,DA450,DG450)</f>
        <v/>
      </c>
      <c r="DI450" s="39">
        <f>RANK(DH450,DH$4:DH$503)</f>
        <v/>
      </c>
      <c r="DJ450" s="40" t="inlineStr">
        <is>
          <t>CHOOSE RATING</t>
        </is>
      </c>
      <c r="DK450" s="40" t="inlineStr">
        <is>
          <t>CHOOSE RATING</t>
        </is>
      </c>
      <c r="DL450" s="40" t="inlineStr">
        <is>
          <t>CHOOSE RATING</t>
        </is>
      </c>
      <c r="DM450" s="40" t="inlineStr">
        <is>
          <t>CHOOSE RATING</t>
        </is>
      </c>
      <c r="DN450" s="40" t="inlineStr">
        <is>
          <t>CHOOSE RATING</t>
        </is>
      </c>
      <c r="DO450" s="40" t="inlineStr">
        <is>
          <t>CHOOSE RATING</t>
        </is>
      </c>
      <c r="DP450" s="40" t="inlineStr">
        <is>
          <t>CHOOSE RATING</t>
        </is>
      </c>
      <c r="DQ450" s="40" t="inlineStr">
        <is>
          <t>CHOOSE RATING</t>
        </is>
      </c>
      <c r="DR450" s="43" t="inlineStr">
        <is>
          <t>2024/2025</t>
        </is>
      </c>
      <c r="DS450" s="45" t="inlineStr">
        <is>
          <t>THIRD</t>
        </is>
      </c>
      <c r="DT450" s="40" t="inlineStr">
        <is>
          <t>CHOOSE RATING</t>
        </is>
      </c>
      <c r="DU450" s="40" t="inlineStr">
        <is>
          <t>CHOOSE RATING</t>
        </is>
      </c>
      <c r="DV450" s="40" t="inlineStr">
        <is>
          <t>CHOOSE RATING</t>
        </is>
      </c>
      <c r="DW450" s="40" t="inlineStr">
        <is>
          <t>CHOOSE RATING</t>
        </is>
      </c>
      <c r="DX450" s="40" t="inlineStr">
        <is>
          <t>CHOOSE RATING</t>
        </is>
      </c>
      <c r="DY450" s="40" t="inlineStr">
        <is>
          <t>CHOOSE RATING</t>
        </is>
      </c>
      <c r="DZ450" s="53" t="inlineStr">
        <is>
          <t>CHOOSE RATING</t>
        </is>
      </c>
      <c r="EA450" s="54" t="inlineStr">
        <is>
          <t>Add the Tutor's Comment . . .</t>
        </is>
      </c>
      <c r="EB450" s="55" t="inlineStr">
        <is>
          <t>Choose Principals comment</t>
        </is>
      </c>
      <c r="EC450" s="56" t="n"/>
      <c r="ED450" s="57" t="inlineStr">
        <is>
          <t>Next Term Begins on Monday, 22nd September, 2025</t>
        </is>
      </c>
    </row>
    <row r="451" ht="30.6" customHeight="1" s="6">
      <c r="A451" s="18" t="n">
        <v>448</v>
      </c>
      <c r="B451" s="19" t="n"/>
      <c r="C451" s="20" t="n"/>
      <c r="D451" s="128" t="n"/>
      <c r="E451" s="21" t="n"/>
      <c r="F451" s="22" t="n"/>
      <c r="G451" s="22" t="n"/>
      <c r="H451" s="22" t="n"/>
      <c r="I451" s="26">
        <f>G451-H451</f>
        <v/>
      </c>
      <c r="J451" s="21" t="n"/>
      <c r="K451" s="21" t="n"/>
      <c r="L451" s="27">
        <f>SUM(J451:K451)</f>
        <v/>
      </c>
      <c r="M451" s="28" t="n"/>
      <c r="N451" s="28" t="n"/>
      <c r="O451" s="29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1" t="n"/>
      <c r="Q451" s="21" t="n"/>
      <c r="R451" s="27">
        <f>SUM(P451:Q451)</f>
        <v/>
      </c>
      <c r="S451" s="28" t="n"/>
      <c r="T451" s="28" t="n"/>
      <c r="U451" s="29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1" t="n"/>
      <c r="W451" s="21" t="n"/>
      <c r="X451" s="27">
        <f>SUM(V451:W451)</f>
        <v/>
      </c>
      <c r="Y451" s="28" t="n"/>
      <c r="Z451" s="28" t="n"/>
      <c r="AA451" s="29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1" t="n"/>
      <c r="AC451" s="21" t="n"/>
      <c r="AD451" s="27">
        <f>SUM(AB451:AC451)</f>
        <v/>
      </c>
      <c r="AE451" s="28" t="n"/>
      <c r="AF451" s="28" t="n"/>
      <c r="AG451" s="29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1" t="n"/>
      <c r="AI451" s="21" t="n"/>
      <c r="AJ451" s="27">
        <f>SUM(AH451:AI451)</f>
        <v/>
      </c>
      <c r="AK451" s="28" t="n"/>
      <c r="AL451" s="28" t="n"/>
      <c r="AM451" s="29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1" t="n"/>
      <c r="AO451" s="21" t="n"/>
      <c r="AP451" s="27">
        <f>SUM(AN451:AO451)</f>
        <v/>
      </c>
      <c r="AQ451" s="28" t="n"/>
      <c r="AR451" s="30" t="n"/>
      <c r="AS451" s="29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1" t="n"/>
      <c r="AU451" s="21" t="n"/>
      <c r="AV451" s="27">
        <f>SUM(AT451:AU451)</f>
        <v/>
      </c>
      <c r="AW451" s="28" t="n"/>
      <c r="AX451" s="30" t="n"/>
      <c r="AY451" s="29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1" t="n"/>
      <c r="BA451" s="21" t="n"/>
      <c r="BB451" s="27">
        <f>SUM(AZ451:BA451)</f>
        <v/>
      </c>
      <c r="BC451" s="28" t="n"/>
      <c r="BD451" s="28" t="n"/>
      <c r="BE451" s="29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1" t="n"/>
      <c r="BG451" s="21" t="n"/>
      <c r="BH451" s="27">
        <f>SUM(BF451:BG451)</f>
        <v/>
      </c>
      <c r="BI451" s="28" t="n"/>
      <c r="BJ451" s="28" t="n"/>
      <c r="BK451" s="29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1" t="n"/>
      <c r="BM451" s="21" t="n"/>
      <c r="BN451" s="27">
        <f>SUM(BL451:BM451)</f>
        <v/>
      </c>
      <c r="BO451" s="28" t="n"/>
      <c r="BP451" s="31" t="n"/>
      <c r="BQ451" s="29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1" t="n"/>
      <c r="BS451" s="21" t="n"/>
      <c r="BT451" s="27">
        <f>SUM(BR451:BS451)</f>
        <v/>
      </c>
      <c r="BU451" s="28" t="n"/>
      <c r="BV451" s="31" t="n"/>
      <c r="BW451" s="29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1" t="n"/>
      <c r="BY451" s="21" t="n"/>
      <c r="BZ451" s="27">
        <f>SUM(BX451:BY451)</f>
        <v/>
      </c>
      <c r="CA451" s="28" t="n"/>
      <c r="CB451" s="31" t="n"/>
      <c r="CC451" s="29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1" t="n"/>
      <c r="CE451" s="21" t="n"/>
      <c r="CF451" s="27">
        <f>SUM(CD451:CE451)</f>
        <v/>
      </c>
      <c r="CG451" s="28" t="n"/>
      <c r="CH451" s="31" t="n"/>
      <c r="CI451" s="29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1" t="n"/>
      <c r="CK451" s="21" t="n"/>
      <c r="CL451" s="27">
        <f>SUM(CJ451:CK451)</f>
        <v/>
      </c>
      <c r="CM451" s="28" t="n"/>
      <c r="CN451" s="31" t="n"/>
      <c r="CO451" s="29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1" t="n"/>
      <c r="CQ451" s="21" t="n"/>
      <c r="CR451" s="27">
        <f>SUM(CP451:CQ451)</f>
        <v/>
      </c>
      <c r="CS451" s="28" t="n"/>
      <c r="CT451" s="31" t="n"/>
      <c r="CU451" s="29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1" t="n"/>
      <c r="CW451" s="21" t="n"/>
      <c r="CX451" s="27">
        <f>SUM(CV451:CW451)</f>
        <v/>
      </c>
      <c r="CY451" s="28" t="n"/>
      <c r="CZ451" s="31" t="n"/>
      <c r="DA451" s="29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1" t="n"/>
      <c r="DC451" s="21" t="n"/>
      <c r="DD451" s="27">
        <f>SUM(DB451:DC451)</f>
        <v/>
      </c>
      <c r="DE451" s="28" t="n"/>
      <c r="DF451" s="31" t="n"/>
      <c r="DG451" s="29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34">
        <f>SUM(O451,U451,AA451,AG451,AM451,AS451,AY451,BE451,BK451,BQ451,BW451,CC451,CI451,CO451,CU451,DA451,DG451)</f>
        <v/>
      </c>
      <c r="DI451" s="39">
        <f>RANK(DH451,DH$4:DH$503)</f>
        <v/>
      </c>
      <c r="DJ451" s="40" t="inlineStr">
        <is>
          <t>CHOOSE RATING</t>
        </is>
      </c>
      <c r="DK451" s="40" t="inlineStr">
        <is>
          <t>CHOOSE RATING</t>
        </is>
      </c>
      <c r="DL451" s="40" t="inlineStr">
        <is>
          <t>CHOOSE RATING</t>
        </is>
      </c>
      <c r="DM451" s="40" t="inlineStr">
        <is>
          <t>CHOOSE RATING</t>
        </is>
      </c>
      <c r="DN451" s="40" t="inlineStr">
        <is>
          <t>CHOOSE RATING</t>
        </is>
      </c>
      <c r="DO451" s="40" t="inlineStr">
        <is>
          <t>CHOOSE RATING</t>
        </is>
      </c>
      <c r="DP451" s="40" t="inlineStr">
        <is>
          <t>CHOOSE RATING</t>
        </is>
      </c>
      <c r="DQ451" s="40" t="inlineStr">
        <is>
          <t>CHOOSE RATING</t>
        </is>
      </c>
      <c r="DR451" s="43" t="inlineStr">
        <is>
          <t>2024/2025</t>
        </is>
      </c>
      <c r="DS451" s="45" t="inlineStr">
        <is>
          <t>THIRD</t>
        </is>
      </c>
      <c r="DT451" s="40" t="inlineStr">
        <is>
          <t>CHOOSE RATING</t>
        </is>
      </c>
      <c r="DU451" s="40" t="inlineStr">
        <is>
          <t>CHOOSE RATING</t>
        </is>
      </c>
      <c r="DV451" s="40" t="inlineStr">
        <is>
          <t>CHOOSE RATING</t>
        </is>
      </c>
      <c r="DW451" s="40" t="inlineStr">
        <is>
          <t>CHOOSE RATING</t>
        </is>
      </c>
      <c r="DX451" s="40" t="inlineStr">
        <is>
          <t>CHOOSE RATING</t>
        </is>
      </c>
      <c r="DY451" s="40" t="inlineStr">
        <is>
          <t>CHOOSE RATING</t>
        </is>
      </c>
      <c r="DZ451" s="53" t="inlineStr">
        <is>
          <t>CHOOSE RATING</t>
        </is>
      </c>
      <c r="EA451" s="54" t="inlineStr">
        <is>
          <t>Add the Tutor's Comment . . .</t>
        </is>
      </c>
      <c r="EB451" s="55" t="inlineStr">
        <is>
          <t>Choose Principals comment</t>
        </is>
      </c>
      <c r="EC451" s="56" t="n"/>
      <c r="ED451" s="57" t="inlineStr">
        <is>
          <t>Next Term Begins on Monday, 22nd September, 2025</t>
        </is>
      </c>
    </row>
    <row r="452" ht="30.6" customHeight="1" s="6">
      <c r="A452" s="18" t="n">
        <v>449</v>
      </c>
      <c r="B452" s="19" t="n"/>
      <c r="C452" s="20" t="n"/>
      <c r="D452" s="128" t="n"/>
      <c r="E452" s="21" t="n"/>
      <c r="F452" s="22" t="n"/>
      <c r="G452" s="22" t="n"/>
      <c r="H452" s="22" t="n"/>
      <c r="I452" s="26">
        <f>G452-H452</f>
        <v/>
      </c>
      <c r="J452" s="21" t="n"/>
      <c r="K452" s="21" t="n"/>
      <c r="L452" s="27">
        <f>SUM(J452:K452)</f>
        <v/>
      </c>
      <c r="M452" s="28" t="n"/>
      <c r="N452" s="28" t="n"/>
      <c r="O452" s="29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1" t="n"/>
      <c r="Q452" s="21" t="n"/>
      <c r="R452" s="27">
        <f>SUM(P452:Q452)</f>
        <v/>
      </c>
      <c r="S452" s="28" t="n"/>
      <c r="T452" s="28" t="n"/>
      <c r="U452" s="29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1" t="n"/>
      <c r="W452" s="21" t="n"/>
      <c r="X452" s="27">
        <f>SUM(V452:W452)</f>
        <v/>
      </c>
      <c r="Y452" s="28" t="n"/>
      <c r="Z452" s="28" t="n"/>
      <c r="AA452" s="29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1" t="n"/>
      <c r="AC452" s="21" t="n"/>
      <c r="AD452" s="27">
        <f>SUM(AB452:AC452)</f>
        <v/>
      </c>
      <c r="AE452" s="28" t="n"/>
      <c r="AF452" s="28" t="n"/>
      <c r="AG452" s="29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1" t="n"/>
      <c r="AI452" s="21" t="n"/>
      <c r="AJ452" s="27">
        <f>SUM(AH452:AI452)</f>
        <v/>
      </c>
      <c r="AK452" s="28" t="n"/>
      <c r="AL452" s="28" t="n"/>
      <c r="AM452" s="29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1" t="n"/>
      <c r="AO452" s="21" t="n"/>
      <c r="AP452" s="27">
        <f>SUM(AN452:AO452)</f>
        <v/>
      </c>
      <c r="AQ452" s="28" t="n"/>
      <c r="AR452" s="30" t="n"/>
      <c r="AS452" s="29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1" t="n"/>
      <c r="AU452" s="21" t="n"/>
      <c r="AV452" s="27">
        <f>SUM(AT452:AU452)</f>
        <v/>
      </c>
      <c r="AW452" s="28" t="n"/>
      <c r="AX452" s="30" t="n"/>
      <c r="AY452" s="29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1" t="n"/>
      <c r="BA452" s="21" t="n"/>
      <c r="BB452" s="27">
        <f>SUM(AZ452:BA452)</f>
        <v/>
      </c>
      <c r="BC452" s="28" t="n"/>
      <c r="BD452" s="28" t="n"/>
      <c r="BE452" s="29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1" t="n"/>
      <c r="BG452" s="21" t="n"/>
      <c r="BH452" s="27">
        <f>SUM(BF452:BG452)</f>
        <v/>
      </c>
      <c r="BI452" s="28" t="n"/>
      <c r="BJ452" s="28" t="n"/>
      <c r="BK452" s="29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1" t="n"/>
      <c r="BM452" s="21" t="n"/>
      <c r="BN452" s="27">
        <f>SUM(BL452:BM452)</f>
        <v/>
      </c>
      <c r="BO452" s="28" t="n"/>
      <c r="BP452" s="31" t="n"/>
      <c r="BQ452" s="29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1" t="n"/>
      <c r="BS452" s="21" t="n"/>
      <c r="BT452" s="27">
        <f>SUM(BR452:BS452)</f>
        <v/>
      </c>
      <c r="BU452" s="28" t="n"/>
      <c r="BV452" s="31" t="n"/>
      <c r="BW452" s="29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1" t="n"/>
      <c r="BY452" s="21" t="n"/>
      <c r="BZ452" s="27">
        <f>SUM(BX452:BY452)</f>
        <v/>
      </c>
      <c r="CA452" s="28" t="n"/>
      <c r="CB452" s="31" t="n"/>
      <c r="CC452" s="29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1" t="n"/>
      <c r="CE452" s="21" t="n"/>
      <c r="CF452" s="27">
        <f>SUM(CD452:CE452)</f>
        <v/>
      </c>
      <c r="CG452" s="28" t="n"/>
      <c r="CH452" s="31" t="n"/>
      <c r="CI452" s="29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1" t="n"/>
      <c r="CK452" s="21" t="n"/>
      <c r="CL452" s="27">
        <f>SUM(CJ452:CK452)</f>
        <v/>
      </c>
      <c r="CM452" s="28" t="n"/>
      <c r="CN452" s="31" t="n"/>
      <c r="CO452" s="29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1" t="n"/>
      <c r="CQ452" s="21" t="n"/>
      <c r="CR452" s="27">
        <f>SUM(CP452:CQ452)</f>
        <v/>
      </c>
      <c r="CS452" s="28" t="n"/>
      <c r="CT452" s="31" t="n"/>
      <c r="CU452" s="29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1" t="n"/>
      <c r="CW452" s="21" t="n"/>
      <c r="CX452" s="27">
        <f>SUM(CV452:CW452)</f>
        <v/>
      </c>
      <c r="CY452" s="28" t="n"/>
      <c r="CZ452" s="31" t="n"/>
      <c r="DA452" s="29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1" t="n"/>
      <c r="DC452" s="21" t="n"/>
      <c r="DD452" s="27">
        <f>SUM(DB452:DC452)</f>
        <v/>
      </c>
      <c r="DE452" s="28" t="n"/>
      <c r="DF452" s="31" t="n"/>
      <c r="DG452" s="29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34">
        <f>SUM(O452,U452,AA452,AG452,AM452,AS452,AY452,BE452,BK452,BQ452,BW452,CC452,CI452,CO452,CU452,DA452,DG452)</f>
        <v/>
      </c>
      <c r="DI452" s="39">
        <f>RANK(DH452,DH$4:DH$503)</f>
        <v/>
      </c>
      <c r="DJ452" s="40" t="inlineStr">
        <is>
          <t>CHOOSE RATING</t>
        </is>
      </c>
      <c r="DK452" s="40" t="inlineStr">
        <is>
          <t>CHOOSE RATING</t>
        </is>
      </c>
      <c r="DL452" s="40" t="inlineStr">
        <is>
          <t>CHOOSE RATING</t>
        </is>
      </c>
      <c r="DM452" s="40" t="inlineStr">
        <is>
          <t>CHOOSE RATING</t>
        </is>
      </c>
      <c r="DN452" s="40" t="inlineStr">
        <is>
          <t>CHOOSE RATING</t>
        </is>
      </c>
      <c r="DO452" s="40" t="inlineStr">
        <is>
          <t>CHOOSE RATING</t>
        </is>
      </c>
      <c r="DP452" s="40" t="inlineStr">
        <is>
          <t>CHOOSE RATING</t>
        </is>
      </c>
      <c r="DQ452" s="40" t="inlineStr">
        <is>
          <t>CHOOSE RATING</t>
        </is>
      </c>
      <c r="DR452" s="43" t="inlineStr">
        <is>
          <t>2024/2025</t>
        </is>
      </c>
      <c r="DS452" s="45" t="inlineStr">
        <is>
          <t>THIRD</t>
        </is>
      </c>
      <c r="DT452" s="40" t="inlineStr">
        <is>
          <t>CHOOSE RATING</t>
        </is>
      </c>
      <c r="DU452" s="40" t="inlineStr">
        <is>
          <t>CHOOSE RATING</t>
        </is>
      </c>
      <c r="DV452" s="40" t="inlineStr">
        <is>
          <t>CHOOSE RATING</t>
        </is>
      </c>
      <c r="DW452" s="40" t="inlineStr">
        <is>
          <t>CHOOSE RATING</t>
        </is>
      </c>
      <c r="DX452" s="40" t="inlineStr">
        <is>
          <t>CHOOSE RATING</t>
        </is>
      </c>
      <c r="DY452" s="40" t="inlineStr">
        <is>
          <t>CHOOSE RATING</t>
        </is>
      </c>
      <c r="DZ452" s="53" t="inlineStr">
        <is>
          <t>CHOOSE RATING</t>
        </is>
      </c>
      <c r="EA452" s="54" t="inlineStr">
        <is>
          <t>Add the Tutor's Comment . . .</t>
        </is>
      </c>
      <c r="EB452" s="55" t="inlineStr">
        <is>
          <t>Choose Principals comment</t>
        </is>
      </c>
      <c r="EC452" s="56" t="n"/>
      <c r="ED452" s="57" t="inlineStr">
        <is>
          <t>Next Term Begins on Monday, 22nd September, 2025</t>
        </is>
      </c>
    </row>
    <row r="453" ht="30.6" customHeight="1" s="6">
      <c r="A453" s="18" t="n">
        <v>450</v>
      </c>
      <c r="B453" s="19" t="n"/>
      <c r="C453" s="20" t="n"/>
      <c r="D453" s="128" t="n"/>
      <c r="E453" s="21" t="n"/>
      <c r="F453" s="22" t="n"/>
      <c r="G453" s="22" t="n"/>
      <c r="H453" s="22" t="n"/>
      <c r="I453" s="26">
        <f>G453-H453</f>
        <v/>
      </c>
      <c r="J453" s="21" t="n"/>
      <c r="K453" s="21" t="n"/>
      <c r="L453" s="27">
        <f>SUM(J453:K453)</f>
        <v/>
      </c>
      <c r="M453" s="28" t="n"/>
      <c r="N453" s="28" t="n"/>
      <c r="O453" s="29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1" t="n"/>
      <c r="Q453" s="21" t="n"/>
      <c r="R453" s="27">
        <f>SUM(P453:Q453)</f>
        <v/>
      </c>
      <c r="S453" s="28" t="n"/>
      <c r="T453" s="28" t="n"/>
      <c r="U453" s="29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1" t="n"/>
      <c r="W453" s="21" t="n"/>
      <c r="X453" s="27">
        <f>SUM(V453:W453)</f>
        <v/>
      </c>
      <c r="Y453" s="28" t="n"/>
      <c r="Z453" s="28" t="n"/>
      <c r="AA453" s="29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1" t="n"/>
      <c r="AC453" s="21" t="n"/>
      <c r="AD453" s="27">
        <f>SUM(AB453:AC453)</f>
        <v/>
      </c>
      <c r="AE453" s="28" t="n"/>
      <c r="AF453" s="28" t="n"/>
      <c r="AG453" s="29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1" t="n"/>
      <c r="AI453" s="21" t="n"/>
      <c r="AJ453" s="27">
        <f>SUM(AH453:AI453)</f>
        <v/>
      </c>
      <c r="AK453" s="28" t="n"/>
      <c r="AL453" s="28" t="n"/>
      <c r="AM453" s="29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1" t="n"/>
      <c r="AO453" s="21" t="n"/>
      <c r="AP453" s="27">
        <f>SUM(AN453:AO453)</f>
        <v/>
      </c>
      <c r="AQ453" s="28" t="n"/>
      <c r="AR453" s="30" t="n"/>
      <c r="AS453" s="29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1" t="n"/>
      <c r="AU453" s="21" t="n"/>
      <c r="AV453" s="27">
        <f>SUM(AT453:AU453)</f>
        <v/>
      </c>
      <c r="AW453" s="28" t="n"/>
      <c r="AX453" s="30" t="n"/>
      <c r="AY453" s="29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1" t="n"/>
      <c r="BA453" s="21" t="n"/>
      <c r="BB453" s="27">
        <f>SUM(AZ453:BA453)</f>
        <v/>
      </c>
      <c r="BC453" s="28" t="n"/>
      <c r="BD453" s="28" t="n"/>
      <c r="BE453" s="29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1" t="n"/>
      <c r="BG453" s="21" t="n"/>
      <c r="BH453" s="27">
        <f>SUM(BF453:BG453)</f>
        <v/>
      </c>
      <c r="BI453" s="28" t="n"/>
      <c r="BJ453" s="28" t="n"/>
      <c r="BK453" s="29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1" t="n"/>
      <c r="BM453" s="21" t="n"/>
      <c r="BN453" s="27">
        <f>SUM(BL453:BM453)</f>
        <v/>
      </c>
      <c r="BO453" s="28" t="n"/>
      <c r="BP453" s="31" t="n"/>
      <c r="BQ453" s="29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1" t="n"/>
      <c r="BS453" s="21" t="n"/>
      <c r="BT453" s="27">
        <f>SUM(BR453:BS453)</f>
        <v/>
      </c>
      <c r="BU453" s="28" t="n"/>
      <c r="BV453" s="31" t="n"/>
      <c r="BW453" s="29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1" t="n"/>
      <c r="BY453" s="21" t="n"/>
      <c r="BZ453" s="27">
        <f>SUM(BX453:BY453)</f>
        <v/>
      </c>
      <c r="CA453" s="28" t="n"/>
      <c r="CB453" s="31" t="n"/>
      <c r="CC453" s="29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1" t="n"/>
      <c r="CE453" s="21" t="n"/>
      <c r="CF453" s="27">
        <f>SUM(CD453:CE453)</f>
        <v/>
      </c>
      <c r="CG453" s="28" t="n"/>
      <c r="CH453" s="31" t="n"/>
      <c r="CI453" s="29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1" t="n"/>
      <c r="CK453" s="21" t="n"/>
      <c r="CL453" s="27">
        <f>SUM(CJ453:CK453)</f>
        <v/>
      </c>
      <c r="CM453" s="28" t="n"/>
      <c r="CN453" s="31" t="n"/>
      <c r="CO453" s="29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1" t="n"/>
      <c r="CQ453" s="21" t="n"/>
      <c r="CR453" s="27">
        <f>SUM(CP453:CQ453)</f>
        <v/>
      </c>
      <c r="CS453" s="28" t="n"/>
      <c r="CT453" s="31" t="n"/>
      <c r="CU453" s="29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1" t="n"/>
      <c r="CW453" s="21" t="n"/>
      <c r="CX453" s="27">
        <f>SUM(CV453:CW453)</f>
        <v/>
      </c>
      <c r="CY453" s="28" t="n"/>
      <c r="CZ453" s="31" t="n"/>
      <c r="DA453" s="29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1" t="n"/>
      <c r="DC453" s="21" t="n"/>
      <c r="DD453" s="27">
        <f>SUM(DB453:DC453)</f>
        <v/>
      </c>
      <c r="DE453" s="28" t="n"/>
      <c r="DF453" s="31" t="n"/>
      <c r="DG453" s="29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34">
        <f>SUM(O453,U453,AA453,AG453,AM453,AS453,AY453,BE453,BK453,BQ453,BW453,CC453,CI453,CO453,CU453,DA453,DG453)</f>
        <v/>
      </c>
      <c r="DI453" s="39">
        <f>RANK(DH453,DH$4:DH$503)</f>
        <v/>
      </c>
      <c r="DJ453" s="40" t="inlineStr">
        <is>
          <t>CHOOSE RATING</t>
        </is>
      </c>
      <c r="DK453" s="40" t="inlineStr">
        <is>
          <t>CHOOSE RATING</t>
        </is>
      </c>
      <c r="DL453" s="40" t="inlineStr">
        <is>
          <t>CHOOSE RATING</t>
        </is>
      </c>
      <c r="DM453" s="40" t="inlineStr">
        <is>
          <t>CHOOSE RATING</t>
        </is>
      </c>
      <c r="DN453" s="40" t="inlineStr">
        <is>
          <t>CHOOSE RATING</t>
        </is>
      </c>
      <c r="DO453" s="40" t="inlineStr">
        <is>
          <t>CHOOSE RATING</t>
        </is>
      </c>
      <c r="DP453" s="40" t="inlineStr">
        <is>
          <t>CHOOSE RATING</t>
        </is>
      </c>
      <c r="DQ453" s="40" t="inlineStr">
        <is>
          <t>CHOOSE RATING</t>
        </is>
      </c>
      <c r="DR453" s="43" t="inlineStr">
        <is>
          <t>2024/2025</t>
        </is>
      </c>
      <c r="DS453" s="45" t="inlineStr">
        <is>
          <t>THIRD</t>
        </is>
      </c>
      <c r="DT453" s="40" t="inlineStr">
        <is>
          <t>CHOOSE RATING</t>
        </is>
      </c>
      <c r="DU453" s="40" t="inlineStr">
        <is>
          <t>CHOOSE RATING</t>
        </is>
      </c>
      <c r="DV453" s="40" t="inlineStr">
        <is>
          <t>CHOOSE RATING</t>
        </is>
      </c>
      <c r="DW453" s="40" t="inlineStr">
        <is>
          <t>CHOOSE RATING</t>
        </is>
      </c>
      <c r="DX453" s="40" t="inlineStr">
        <is>
          <t>CHOOSE RATING</t>
        </is>
      </c>
      <c r="DY453" s="40" t="inlineStr">
        <is>
          <t>CHOOSE RATING</t>
        </is>
      </c>
      <c r="DZ453" s="53" t="inlineStr">
        <is>
          <t>CHOOSE RATING</t>
        </is>
      </c>
      <c r="EA453" s="54" t="inlineStr">
        <is>
          <t>Add the Tutor's Comment . . .</t>
        </is>
      </c>
      <c r="EB453" s="55" t="inlineStr">
        <is>
          <t>Choose Principals comment</t>
        </is>
      </c>
      <c r="EC453" s="56" t="n"/>
      <c r="ED453" s="57" t="inlineStr">
        <is>
          <t>Next Term Begins on Monday, 22nd September, 2025</t>
        </is>
      </c>
    </row>
    <row r="454" ht="30.6" customHeight="1" s="6">
      <c r="A454" s="18" t="n">
        <v>451</v>
      </c>
      <c r="B454" s="19" t="n"/>
      <c r="C454" s="20" t="n"/>
      <c r="D454" s="128" t="n"/>
      <c r="E454" s="21" t="n"/>
      <c r="F454" s="22" t="n"/>
      <c r="G454" s="22" t="n"/>
      <c r="H454" s="22" t="n"/>
      <c r="I454" s="26">
        <f>G454-H454</f>
        <v/>
      </c>
      <c r="J454" s="21" t="n"/>
      <c r="K454" s="21" t="n"/>
      <c r="L454" s="27">
        <f>SUM(J454:K454)</f>
        <v/>
      </c>
      <c r="M454" s="28" t="n"/>
      <c r="N454" s="28" t="n"/>
      <c r="O454" s="29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1" t="n"/>
      <c r="Q454" s="21" t="n"/>
      <c r="R454" s="27">
        <f>SUM(P454:Q454)</f>
        <v/>
      </c>
      <c r="S454" s="28" t="n"/>
      <c r="T454" s="28" t="n"/>
      <c r="U454" s="29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1" t="n"/>
      <c r="W454" s="21" t="n"/>
      <c r="X454" s="27">
        <f>SUM(V454:W454)</f>
        <v/>
      </c>
      <c r="Y454" s="28" t="n"/>
      <c r="Z454" s="28" t="n"/>
      <c r="AA454" s="29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1" t="n"/>
      <c r="AC454" s="21" t="n"/>
      <c r="AD454" s="27">
        <f>SUM(AB454:AC454)</f>
        <v/>
      </c>
      <c r="AE454" s="28" t="n"/>
      <c r="AF454" s="28" t="n"/>
      <c r="AG454" s="29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1" t="n"/>
      <c r="AI454" s="21" t="n"/>
      <c r="AJ454" s="27">
        <f>SUM(AH454:AI454)</f>
        <v/>
      </c>
      <c r="AK454" s="28" t="n"/>
      <c r="AL454" s="28" t="n"/>
      <c r="AM454" s="29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1" t="n"/>
      <c r="AO454" s="21" t="n"/>
      <c r="AP454" s="27">
        <f>SUM(AN454:AO454)</f>
        <v/>
      </c>
      <c r="AQ454" s="28" t="n"/>
      <c r="AR454" s="30" t="n"/>
      <c r="AS454" s="29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1" t="n"/>
      <c r="AU454" s="21" t="n"/>
      <c r="AV454" s="27">
        <f>SUM(AT454:AU454)</f>
        <v/>
      </c>
      <c r="AW454" s="28" t="n"/>
      <c r="AX454" s="30" t="n"/>
      <c r="AY454" s="29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1" t="n"/>
      <c r="BA454" s="21" t="n"/>
      <c r="BB454" s="27">
        <f>SUM(AZ454:BA454)</f>
        <v/>
      </c>
      <c r="BC454" s="28" t="n"/>
      <c r="BD454" s="28" t="n"/>
      <c r="BE454" s="29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1" t="n"/>
      <c r="BG454" s="21" t="n"/>
      <c r="BH454" s="27">
        <f>SUM(BF454:BG454)</f>
        <v/>
      </c>
      <c r="BI454" s="28" t="n"/>
      <c r="BJ454" s="28" t="n"/>
      <c r="BK454" s="29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1" t="n"/>
      <c r="BM454" s="21" t="n"/>
      <c r="BN454" s="27">
        <f>SUM(BL454:BM454)</f>
        <v/>
      </c>
      <c r="BO454" s="28" t="n"/>
      <c r="BP454" s="31" t="n"/>
      <c r="BQ454" s="29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1" t="n"/>
      <c r="BS454" s="21" t="n"/>
      <c r="BT454" s="27">
        <f>SUM(BR454:BS454)</f>
        <v/>
      </c>
      <c r="BU454" s="28" t="n"/>
      <c r="BV454" s="31" t="n"/>
      <c r="BW454" s="29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1" t="n"/>
      <c r="BY454" s="21" t="n"/>
      <c r="BZ454" s="27">
        <f>SUM(BX454:BY454)</f>
        <v/>
      </c>
      <c r="CA454" s="28" t="n"/>
      <c r="CB454" s="31" t="n"/>
      <c r="CC454" s="29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1" t="n"/>
      <c r="CE454" s="21" t="n"/>
      <c r="CF454" s="27">
        <f>SUM(CD454:CE454)</f>
        <v/>
      </c>
      <c r="CG454" s="28" t="n"/>
      <c r="CH454" s="31" t="n"/>
      <c r="CI454" s="29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1" t="n"/>
      <c r="CK454" s="21" t="n"/>
      <c r="CL454" s="27">
        <f>SUM(CJ454:CK454)</f>
        <v/>
      </c>
      <c r="CM454" s="28" t="n"/>
      <c r="CN454" s="31" t="n"/>
      <c r="CO454" s="29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1" t="n"/>
      <c r="CQ454" s="21" t="n"/>
      <c r="CR454" s="27">
        <f>SUM(CP454:CQ454)</f>
        <v/>
      </c>
      <c r="CS454" s="28" t="n"/>
      <c r="CT454" s="31" t="n"/>
      <c r="CU454" s="29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1" t="n"/>
      <c r="CW454" s="21" t="n"/>
      <c r="CX454" s="27">
        <f>SUM(CV454:CW454)</f>
        <v/>
      </c>
      <c r="CY454" s="28" t="n"/>
      <c r="CZ454" s="31" t="n"/>
      <c r="DA454" s="29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1" t="n"/>
      <c r="DC454" s="21" t="n"/>
      <c r="DD454" s="27">
        <f>SUM(DB454:DC454)</f>
        <v/>
      </c>
      <c r="DE454" s="28" t="n"/>
      <c r="DF454" s="31" t="n"/>
      <c r="DG454" s="29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34">
        <f>SUM(O454,U454,AA454,AG454,AM454,AS454,AY454,BE454,BK454,BQ454,BW454,CC454,CI454,CO454,CU454,DA454,DG454)</f>
        <v/>
      </c>
      <c r="DI454" s="39">
        <f>RANK(DH454,DH$4:DH$503)</f>
        <v/>
      </c>
      <c r="DJ454" s="40" t="inlineStr">
        <is>
          <t>CHOOSE RATING</t>
        </is>
      </c>
      <c r="DK454" s="40" t="inlineStr">
        <is>
          <t>CHOOSE RATING</t>
        </is>
      </c>
      <c r="DL454" s="40" t="inlineStr">
        <is>
          <t>CHOOSE RATING</t>
        </is>
      </c>
      <c r="DM454" s="40" t="inlineStr">
        <is>
          <t>CHOOSE RATING</t>
        </is>
      </c>
      <c r="DN454" s="40" t="inlineStr">
        <is>
          <t>CHOOSE RATING</t>
        </is>
      </c>
      <c r="DO454" s="40" t="inlineStr">
        <is>
          <t>CHOOSE RATING</t>
        </is>
      </c>
      <c r="DP454" s="40" t="inlineStr">
        <is>
          <t>CHOOSE RATING</t>
        </is>
      </c>
      <c r="DQ454" s="40" t="inlineStr">
        <is>
          <t>CHOOSE RATING</t>
        </is>
      </c>
      <c r="DR454" s="43" t="inlineStr">
        <is>
          <t>2024/2025</t>
        </is>
      </c>
      <c r="DS454" s="45" t="inlineStr">
        <is>
          <t>THIRD</t>
        </is>
      </c>
      <c r="DT454" s="40" t="inlineStr">
        <is>
          <t>CHOOSE RATING</t>
        </is>
      </c>
      <c r="DU454" s="40" t="inlineStr">
        <is>
          <t>CHOOSE RATING</t>
        </is>
      </c>
      <c r="DV454" s="40" t="inlineStr">
        <is>
          <t>CHOOSE RATING</t>
        </is>
      </c>
      <c r="DW454" s="40" t="inlineStr">
        <is>
          <t>CHOOSE RATING</t>
        </is>
      </c>
      <c r="DX454" s="40" t="inlineStr">
        <is>
          <t>CHOOSE RATING</t>
        </is>
      </c>
      <c r="DY454" s="40" t="inlineStr">
        <is>
          <t>CHOOSE RATING</t>
        </is>
      </c>
      <c r="DZ454" s="53" t="inlineStr">
        <is>
          <t>CHOOSE RATING</t>
        </is>
      </c>
      <c r="EA454" s="54" t="inlineStr">
        <is>
          <t>Add the Tutor's Comment . . .</t>
        </is>
      </c>
      <c r="EB454" s="55" t="inlineStr">
        <is>
          <t>Choose Principals comment</t>
        </is>
      </c>
      <c r="EC454" s="56" t="n"/>
      <c r="ED454" s="57" t="inlineStr">
        <is>
          <t>Next Term Begins on Monday, 22nd September, 2025</t>
        </is>
      </c>
    </row>
    <row r="455" ht="30.6" customHeight="1" s="6">
      <c r="A455" s="18" t="n">
        <v>452</v>
      </c>
      <c r="B455" s="19" t="n"/>
      <c r="C455" s="20" t="n"/>
      <c r="D455" s="128" t="n"/>
      <c r="E455" s="21" t="n"/>
      <c r="F455" s="22" t="n"/>
      <c r="G455" s="22" t="n"/>
      <c r="H455" s="22" t="n"/>
      <c r="I455" s="26">
        <f>G455-H455</f>
        <v/>
      </c>
      <c r="J455" s="21" t="n"/>
      <c r="K455" s="21" t="n"/>
      <c r="L455" s="27">
        <f>SUM(J455:K455)</f>
        <v/>
      </c>
      <c r="M455" s="28" t="n"/>
      <c r="N455" s="28" t="n"/>
      <c r="O455" s="29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1" t="n"/>
      <c r="Q455" s="21" t="n"/>
      <c r="R455" s="27">
        <f>SUM(P455:Q455)</f>
        <v/>
      </c>
      <c r="S455" s="28" t="n"/>
      <c r="T455" s="28" t="n"/>
      <c r="U455" s="29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1" t="n"/>
      <c r="W455" s="21" t="n"/>
      <c r="X455" s="27">
        <f>SUM(V455:W455)</f>
        <v/>
      </c>
      <c r="Y455" s="28" t="n"/>
      <c r="Z455" s="28" t="n"/>
      <c r="AA455" s="29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1" t="n"/>
      <c r="AC455" s="21" t="n"/>
      <c r="AD455" s="27">
        <f>SUM(AB455:AC455)</f>
        <v/>
      </c>
      <c r="AE455" s="28" t="n"/>
      <c r="AF455" s="28" t="n"/>
      <c r="AG455" s="29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1" t="n"/>
      <c r="AI455" s="21" t="n"/>
      <c r="AJ455" s="27">
        <f>SUM(AH455:AI455)</f>
        <v/>
      </c>
      <c r="AK455" s="28" t="n"/>
      <c r="AL455" s="28" t="n"/>
      <c r="AM455" s="29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1" t="n"/>
      <c r="AO455" s="21" t="n"/>
      <c r="AP455" s="27">
        <f>SUM(AN455:AO455)</f>
        <v/>
      </c>
      <c r="AQ455" s="28" t="n"/>
      <c r="AR455" s="30" t="n"/>
      <c r="AS455" s="29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1" t="n"/>
      <c r="AU455" s="21" t="n"/>
      <c r="AV455" s="27">
        <f>SUM(AT455:AU455)</f>
        <v/>
      </c>
      <c r="AW455" s="28" t="n"/>
      <c r="AX455" s="30" t="n"/>
      <c r="AY455" s="29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1" t="n"/>
      <c r="BA455" s="21" t="n"/>
      <c r="BB455" s="27">
        <f>SUM(AZ455:BA455)</f>
        <v/>
      </c>
      <c r="BC455" s="28" t="n"/>
      <c r="BD455" s="28" t="n"/>
      <c r="BE455" s="29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1" t="n"/>
      <c r="BG455" s="21" t="n"/>
      <c r="BH455" s="27">
        <f>SUM(BF455:BG455)</f>
        <v/>
      </c>
      <c r="BI455" s="28" t="n"/>
      <c r="BJ455" s="28" t="n"/>
      <c r="BK455" s="29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1" t="n"/>
      <c r="BM455" s="21" t="n"/>
      <c r="BN455" s="27">
        <f>SUM(BL455:BM455)</f>
        <v/>
      </c>
      <c r="BO455" s="28" t="n"/>
      <c r="BP455" s="31" t="n"/>
      <c r="BQ455" s="29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1" t="n"/>
      <c r="BS455" s="21" t="n"/>
      <c r="BT455" s="27">
        <f>SUM(BR455:BS455)</f>
        <v/>
      </c>
      <c r="BU455" s="28" t="n"/>
      <c r="BV455" s="31" t="n"/>
      <c r="BW455" s="29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1" t="n"/>
      <c r="BY455" s="21" t="n"/>
      <c r="BZ455" s="27">
        <f>SUM(BX455:BY455)</f>
        <v/>
      </c>
      <c r="CA455" s="28" t="n"/>
      <c r="CB455" s="31" t="n"/>
      <c r="CC455" s="29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1" t="n"/>
      <c r="CE455" s="21" t="n"/>
      <c r="CF455" s="27">
        <f>SUM(CD455:CE455)</f>
        <v/>
      </c>
      <c r="CG455" s="28" t="n"/>
      <c r="CH455" s="31" t="n"/>
      <c r="CI455" s="29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1" t="n"/>
      <c r="CK455" s="21" t="n"/>
      <c r="CL455" s="27">
        <f>SUM(CJ455:CK455)</f>
        <v/>
      </c>
      <c r="CM455" s="28" t="n"/>
      <c r="CN455" s="31" t="n"/>
      <c r="CO455" s="29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1" t="n"/>
      <c r="CQ455" s="21" t="n"/>
      <c r="CR455" s="27">
        <f>SUM(CP455:CQ455)</f>
        <v/>
      </c>
      <c r="CS455" s="28" t="n"/>
      <c r="CT455" s="31" t="n"/>
      <c r="CU455" s="29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1" t="n"/>
      <c r="CW455" s="21" t="n"/>
      <c r="CX455" s="27">
        <f>SUM(CV455:CW455)</f>
        <v/>
      </c>
      <c r="CY455" s="28" t="n"/>
      <c r="CZ455" s="31" t="n"/>
      <c r="DA455" s="29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1" t="n"/>
      <c r="DC455" s="21" t="n"/>
      <c r="DD455" s="27">
        <f>SUM(DB455:DC455)</f>
        <v/>
      </c>
      <c r="DE455" s="28" t="n"/>
      <c r="DF455" s="31" t="n"/>
      <c r="DG455" s="29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34">
        <f>SUM(O455,U455,AA455,AG455,AM455,AS455,AY455,BE455,BK455,BQ455,BW455,CC455,CI455,CO455,CU455,DA455,DG455)</f>
        <v/>
      </c>
      <c r="DI455" s="39">
        <f>RANK(DH455,DH$4:DH$503)</f>
        <v/>
      </c>
      <c r="DJ455" s="40" t="inlineStr">
        <is>
          <t>CHOOSE RATING</t>
        </is>
      </c>
      <c r="DK455" s="40" t="inlineStr">
        <is>
          <t>CHOOSE RATING</t>
        </is>
      </c>
      <c r="DL455" s="40" t="inlineStr">
        <is>
          <t>CHOOSE RATING</t>
        </is>
      </c>
      <c r="DM455" s="40" t="inlineStr">
        <is>
          <t>CHOOSE RATING</t>
        </is>
      </c>
      <c r="DN455" s="40" t="inlineStr">
        <is>
          <t>CHOOSE RATING</t>
        </is>
      </c>
      <c r="DO455" s="40" t="inlineStr">
        <is>
          <t>CHOOSE RATING</t>
        </is>
      </c>
      <c r="DP455" s="40" t="inlineStr">
        <is>
          <t>CHOOSE RATING</t>
        </is>
      </c>
      <c r="DQ455" s="40" t="inlineStr">
        <is>
          <t>CHOOSE RATING</t>
        </is>
      </c>
      <c r="DR455" s="43" t="inlineStr">
        <is>
          <t>2024/2025</t>
        </is>
      </c>
      <c r="DS455" s="45" t="inlineStr">
        <is>
          <t>THIRD</t>
        </is>
      </c>
      <c r="DT455" s="40" t="inlineStr">
        <is>
          <t>CHOOSE RATING</t>
        </is>
      </c>
      <c r="DU455" s="40" t="inlineStr">
        <is>
          <t>CHOOSE RATING</t>
        </is>
      </c>
      <c r="DV455" s="40" t="inlineStr">
        <is>
          <t>CHOOSE RATING</t>
        </is>
      </c>
      <c r="DW455" s="40" t="inlineStr">
        <is>
          <t>CHOOSE RATING</t>
        </is>
      </c>
      <c r="DX455" s="40" t="inlineStr">
        <is>
          <t>CHOOSE RATING</t>
        </is>
      </c>
      <c r="DY455" s="40" t="inlineStr">
        <is>
          <t>CHOOSE RATING</t>
        </is>
      </c>
      <c r="DZ455" s="53" t="inlineStr">
        <is>
          <t>CHOOSE RATING</t>
        </is>
      </c>
      <c r="EA455" s="54" t="inlineStr">
        <is>
          <t>Add the Tutor's Comment . . .</t>
        </is>
      </c>
      <c r="EB455" s="55" t="inlineStr">
        <is>
          <t>Choose Principals comment</t>
        </is>
      </c>
      <c r="EC455" s="56" t="n"/>
      <c r="ED455" s="57" t="inlineStr">
        <is>
          <t>Next Term Begins on Monday, 22nd September, 2025</t>
        </is>
      </c>
    </row>
    <row r="456" ht="30.6" customHeight="1" s="6">
      <c r="A456" s="18" t="n">
        <v>453</v>
      </c>
      <c r="B456" s="19" t="n"/>
      <c r="C456" s="20" t="n"/>
      <c r="D456" s="128" t="n"/>
      <c r="E456" s="21" t="n"/>
      <c r="F456" s="22" t="n"/>
      <c r="G456" s="22" t="n"/>
      <c r="H456" s="22" t="n"/>
      <c r="I456" s="26">
        <f>G456-H456</f>
        <v/>
      </c>
      <c r="J456" s="21" t="n"/>
      <c r="K456" s="21" t="n"/>
      <c r="L456" s="27">
        <f>SUM(J456:K456)</f>
        <v/>
      </c>
      <c r="M456" s="28" t="n"/>
      <c r="N456" s="28" t="n"/>
      <c r="O456" s="29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1" t="n"/>
      <c r="Q456" s="21" t="n"/>
      <c r="R456" s="27">
        <f>SUM(P456:Q456)</f>
        <v/>
      </c>
      <c r="S456" s="28" t="n"/>
      <c r="T456" s="28" t="n"/>
      <c r="U456" s="29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1" t="n"/>
      <c r="W456" s="21" t="n"/>
      <c r="X456" s="27">
        <f>SUM(V456:W456)</f>
        <v/>
      </c>
      <c r="Y456" s="28" t="n"/>
      <c r="Z456" s="28" t="n"/>
      <c r="AA456" s="29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1" t="n"/>
      <c r="AC456" s="21" t="n"/>
      <c r="AD456" s="27">
        <f>SUM(AB456:AC456)</f>
        <v/>
      </c>
      <c r="AE456" s="28" t="n"/>
      <c r="AF456" s="28" t="n"/>
      <c r="AG456" s="29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1" t="n"/>
      <c r="AI456" s="21" t="n"/>
      <c r="AJ456" s="27">
        <f>SUM(AH456:AI456)</f>
        <v/>
      </c>
      <c r="AK456" s="28" t="n"/>
      <c r="AL456" s="28" t="n"/>
      <c r="AM456" s="29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1" t="n"/>
      <c r="AO456" s="21" t="n"/>
      <c r="AP456" s="27">
        <f>SUM(AN456:AO456)</f>
        <v/>
      </c>
      <c r="AQ456" s="28" t="n"/>
      <c r="AR456" s="30" t="n"/>
      <c r="AS456" s="29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1" t="n"/>
      <c r="AU456" s="21" t="n"/>
      <c r="AV456" s="27">
        <f>SUM(AT456:AU456)</f>
        <v/>
      </c>
      <c r="AW456" s="28" t="n"/>
      <c r="AX456" s="30" t="n"/>
      <c r="AY456" s="29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1" t="n"/>
      <c r="BA456" s="21" t="n"/>
      <c r="BB456" s="27">
        <f>SUM(AZ456:BA456)</f>
        <v/>
      </c>
      <c r="BC456" s="28" t="n"/>
      <c r="BD456" s="28" t="n"/>
      <c r="BE456" s="29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1" t="n"/>
      <c r="BG456" s="21" t="n"/>
      <c r="BH456" s="27">
        <f>SUM(BF456:BG456)</f>
        <v/>
      </c>
      <c r="BI456" s="28" t="n"/>
      <c r="BJ456" s="28" t="n"/>
      <c r="BK456" s="29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1" t="n"/>
      <c r="BM456" s="21" t="n"/>
      <c r="BN456" s="27">
        <f>SUM(BL456:BM456)</f>
        <v/>
      </c>
      <c r="BO456" s="28" t="n"/>
      <c r="BP456" s="31" t="n"/>
      <c r="BQ456" s="29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1" t="n"/>
      <c r="BS456" s="21" t="n"/>
      <c r="BT456" s="27">
        <f>SUM(BR456:BS456)</f>
        <v/>
      </c>
      <c r="BU456" s="28" t="n"/>
      <c r="BV456" s="31" t="n"/>
      <c r="BW456" s="29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1" t="n"/>
      <c r="BY456" s="21" t="n"/>
      <c r="BZ456" s="27">
        <f>SUM(BX456:BY456)</f>
        <v/>
      </c>
      <c r="CA456" s="28" t="n"/>
      <c r="CB456" s="31" t="n"/>
      <c r="CC456" s="29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1" t="n"/>
      <c r="CE456" s="21" t="n"/>
      <c r="CF456" s="27">
        <f>SUM(CD456:CE456)</f>
        <v/>
      </c>
      <c r="CG456" s="28" t="n"/>
      <c r="CH456" s="31" t="n"/>
      <c r="CI456" s="29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1" t="n"/>
      <c r="CK456" s="21" t="n"/>
      <c r="CL456" s="27">
        <f>SUM(CJ456:CK456)</f>
        <v/>
      </c>
      <c r="CM456" s="28" t="n"/>
      <c r="CN456" s="31" t="n"/>
      <c r="CO456" s="29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1" t="n"/>
      <c r="CQ456" s="21" t="n"/>
      <c r="CR456" s="27">
        <f>SUM(CP456:CQ456)</f>
        <v/>
      </c>
      <c r="CS456" s="28" t="n"/>
      <c r="CT456" s="31" t="n"/>
      <c r="CU456" s="29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1" t="n"/>
      <c r="CW456" s="21" t="n"/>
      <c r="CX456" s="27">
        <f>SUM(CV456:CW456)</f>
        <v/>
      </c>
      <c r="CY456" s="28" t="n"/>
      <c r="CZ456" s="31" t="n"/>
      <c r="DA456" s="29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1" t="n"/>
      <c r="DC456" s="21" t="n"/>
      <c r="DD456" s="27">
        <f>SUM(DB456:DC456)</f>
        <v/>
      </c>
      <c r="DE456" s="28" t="n"/>
      <c r="DF456" s="31" t="n"/>
      <c r="DG456" s="29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34">
        <f>SUM(O456,U456,AA456,AG456,AM456,AS456,AY456,BE456,BK456,BQ456,BW456,CC456,CI456,CO456,CU456,DA456,DG456)</f>
        <v/>
      </c>
      <c r="DI456" s="39">
        <f>RANK(DH456,DH$4:DH$503)</f>
        <v/>
      </c>
      <c r="DJ456" s="40" t="inlineStr">
        <is>
          <t>CHOOSE RATING</t>
        </is>
      </c>
      <c r="DK456" s="40" t="inlineStr">
        <is>
          <t>CHOOSE RATING</t>
        </is>
      </c>
      <c r="DL456" s="40" t="inlineStr">
        <is>
          <t>CHOOSE RATING</t>
        </is>
      </c>
      <c r="DM456" s="40" t="inlineStr">
        <is>
          <t>CHOOSE RATING</t>
        </is>
      </c>
      <c r="DN456" s="40" t="inlineStr">
        <is>
          <t>CHOOSE RATING</t>
        </is>
      </c>
      <c r="DO456" s="40" t="inlineStr">
        <is>
          <t>CHOOSE RATING</t>
        </is>
      </c>
      <c r="DP456" s="40" t="inlineStr">
        <is>
          <t>CHOOSE RATING</t>
        </is>
      </c>
      <c r="DQ456" s="40" t="inlineStr">
        <is>
          <t>CHOOSE RATING</t>
        </is>
      </c>
      <c r="DR456" s="43" t="inlineStr">
        <is>
          <t>2024/2025</t>
        </is>
      </c>
      <c r="DS456" s="45" t="inlineStr">
        <is>
          <t>THIRD</t>
        </is>
      </c>
      <c r="DT456" s="40" t="inlineStr">
        <is>
          <t>CHOOSE RATING</t>
        </is>
      </c>
      <c r="DU456" s="40" t="inlineStr">
        <is>
          <t>CHOOSE RATING</t>
        </is>
      </c>
      <c r="DV456" s="40" t="inlineStr">
        <is>
          <t>CHOOSE RATING</t>
        </is>
      </c>
      <c r="DW456" s="40" t="inlineStr">
        <is>
          <t>CHOOSE RATING</t>
        </is>
      </c>
      <c r="DX456" s="40" t="inlineStr">
        <is>
          <t>CHOOSE RATING</t>
        </is>
      </c>
      <c r="DY456" s="40" t="inlineStr">
        <is>
          <t>CHOOSE RATING</t>
        </is>
      </c>
      <c r="DZ456" s="53" t="inlineStr">
        <is>
          <t>CHOOSE RATING</t>
        </is>
      </c>
      <c r="EA456" s="54" t="inlineStr">
        <is>
          <t>Add the Tutor's Comment . . .</t>
        </is>
      </c>
      <c r="EB456" s="55" t="inlineStr">
        <is>
          <t>Choose Principals comment</t>
        </is>
      </c>
      <c r="EC456" s="56" t="n"/>
      <c r="ED456" s="57" t="inlineStr">
        <is>
          <t>Next Term Begins on Monday, 22nd September, 2025</t>
        </is>
      </c>
    </row>
    <row r="457" ht="30.6" customHeight="1" s="6">
      <c r="A457" s="18" t="n">
        <v>454</v>
      </c>
      <c r="B457" s="19" t="n"/>
      <c r="C457" s="20" t="n"/>
      <c r="D457" s="128" t="n"/>
      <c r="E457" s="21" t="n"/>
      <c r="F457" s="22" t="n"/>
      <c r="G457" s="22" t="n"/>
      <c r="H457" s="22" t="n"/>
      <c r="I457" s="26">
        <f>G457-H457</f>
        <v/>
      </c>
      <c r="J457" s="21" t="n"/>
      <c r="K457" s="21" t="n"/>
      <c r="L457" s="27">
        <f>SUM(J457:K457)</f>
        <v/>
      </c>
      <c r="M457" s="28" t="n"/>
      <c r="N457" s="28" t="n"/>
      <c r="O457" s="29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1" t="n"/>
      <c r="Q457" s="21" t="n"/>
      <c r="R457" s="27">
        <f>SUM(P457:Q457)</f>
        <v/>
      </c>
      <c r="S457" s="28" t="n"/>
      <c r="T457" s="28" t="n"/>
      <c r="U457" s="29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1" t="n"/>
      <c r="W457" s="21" t="n"/>
      <c r="X457" s="27">
        <f>SUM(V457:W457)</f>
        <v/>
      </c>
      <c r="Y457" s="28" t="n"/>
      <c r="Z457" s="28" t="n"/>
      <c r="AA457" s="29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1" t="n"/>
      <c r="AC457" s="21" t="n"/>
      <c r="AD457" s="27">
        <f>SUM(AB457:AC457)</f>
        <v/>
      </c>
      <c r="AE457" s="28" t="n"/>
      <c r="AF457" s="28" t="n"/>
      <c r="AG457" s="29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1" t="n"/>
      <c r="AI457" s="21" t="n"/>
      <c r="AJ457" s="27">
        <f>SUM(AH457:AI457)</f>
        <v/>
      </c>
      <c r="AK457" s="28" t="n"/>
      <c r="AL457" s="28" t="n"/>
      <c r="AM457" s="29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1" t="n"/>
      <c r="AO457" s="21" t="n"/>
      <c r="AP457" s="27">
        <f>SUM(AN457:AO457)</f>
        <v/>
      </c>
      <c r="AQ457" s="28" t="n"/>
      <c r="AR457" s="30" t="n"/>
      <c r="AS457" s="29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1" t="n"/>
      <c r="AU457" s="21" t="n"/>
      <c r="AV457" s="27">
        <f>SUM(AT457:AU457)</f>
        <v/>
      </c>
      <c r="AW457" s="28" t="n"/>
      <c r="AX457" s="30" t="n"/>
      <c r="AY457" s="29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1" t="n"/>
      <c r="BA457" s="21" t="n"/>
      <c r="BB457" s="27">
        <f>SUM(AZ457:BA457)</f>
        <v/>
      </c>
      <c r="BC457" s="28" t="n"/>
      <c r="BD457" s="28" t="n"/>
      <c r="BE457" s="29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1" t="n"/>
      <c r="BG457" s="21" t="n"/>
      <c r="BH457" s="27">
        <f>SUM(BF457:BG457)</f>
        <v/>
      </c>
      <c r="BI457" s="28" t="n"/>
      <c r="BJ457" s="28" t="n"/>
      <c r="BK457" s="29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1" t="n"/>
      <c r="BM457" s="21" t="n"/>
      <c r="BN457" s="27">
        <f>SUM(BL457:BM457)</f>
        <v/>
      </c>
      <c r="BO457" s="28" t="n"/>
      <c r="BP457" s="31" t="n"/>
      <c r="BQ457" s="29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1" t="n"/>
      <c r="BS457" s="21" t="n"/>
      <c r="BT457" s="27">
        <f>SUM(BR457:BS457)</f>
        <v/>
      </c>
      <c r="BU457" s="28" t="n"/>
      <c r="BV457" s="31" t="n"/>
      <c r="BW457" s="29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1" t="n"/>
      <c r="BY457" s="21" t="n"/>
      <c r="BZ457" s="27">
        <f>SUM(BX457:BY457)</f>
        <v/>
      </c>
      <c r="CA457" s="28" t="n"/>
      <c r="CB457" s="31" t="n"/>
      <c r="CC457" s="29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1" t="n"/>
      <c r="CE457" s="21" t="n"/>
      <c r="CF457" s="27">
        <f>SUM(CD457:CE457)</f>
        <v/>
      </c>
      <c r="CG457" s="28" t="n"/>
      <c r="CH457" s="31" t="n"/>
      <c r="CI457" s="29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1" t="n"/>
      <c r="CK457" s="21" t="n"/>
      <c r="CL457" s="27">
        <f>SUM(CJ457:CK457)</f>
        <v/>
      </c>
      <c r="CM457" s="28" t="n"/>
      <c r="CN457" s="31" t="n"/>
      <c r="CO457" s="29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1" t="n"/>
      <c r="CQ457" s="21" t="n"/>
      <c r="CR457" s="27">
        <f>SUM(CP457:CQ457)</f>
        <v/>
      </c>
      <c r="CS457" s="28" t="n"/>
      <c r="CT457" s="31" t="n"/>
      <c r="CU457" s="29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1" t="n"/>
      <c r="CW457" s="21" t="n"/>
      <c r="CX457" s="27">
        <f>SUM(CV457:CW457)</f>
        <v/>
      </c>
      <c r="CY457" s="28" t="n"/>
      <c r="CZ457" s="31" t="n"/>
      <c r="DA457" s="29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1" t="n"/>
      <c r="DC457" s="21" t="n"/>
      <c r="DD457" s="27">
        <f>SUM(DB457:DC457)</f>
        <v/>
      </c>
      <c r="DE457" s="28" t="n"/>
      <c r="DF457" s="31" t="n"/>
      <c r="DG457" s="29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34">
        <f>SUM(O457,U457,AA457,AG457,AM457,AS457,AY457,BE457,BK457,BQ457,BW457,CC457,CI457,CO457,CU457,DA457,DG457)</f>
        <v/>
      </c>
      <c r="DI457" s="39">
        <f>RANK(DH457,DH$4:DH$503)</f>
        <v/>
      </c>
      <c r="DJ457" s="40" t="inlineStr">
        <is>
          <t>CHOOSE RATING</t>
        </is>
      </c>
      <c r="DK457" s="40" t="inlineStr">
        <is>
          <t>CHOOSE RATING</t>
        </is>
      </c>
      <c r="DL457" s="40" t="inlineStr">
        <is>
          <t>CHOOSE RATING</t>
        </is>
      </c>
      <c r="DM457" s="40" t="inlineStr">
        <is>
          <t>CHOOSE RATING</t>
        </is>
      </c>
      <c r="DN457" s="40" t="inlineStr">
        <is>
          <t>CHOOSE RATING</t>
        </is>
      </c>
      <c r="DO457" s="40" t="inlineStr">
        <is>
          <t>CHOOSE RATING</t>
        </is>
      </c>
      <c r="DP457" s="40" t="inlineStr">
        <is>
          <t>CHOOSE RATING</t>
        </is>
      </c>
      <c r="DQ457" s="40" t="inlineStr">
        <is>
          <t>CHOOSE RATING</t>
        </is>
      </c>
      <c r="DR457" s="43" t="inlineStr">
        <is>
          <t>2024/2025</t>
        </is>
      </c>
      <c r="DS457" s="45" t="inlineStr">
        <is>
          <t>THIRD</t>
        </is>
      </c>
      <c r="DT457" s="40" t="inlineStr">
        <is>
          <t>CHOOSE RATING</t>
        </is>
      </c>
      <c r="DU457" s="40" t="inlineStr">
        <is>
          <t>CHOOSE RATING</t>
        </is>
      </c>
      <c r="DV457" s="40" t="inlineStr">
        <is>
          <t>CHOOSE RATING</t>
        </is>
      </c>
      <c r="DW457" s="40" t="inlineStr">
        <is>
          <t>CHOOSE RATING</t>
        </is>
      </c>
      <c r="DX457" s="40" t="inlineStr">
        <is>
          <t>CHOOSE RATING</t>
        </is>
      </c>
      <c r="DY457" s="40" t="inlineStr">
        <is>
          <t>CHOOSE RATING</t>
        </is>
      </c>
      <c r="DZ457" s="53" t="inlineStr">
        <is>
          <t>CHOOSE RATING</t>
        </is>
      </c>
      <c r="EA457" s="54" t="inlineStr">
        <is>
          <t>Add the Tutor's Comment . . .</t>
        </is>
      </c>
      <c r="EB457" s="55" t="inlineStr">
        <is>
          <t>Choose Principals comment</t>
        </is>
      </c>
      <c r="EC457" s="56" t="n"/>
      <c r="ED457" s="57" t="inlineStr">
        <is>
          <t>Next Term Begins on Monday, 22nd September, 2025</t>
        </is>
      </c>
    </row>
    <row r="458" ht="30.6" customHeight="1" s="6">
      <c r="A458" s="18" t="n">
        <v>455</v>
      </c>
      <c r="B458" s="19" t="n"/>
      <c r="C458" s="20" t="n"/>
      <c r="D458" s="128" t="n"/>
      <c r="E458" s="21" t="n"/>
      <c r="F458" s="22" t="n"/>
      <c r="G458" s="22" t="n"/>
      <c r="H458" s="22" t="n"/>
      <c r="I458" s="26">
        <f>G458-H458</f>
        <v/>
      </c>
      <c r="J458" s="21" t="n"/>
      <c r="K458" s="21" t="n"/>
      <c r="L458" s="27">
        <f>SUM(J458:K458)</f>
        <v/>
      </c>
      <c r="M458" s="28" t="n"/>
      <c r="N458" s="28" t="n"/>
      <c r="O458" s="29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1" t="n"/>
      <c r="Q458" s="21" t="n"/>
      <c r="R458" s="27">
        <f>SUM(P458:Q458)</f>
        <v/>
      </c>
      <c r="S458" s="28" t="n"/>
      <c r="T458" s="28" t="n"/>
      <c r="U458" s="29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1" t="n"/>
      <c r="W458" s="21" t="n"/>
      <c r="X458" s="27">
        <f>SUM(V458:W458)</f>
        <v/>
      </c>
      <c r="Y458" s="28" t="n"/>
      <c r="Z458" s="28" t="n"/>
      <c r="AA458" s="29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1" t="n"/>
      <c r="AC458" s="21" t="n"/>
      <c r="AD458" s="27">
        <f>SUM(AB458:AC458)</f>
        <v/>
      </c>
      <c r="AE458" s="28" t="n"/>
      <c r="AF458" s="28" t="n"/>
      <c r="AG458" s="29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1" t="n"/>
      <c r="AI458" s="21" t="n"/>
      <c r="AJ458" s="27">
        <f>SUM(AH458:AI458)</f>
        <v/>
      </c>
      <c r="AK458" s="28" t="n"/>
      <c r="AL458" s="28" t="n"/>
      <c r="AM458" s="29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1" t="n"/>
      <c r="AO458" s="21" t="n"/>
      <c r="AP458" s="27">
        <f>SUM(AN458:AO458)</f>
        <v/>
      </c>
      <c r="AQ458" s="28" t="n"/>
      <c r="AR458" s="30" t="n"/>
      <c r="AS458" s="29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1" t="n"/>
      <c r="AU458" s="21" t="n"/>
      <c r="AV458" s="27">
        <f>SUM(AT458:AU458)</f>
        <v/>
      </c>
      <c r="AW458" s="28" t="n"/>
      <c r="AX458" s="30" t="n"/>
      <c r="AY458" s="29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1" t="n"/>
      <c r="BA458" s="21" t="n"/>
      <c r="BB458" s="27">
        <f>SUM(AZ458:BA458)</f>
        <v/>
      </c>
      <c r="BC458" s="28" t="n"/>
      <c r="BD458" s="28" t="n"/>
      <c r="BE458" s="29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1" t="n"/>
      <c r="BG458" s="21" t="n"/>
      <c r="BH458" s="27">
        <f>SUM(BF458:BG458)</f>
        <v/>
      </c>
      <c r="BI458" s="28" t="n"/>
      <c r="BJ458" s="28" t="n"/>
      <c r="BK458" s="29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1" t="n"/>
      <c r="BM458" s="21" t="n"/>
      <c r="BN458" s="27">
        <f>SUM(BL458:BM458)</f>
        <v/>
      </c>
      <c r="BO458" s="28" t="n"/>
      <c r="BP458" s="31" t="n"/>
      <c r="BQ458" s="29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1" t="n"/>
      <c r="BS458" s="21" t="n"/>
      <c r="BT458" s="27">
        <f>SUM(BR458:BS458)</f>
        <v/>
      </c>
      <c r="BU458" s="28" t="n"/>
      <c r="BV458" s="31" t="n"/>
      <c r="BW458" s="29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1" t="n"/>
      <c r="BY458" s="21" t="n"/>
      <c r="BZ458" s="27">
        <f>SUM(BX458:BY458)</f>
        <v/>
      </c>
      <c r="CA458" s="28" t="n"/>
      <c r="CB458" s="31" t="n"/>
      <c r="CC458" s="29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1" t="n"/>
      <c r="CE458" s="21" t="n"/>
      <c r="CF458" s="27">
        <f>SUM(CD458:CE458)</f>
        <v/>
      </c>
      <c r="CG458" s="28" t="n"/>
      <c r="CH458" s="31" t="n"/>
      <c r="CI458" s="29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1" t="n"/>
      <c r="CK458" s="21" t="n"/>
      <c r="CL458" s="27">
        <f>SUM(CJ458:CK458)</f>
        <v/>
      </c>
      <c r="CM458" s="28" t="n"/>
      <c r="CN458" s="31" t="n"/>
      <c r="CO458" s="29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1" t="n"/>
      <c r="CQ458" s="21" t="n"/>
      <c r="CR458" s="27">
        <f>SUM(CP458:CQ458)</f>
        <v/>
      </c>
      <c r="CS458" s="28" t="n"/>
      <c r="CT458" s="31" t="n"/>
      <c r="CU458" s="29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1" t="n"/>
      <c r="CW458" s="21" t="n"/>
      <c r="CX458" s="27">
        <f>SUM(CV458:CW458)</f>
        <v/>
      </c>
      <c r="CY458" s="28" t="n"/>
      <c r="CZ458" s="31" t="n"/>
      <c r="DA458" s="29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1" t="n"/>
      <c r="DC458" s="21" t="n"/>
      <c r="DD458" s="27">
        <f>SUM(DB458:DC458)</f>
        <v/>
      </c>
      <c r="DE458" s="28" t="n"/>
      <c r="DF458" s="31" t="n"/>
      <c r="DG458" s="29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34">
        <f>SUM(O458,U458,AA458,AG458,AM458,AS458,AY458,BE458,BK458,BQ458,BW458,CC458,CI458,CO458,CU458,DA458,DG458)</f>
        <v/>
      </c>
      <c r="DI458" s="39">
        <f>RANK(DH458,DH$4:DH$503)</f>
        <v/>
      </c>
      <c r="DJ458" s="40" t="inlineStr">
        <is>
          <t>CHOOSE RATING</t>
        </is>
      </c>
      <c r="DK458" s="40" t="inlineStr">
        <is>
          <t>CHOOSE RATING</t>
        </is>
      </c>
      <c r="DL458" s="40" t="inlineStr">
        <is>
          <t>CHOOSE RATING</t>
        </is>
      </c>
      <c r="DM458" s="40" t="inlineStr">
        <is>
          <t>CHOOSE RATING</t>
        </is>
      </c>
      <c r="DN458" s="40" t="inlineStr">
        <is>
          <t>CHOOSE RATING</t>
        </is>
      </c>
      <c r="DO458" s="40" t="inlineStr">
        <is>
          <t>CHOOSE RATING</t>
        </is>
      </c>
      <c r="DP458" s="40" t="inlineStr">
        <is>
          <t>CHOOSE RATING</t>
        </is>
      </c>
      <c r="DQ458" s="40" t="inlineStr">
        <is>
          <t>CHOOSE RATING</t>
        </is>
      </c>
      <c r="DR458" s="43" t="inlineStr">
        <is>
          <t>2024/2025</t>
        </is>
      </c>
      <c r="DS458" s="45" t="inlineStr">
        <is>
          <t>THIRD</t>
        </is>
      </c>
      <c r="DT458" s="40" t="inlineStr">
        <is>
          <t>CHOOSE RATING</t>
        </is>
      </c>
      <c r="DU458" s="40" t="inlineStr">
        <is>
          <t>CHOOSE RATING</t>
        </is>
      </c>
      <c r="DV458" s="40" t="inlineStr">
        <is>
          <t>CHOOSE RATING</t>
        </is>
      </c>
      <c r="DW458" s="40" t="inlineStr">
        <is>
          <t>CHOOSE RATING</t>
        </is>
      </c>
      <c r="DX458" s="40" t="inlineStr">
        <is>
          <t>CHOOSE RATING</t>
        </is>
      </c>
      <c r="DY458" s="40" t="inlineStr">
        <is>
          <t>CHOOSE RATING</t>
        </is>
      </c>
      <c r="DZ458" s="53" t="inlineStr">
        <is>
          <t>CHOOSE RATING</t>
        </is>
      </c>
      <c r="EA458" s="54" t="inlineStr">
        <is>
          <t>Add the Tutor's Comment . . .</t>
        </is>
      </c>
      <c r="EB458" s="55" t="inlineStr">
        <is>
          <t>Choose Principals comment</t>
        </is>
      </c>
      <c r="EC458" s="56" t="n"/>
      <c r="ED458" s="57" t="inlineStr">
        <is>
          <t>Next Term Begins on Monday, 22nd September, 2025</t>
        </is>
      </c>
    </row>
    <row r="459" ht="30.6" customHeight="1" s="6">
      <c r="A459" s="18" t="n">
        <v>456</v>
      </c>
      <c r="B459" s="19" t="n"/>
      <c r="C459" s="20" t="n"/>
      <c r="D459" s="128" t="n"/>
      <c r="E459" s="21" t="n"/>
      <c r="F459" s="22" t="n"/>
      <c r="G459" s="22" t="n"/>
      <c r="H459" s="22" t="n"/>
      <c r="I459" s="26">
        <f>G459-H459</f>
        <v/>
      </c>
      <c r="J459" s="21" t="n"/>
      <c r="K459" s="21" t="n"/>
      <c r="L459" s="27">
        <f>SUM(J459:K459)</f>
        <v/>
      </c>
      <c r="M459" s="28" t="n"/>
      <c r="N459" s="28" t="n"/>
      <c r="O459" s="29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1" t="n"/>
      <c r="Q459" s="21" t="n"/>
      <c r="R459" s="27">
        <f>SUM(P459:Q459)</f>
        <v/>
      </c>
      <c r="S459" s="28" t="n"/>
      <c r="T459" s="28" t="n"/>
      <c r="U459" s="29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1" t="n"/>
      <c r="W459" s="21" t="n"/>
      <c r="X459" s="27">
        <f>SUM(V459:W459)</f>
        <v/>
      </c>
      <c r="Y459" s="28" t="n"/>
      <c r="Z459" s="28" t="n"/>
      <c r="AA459" s="29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1" t="n"/>
      <c r="AC459" s="21" t="n"/>
      <c r="AD459" s="27">
        <f>SUM(AB459:AC459)</f>
        <v/>
      </c>
      <c r="AE459" s="28" t="n"/>
      <c r="AF459" s="28" t="n"/>
      <c r="AG459" s="29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1" t="n"/>
      <c r="AI459" s="21" t="n"/>
      <c r="AJ459" s="27">
        <f>SUM(AH459:AI459)</f>
        <v/>
      </c>
      <c r="AK459" s="28" t="n"/>
      <c r="AL459" s="28" t="n"/>
      <c r="AM459" s="29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1" t="n"/>
      <c r="AO459" s="21" t="n"/>
      <c r="AP459" s="27">
        <f>SUM(AN459:AO459)</f>
        <v/>
      </c>
      <c r="AQ459" s="28" t="n"/>
      <c r="AR459" s="30" t="n"/>
      <c r="AS459" s="29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1" t="n"/>
      <c r="AU459" s="21" t="n"/>
      <c r="AV459" s="27">
        <f>SUM(AT459:AU459)</f>
        <v/>
      </c>
      <c r="AW459" s="28" t="n"/>
      <c r="AX459" s="30" t="n"/>
      <c r="AY459" s="29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1" t="n"/>
      <c r="BA459" s="21" t="n"/>
      <c r="BB459" s="27">
        <f>SUM(AZ459:BA459)</f>
        <v/>
      </c>
      <c r="BC459" s="28" t="n"/>
      <c r="BD459" s="28" t="n"/>
      <c r="BE459" s="29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1" t="n"/>
      <c r="BG459" s="21" t="n"/>
      <c r="BH459" s="27">
        <f>SUM(BF459:BG459)</f>
        <v/>
      </c>
      <c r="BI459" s="28" t="n"/>
      <c r="BJ459" s="28" t="n"/>
      <c r="BK459" s="29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1" t="n"/>
      <c r="BM459" s="21" t="n"/>
      <c r="BN459" s="27">
        <f>SUM(BL459:BM459)</f>
        <v/>
      </c>
      <c r="BO459" s="28" t="n"/>
      <c r="BP459" s="31" t="n"/>
      <c r="BQ459" s="29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1" t="n"/>
      <c r="BS459" s="21" t="n"/>
      <c r="BT459" s="27">
        <f>SUM(BR459:BS459)</f>
        <v/>
      </c>
      <c r="BU459" s="28" t="n"/>
      <c r="BV459" s="31" t="n"/>
      <c r="BW459" s="29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1" t="n"/>
      <c r="BY459" s="21" t="n"/>
      <c r="BZ459" s="27">
        <f>SUM(BX459:BY459)</f>
        <v/>
      </c>
      <c r="CA459" s="28" t="n"/>
      <c r="CB459" s="31" t="n"/>
      <c r="CC459" s="29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1" t="n"/>
      <c r="CE459" s="21" t="n"/>
      <c r="CF459" s="27">
        <f>SUM(CD459:CE459)</f>
        <v/>
      </c>
      <c r="CG459" s="28" t="n"/>
      <c r="CH459" s="31" t="n"/>
      <c r="CI459" s="29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1" t="n"/>
      <c r="CK459" s="21" t="n"/>
      <c r="CL459" s="27">
        <f>SUM(CJ459:CK459)</f>
        <v/>
      </c>
      <c r="CM459" s="28" t="n"/>
      <c r="CN459" s="31" t="n"/>
      <c r="CO459" s="29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1" t="n"/>
      <c r="CQ459" s="21" t="n"/>
      <c r="CR459" s="27">
        <f>SUM(CP459:CQ459)</f>
        <v/>
      </c>
      <c r="CS459" s="28" t="n"/>
      <c r="CT459" s="31" t="n"/>
      <c r="CU459" s="29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1" t="n"/>
      <c r="CW459" s="21" t="n"/>
      <c r="CX459" s="27">
        <f>SUM(CV459:CW459)</f>
        <v/>
      </c>
      <c r="CY459" s="28" t="n"/>
      <c r="CZ459" s="31" t="n"/>
      <c r="DA459" s="29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1" t="n"/>
      <c r="DC459" s="21" t="n"/>
      <c r="DD459" s="27">
        <f>SUM(DB459:DC459)</f>
        <v/>
      </c>
      <c r="DE459" s="28" t="n"/>
      <c r="DF459" s="31" t="n"/>
      <c r="DG459" s="29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34">
        <f>SUM(O459,U459,AA459,AG459,AM459,AS459,AY459,BE459,BK459,BQ459,BW459,CC459,CI459,CO459,CU459,DA459,DG459)</f>
        <v/>
      </c>
      <c r="DI459" s="39">
        <f>RANK(DH459,DH$4:DH$503)</f>
        <v/>
      </c>
      <c r="DJ459" s="40" t="inlineStr">
        <is>
          <t>CHOOSE RATING</t>
        </is>
      </c>
      <c r="DK459" s="40" t="inlineStr">
        <is>
          <t>CHOOSE RATING</t>
        </is>
      </c>
      <c r="DL459" s="40" t="inlineStr">
        <is>
          <t>CHOOSE RATING</t>
        </is>
      </c>
      <c r="DM459" s="40" t="inlineStr">
        <is>
          <t>CHOOSE RATING</t>
        </is>
      </c>
      <c r="DN459" s="40" t="inlineStr">
        <is>
          <t>CHOOSE RATING</t>
        </is>
      </c>
      <c r="DO459" s="40" t="inlineStr">
        <is>
          <t>CHOOSE RATING</t>
        </is>
      </c>
      <c r="DP459" s="40" t="inlineStr">
        <is>
          <t>CHOOSE RATING</t>
        </is>
      </c>
      <c r="DQ459" s="40" t="inlineStr">
        <is>
          <t>CHOOSE RATING</t>
        </is>
      </c>
      <c r="DR459" s="43" t="inlineStr">
        <is>
          <t>2024/2025</t>
        </is>
      </c>
      <c r="DS459" s="45" t="inlineStr">
        <is>
          <t>THIRD</t>
        </is>
      </c>
      <c r="DT459" s="40" t="inlineStr">
        <is>
          <t>CHOOSE RATING</t>
        </is>
      </c>
      <c r="DU459" s="40" t="inlineStr">
        <is>
          <t>CHOOSE RATING</t>
        </is>
      </c>
      <c r="DV459" s="40" t="inlineStr">
        <is>
          <t>CHOOSE RATING</t>
        </is>
      </c>
      <c r="DW459" s="40" t="inlineStr">
        <is>
          <t>CHOOSE RATING</t>
        </is>
      </c>
      <c r="DX459" s="40" t="inlineStr">
        <is>
          <t>CHOOSE RATING</t>
        </is>
      </c>
      <c r="DY459" s="40" t="inlineStr">
        <is>
          <t>CHOOSE RATING</t>
        </is>
      </c>
      <c r="DZ459" s="53" t="inlineStr">
        <is>
          <t>CHOOSE RATING</t>
        </is>
      </c>
      <c r="EA459" s="54" t="inlineStr">
        <is>
          <t>Add the Tutor's Comment . . .</t>
        </is>
      </c>
      <c r="EB459" s="55" t="inlineStr">
        <is>
          <t>Choose Principals comment</t>
        </is>
      </c>
      <c r="EC459" s="56" t="n"/>
      <c r="ED459" s="57" t="inlineStr">
        <is>
          <t>Next Term Begins on Monday, 22nd September, 2025</t>
        </is>
      </c>
    </row>
    <row r="460" ht="30.6" customHeight="1" s="6">
      <c r="A460" s="18" t="n">
        <v>457</v>
      </c>
      <c r="B460" s="19" t="n"/>
      <c r="C460" s="20" t="n"/>
      <c r="D460" s="128" t="n"/>
      <c r="E460" s="21" t="n"/>
      <c r="F460" s="22" t="n"/>
      <c r="G460" s="22" t="n"/>
      <c r="H460" s="22" t="n"/>
      <c r="I460" s="26">
        <f>G460-H460</f>
        <v/>
      </c>
      <c r="J460" s="21" t="n"/>
      <c r="K460" s="21" t="n"/>
      <c r="L460" s="27">
        <f>SUM(J460:K460)</f>
        <v/>
      </c>
      <c r="M460" s="28" t="n"/>
      <c r="N460" s="28" t="n"/>
      <c r="O460" s="29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1" t="n"/>
      <c r="Q460" s="21" t="n"/>
      <c r="R460" s="27">
        <f>SUM(P460:Q460)</f>
        <v/>
      </c>
      <c r="S460" s="28" t="n"/>
      <c r="T460" s="28" t="n"/>
      <c r="U460" s="29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1" t="n"/>
      <c r="W460" s="21" t="n"/>
      <c r="X460" s="27">
        <f>SUM(V460:W460)</f>
        <v/>
      </c>
      <c r="Y460" s="28" t="n"/>
      <c r="Z460" s="28" t="n"/>
      <c r="AA460" s="29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1" t="n"/>
      <c r="AC460" s="21" t="n"/>
      <c r="AD460" s="27">
        <f>SUM(AB460:AC460)</f>
        <v/>
      </c>
      <c r="AE460" s="28" t="n"/>
      <c r="AF460" s="28" t="n"/>
      <c r="AG460" s="29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1" t="n"/>
      <c r="AI460" s="21" t="n"/>
      <c r="AJ460" s="27">
        <f>SUM(AH460:AI460)</f>
        <v/>
      </c>
      <c r="AK460" s="28" t="n"/>
      <c r="AL460" s="28" t="n"/>
      <c r="AM460" s="29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1" t="n"/>
      <c r="AO460" s="21" t="n"/>
      <c r="AP460" s="27">
        <f>SUM(AN460:AO460)</f>
        <v/>
      </c>
      <c r="AQ460" s="28" t="n"/>
      <c r="AR460" s="30" t="n"/>
      <c r="AS460" s="29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1" t="n"/>
      <c r="AU460" s="21" t="n"/>
      <c r="AV460" s="27">
        <f>SUM(AT460:AU460)</f>
        <v/>
      </c>
      <c r="AW460" s="28" t="n"/>
      <c r="AX460" s="30" t="n"/>
      <c r="AY460" s="29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1" t="n"/>
      <c r="BA460" s="21" t="n"/>
      <c r="BB460" s="27">
        <f>SUM(AZ460:BA460)</f>
        <v/>
      </c>
      <c r="BC460" s="28" t="n"/>
      <c r="BD460" s="28" t="n"/>
      <c r="BE460" s="29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1" t="n"/>
      <c r="BG460" s="21" t="n"/>
      <c r="BH460" s="27">
        <f>SUM(BF460:BG460)</f>
        <v/>
      </c>
      <c r="BI460" s="28" t="n"/>
      <c r="BJ460" s="28" t="n"/>
      <c r="BK460" s="29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1" t="n"/>
      <c r="BM460" s="21" t="n"/>
      <c r="BN460" s="27">
        <f>SUM(BL460:BM460)</f>
        <v/>
      </c>
      <c r="BO460" s="28" t="n"/>
      <c r="BP460" s="31" t="n"/>
      <c r="BQ460" s="29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1" t="n"/>
      <c r="BS460" s="21" t="n"/>
      <c r="BT460" s="27">
        <f>SUM(BR460:BS460)</f>
        <v/>
      </c>
      <c r="BU460" s="28" t="n"/>
      <c r="BV460" s="31" t="n"/>
      <c r="BW460" s="29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1" t="n"/>
      <c r="BY460" s="21" t="n"/>
      <c r="BZ460" s="27">
        <f>SUM(BX460:BY460)</f>
        <v/>
      </c>
      <c r="CA460" s="28" t="n"/>
      <c r="CB460" s="31" t="n"/>
      <c r="CC460" s="29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1" t="n"/>
      <c r="CE460" s="21" t="n"/>
      <c r="CF460" s="27">
        <f>SUM(CD460:CE460)</f>
        <v/>
      </c>
      <c r="CG460" s="28" t="n"/>
      <c r="CH460" s="31" t="n"/>
      <c r="CI460" s="29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1" t="n"/>
      <c r="CK460" s="21" t="n"/>
      <c r="CL460" s="27">
        <f>SUM(CJ460:CK460)</f>
        <v/>
      </c>
      <c r="CM460" s="28" t="n"/>
      <c r="CN460" s="31" t="n"/>
      <c r="CO460" s="29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1" t="n"/>
      <c r="CQ460" s="21" t="n"/>
      <c r="CR460" s="27">
        <f>SUM(CP460:CQ460)</f>
        <v/>
      </c>
      <c r="CS460" s="28" t="n"/>
      <c r="CT460" s="31" t="n"/>
      <c r="CU460" s="29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1" t="n"/>
      <c r="CW460" s="21" t="n"/>
      <c r="CX460" s="27">
        <f>SUM(CV460:CW460)</f>
        <v/>
      </c>
      <c r="CY460" s="28" t="n"/>
      <c r="CZ460" s="31" t="n"/>
      <c r="DA460" s="29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1" t="n"/>
      <c r="DC460" s="21" t="n"/>
      <c r="DD460" s="27">
        <f>SUM(DB460:DC460)</f>
        <v/>
      </c>
      <c r="DE460" s="28" t="n"/>
      <c r="DF460" s="31" t="n"/>
      <c r="DG460" s="29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34">
        <f>SUM(O460,U460,AA460,AG460,AM460,AS460,AY460,BE460,BK460,BQ460,BW460,CC460,CI460,CO460,CU460,DA460,DG460)</f>
        <v/>
      </c>
      <c r="DI460" s="39">
        <f>RANK(DH460,DH$4:DH$503)</f>
        <v/>
      </c>
      <c r="DJ460" s="40" t="inlineStr">
        <is>
          <t>CHOOSE RATING</t>
        </is>
      </c>
      <c r="DK460" s="40" t="inlineStr">
        <is>
          <t>CHOOSE RATING</t>
        </is>
      </c>
      <c r="DL460" s="40" t="inlineStr">
        <is>
          <t>CHOOSE RATING</t>
        </is>
      </c>
      <c r="DM460" s="40" t="inlineStr">
        <is>
          <t>CHOOSE RATING</t>
        </is>
      </c>
      <c r="DN460" s="40" t="inlineStr">
        <is>
          <t>CHOOSE RATING</t>
        </is>
      </c>
      <c r="DO460" s="40" t="inlineStr">
        <is>
          <t>CHOOSE RATING</t>
        </is>
      </c>
      <c r="DP460" s="40" t="inlineStr">
        <is>
          <t>CHOOSE RATING</t>
        </is>
      </c>
      <c r="DQ460" s="40" t="inlineStr">
        <is>
          <t>CHOOSE RATING</t>
        </is>
      </c>
      <c r="DR460" s="43" t="inlineStr">
        <is>
          <t>2024/2025</t>
        </is>
      </c>
      <c r="DS460" s="45" t="inlineStr">
        <is>
          <t>THIRD</t>
        </is>
      </c>
      <c r="DT460" s="40" t="inlineStr">
        <is>
          <t>CHOOSE RATING</t>
        </is>
      </c>
      <c r="DU460" s="40" t="inlineStr">
        <is>
          <t>CHOOSE RATING</t>
        </is>
      </c>
      <c r="DV460" s="40" t="inlineStr">
        <is>
          <t>CHOOSE RATING</t>
        </is>
      </c>
      <c r="DW460" s="40" t="inlineStr">
        <is>
          <t>CHOOSE RATING</t>
        </is>
      </c>
      <c r="DX460" s="40" t="inlineStr">
        <is>
          <t>CHOOSE RATING</t>
        </is>
      </c>
      <c r="DY460" s="40" t="inlineStr">
        <is>
          <t>CHOOSE RATING</t>
        </is>
      </c>
      <c r="DZ460" s="53" t="inlineStr">
        <is>
          <t>CHOOSE RATING</t>
        </is>
      </c>
      <c r="EA460" s="54" t="inlineStr">
        <is>
          <t>Add the Tutor's Comment . . .</t>
        </is>
      </c>
      <c r="EB460" s="55" t="inlineStr">
        <is>
          <t>Choose Principals comment</t>
        </is>
      </c>
      <c r="EC460" s="56" t="n"/>
      <c r="ED460" s="57" t="inlineStr">
        <is>
          <t>Next Term Begins on Monday, 22nd September, 2025</t>
        </is>
      </c>
    </row>
    <row r="461" ht="30.6" customHeight="1" s="6">
      <c r="A461" s="18" t="n">
        <v>458</v>
      </c>
      <c r="B461" s="19" t="n"/>
      <c r="C461" s="20" t="n"/>
      <c r="D461" s="128" t="n"/>
      <c r="E461" s="21" t="n"/>
      <c r="F461" s="22" t="n"/>
      <c r="G461" s="22" t="n"/>
      <c r="H461" s="22" t="n"/>
      <c r="I461" s="26">
        <f>G461-H461</f>
        <v/>
      </c>
      <c r="J461" s="21" t="n"/>
      <c r="K461" s="21" t="n"/>
      <c r="L461" s="27">
        <f>SUM(J461:K461)</f>
        <v/>
      </c>
      <c r="M461" s="28" t="n"/>
      <c r="N461" s="28" t="n"/>
      <c r="O461" s="29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1" t="n"/>
      <c r="Q461" s="21" t="n"/>
      <c r="R461" s="27">
        <f>SUM(P461:Q461)</f>
        <v/>
      </c>
      <c r="S461" s="28" t="n"/>
      <c r="T461" s="28" t="n"/>
      <c r="U461" s="29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1" t="n"/>
      <c r="W461" s="21" t="n"/>
      <c r="X461" s="27">
        <f>SUM(V461:W461)</f>
        <v/>
      </c>
      <c r="Y461" s="28" t="n"/>
      <c r="Z461" s="28" t="n"/>
      <c r="AA461" s="29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1" t="n"/>
      <c r="AC461" s="21" t="n"/>
      <c r="AD461" s="27">
        <f>SUM(AB461:AC461)</f>
        <v/>
      </c>
      <c r="AE461" s="28" t="n"/>
      <c r="AF461" s="28" t="n"/>
      <c r="AG461" s="29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1" t="n"/>
      <c r="AI461" s="21" t="n"/>
      <c r="AJ461" s="27">
        <f>SUM(AH461:AI461)</f>
        <v/>
      </c>
      <c r="AK461" s="28" t="n"/>
      <c r="AL461" s="28" t="n"/>
      <c r="AM461" s="29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1" t="n"/>
      <c r="AO461" s="21" t="n"/>
      <c r="AP461" s="27">
        <f>SUM(AN461:AO461)</f>
        <v/>
      </c>
      <c r="AQ461" s="28" t="n"/>
      <c r="AR461" s="30" t="n"/>
      <c r="AS461" s="29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1" t="n"/>
      <c r="AU461" s="21" t="n"/>
      <c r="AV461" s="27">
        <f>SUM(AT461:AU461)</f>
        <v/>
      </c>
      <c r="AW461" s="28" t="n"/>
      <c r="AX461" s="30" t="n"/>
      <c r="AY461" s="29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1" t="n"/>
      <c r="BA461" s="21" t="n"/>
      <c r="BB461" s="27">
        <f>SUM(AZ461:BA461)</f>
        <v/>
      </c>
      <c r="BC461" s="28" t="n"/>
      <c r="BD461" s="28" t="n"/>
      <c r="BE461" s="29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1" t="n"/>
      <c r="BG461" s="21" t="n"/>
      <c r="BH461" s="27">
        <f>SUM(BF461:BG461)</f>
        <v/>
      </c>
      <c r="BI461" s="28" t="n"/>
      <c r="BJ461" s="28" t="n"/>
      <c r="BK461" s="29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1" t="n"/>
      <c r="BM461" s="21" t="n"/>
      <c r="BN461" s="27">
        <f>SUM(BL461:BM461)</f>
        <v/>
      </c>
      <c r="BO461" s="28" t="n"/>
      <c r="BP461" s="31" t="n"/>
      <c r="BQ461" s="29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1" t="n"/>
      <c r="BS461" s="21" t="n"/>
      <c r="BT461" s="27">
        <f>SUM(BR461:BS461)</f>
        <v/>
      </c>
      <c r="BU461" s="28" t="n"/>
      <c r="BV461" s="31" t="n"/>
      <c r="BW461" s="29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1" t="n"/>
      <c r="BY461" s="21" t="n"/>
      <c r="BZ461" s="27">
        <f>SUM(BX461:BY461)</f>
        <v/>
      </c>
      <c r="CA461" s="28" t="n"/>
      <c r="CB461" s="31" t="n"/>
      <c r="CC461" s="29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1" t="n"/>
      <c r="CE461" s="21" t="n"/>
      <c r="CF461" s="27">
        <f>SUM(CD461:CE461)</f>
        <v/>
      </c>
      <c r="CG461" s="28" t="n"/>
      <c r="CH461" s="31" t="n"/>
      <c r="CI461" s="29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1" t="n"/>
      <c r="CK461" s="21" t="n"/>
      <c r="CL461" s="27">
        <f>SUM(CJ461:CK461)</f>
        <v/>
      </c>
      <c r="CM461" s="28" t="n"/>
      <c r="CN461" s="31" t="n"/>
      <c r="CO461" s="29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1" t="n"/>
      <c r="CQ461" s="21" t="n"/>
      <c r="CR461" s="27">
        <f>SUM(CP461:CQ461)</f>
        <v/>
      </c>
      <c r="CS461" s="28" t="n"/>
      <c r="CT461" s="31" t="n"/>
      <c r="CU461" s="29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1" t="n"/>
      <c r="CW461" s="21" t="n"/>
      <c r="CX461" s="27">
        <f>SUM(CV461:CW461)</f>
        <v/>
      </c>
      <c r="CY461" s="28" t="n"/>
      <c r="CZ461" s="31" t="n"/>
      <c r="DA461" s="29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1" t="n"/>
      <c r="DC461" s="21" t="n"/>
      <c r="DD461" s="27">
        <f>SUM(DB461:DC461)</f>
        <v/>
      </c>
      <c r="DE461" s="28" t="n"/>
      <c r="DF461" s="31" t="n"/>
      <c r="DG461" s="29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34">
        <f>SUM(O461,U461,AA461,AG461,AM461,AS461,AY461,BE461,BK461,BQ461,BW461,CC461,CI461,CO461,CU461,DA461,DG461)</f>
        <v/>
      </c>
      <c r="DI461" s="39">
        <f>RANK(DH461,DH$4:DH$503)</f>
        <v/>
      </c>
      <c r="DJ461" s="40" t="inlineStr">
        <is>
          <t>CHOOSE RATING</t>
        </is>
      </c>
      <c r="DK461" s="40" t="inlineStr">
        <is>
          <t>CHOOSE RATING</t>
        </is>
      </c>
      <c r="DL461" s="40" t="inlineStr">
        <is>
          <t>CHOOSE RATING</t>
        </is>
      </c>
      <c r="DM461" s="40" t="inlineStr">
        <is>
          <t>CHOOSE RATING</t>
        </is>
      </c>
      <c r="DN461" s="40" t="inlineStr">
        <is>
          <t>CHOOSE RATING</t>
        </is>
      </c>
      <c r="DO461" s="40" t="inlineStr">
        <is>
          <t>CHOOSE RATING</t>
        </is>
      </c>
      <c r="DP461" s="40" t="inlineStr">
        <is>
          <t>CHOOSE RATING</t>
        </is>
      </c>
      <c r="DQ461" s="40" t="inlineStr">
        <is>
          <t>CHOOSE RATING</t>
        </is>
      </c>
      <c r="DR461" s="43" t="inlineStr">
        <is>
          <t>2024/2025</t>
        </is>
      </c>
      <c r="DS461" s="45" t="inlineStr">
        <is>
          <t>THIRD</t>
        </is>
      </c>
      <c r="DT461" s="40" t="inlineStr">
        <is>
          <t>CHOOSE RATING</t>
        </is>
      </c>
      <c r="DU461" s="40" t="inlineStr">
        <is>
          <t>CHOOSE RATING</t>
        </is>
      </c>
      <c r="DV461" s="40" t="inlineStr">
        <is>
          <t>CHOOSE RATING</t>
        </is>
      </c>
      <c r="DW461" s="40" t="inlineStr">
        <is>
          <t>CHOOSE RATING</t>
        </is>
      </c>
      <c r="DX461" s="40" t="inlineStr">
        <is>
          <t>CHOOSE RATING</t>
        </is>
      </c>
      <c r="DY461" s="40" t="inlineStr">
        <is>
          <t>CHOOSE RATING</t>
        </is>
      </c>
      <c r="DZ461" s="53" t="inlineStr">
        <is>
          <t>CHOOSE RATING</t>
        </is>
      </c>
      <c r="EA461" s="54" t="inlineStr">
        <is>
          <t>Add the Tutor's Comment . . .</t>
        </is>
      </c>
      <c r="EB461" s="55" t="inlineStr">
        <is>
          <t>Choose Principals comment</t>
        </is>
      </c>
      <c r="EC461" s="56" t="n"/>
      <c r="ED461" s="57" t="inlineStr">
        <is>
          <t>Next Term Begins on Monday, 22nd September, 2025</t>
        </is>
      </c>
    </row>
    <row r="462" ht="30.6" customHeight="1" s="6">
      <c r="A462" s="18" t="n">
        <v>459</v>
      </c>
      <c r="B462" s="19" t="n"/>
      <c r="C462" s="20" t="n"/>
      <c r="D462" s="128" t="n"/>
      <c r="E462" s="21" t="n"/>
      <c r="F462" s="22" t="n"/>
      <c r="G462" s="22" t="n"/>
      <c r="H462" s="22" t="n"/>
      <c r="I462" s="26">
        <f>G462-H462</f>
        <v/>
      </c>
      <c r="J462" s="21" t="n"/>
      <c r="K462" s="21" t="n"/>
      <c r="L462" s="27">
        <f>SUM(J462:K462)</f>
        <v/>
      </c>
      <c r="M462" s="28" t="n"/>
      <c r="N462" s="28" t="n"/>
      <c r="O462" s="29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1" t="n"/>
      <c r="Q462" s="21" t="n"/>
      <c r="R462" s="27">
        <f>SUM(P462:Q462)</f>
        <v/>
      </c>
      <c r="S462" s="28" t="n"/>
      <c r="T462" s="28" t="n"/>
      <c r="U462" s="29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1" t="n"/>
      <c r="W462" s="21" t="n"/>
      <c r="X462" s="27">
        <f>SUM(V462:W462)</f>
        <v/>
      </c>
      <c r="Y462" s="28" t="n"/>
      <c r="Z462" s="28" t="n"/>
      <c r="AA462" s="29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1" t="n"/>
      <c r="AC462" s="21" t="n"/>
      <c r="AD462" s="27">
        <f>SUM(AB462:AC462)</f>
        <v/>
      </c>
      <c r="AE462" s="28" t="n"/>
      <c r="AF462" s="28" t="n"/>
      <c r="AG462" s="29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1" t="n"/>
      <c r="AI462" s="21" t="n"/>
      <c r="AJ462" s="27">
        <f>SUM(AH462:AI462)</f>
        <v/>
      </c>
      <c r="AK462" s="28" t="n"/>
      <c r="AL462" s="28" t="n"/>
      <c r="AM462" s="29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1" t="n"/>
      <c r="AO462" s="21" t="n"/>
      <c r="AP462" s="27">
        <f>SUM(AN462:AO462)</f>
        <v/>
      </c>
      <c r="AQ462" s="28" t="n"/>
      <c r="AR462" s="30" t="n"/>
      <c r="AS462" s="29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1" t="n"/>
      <c r="AU462" s="21" t="n"/>
      <c r="AV462" s="27">
        <f>SUM(AT462:AU462)</f>
        <v/>
      </c>
      <c r="AW462" s="28" t="n"/>
      <c r="AX462" s="30" t="n"/>
      <c r="AY462" s="29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1" t="n"/>
      <c r="BA462" s="21" t="n"/>
      <c r="BB462" s="27">
        <f>SUM(AZ462:BA462)</f>
        <v/>
      </c>
      <c r="BC462" s="28" t="n"/>
      <c r="BD462" s="28" t="n"/>
      <c r="BE462" s="29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1" t="n"/>
      <c r="BG462" s="21" t="n"/>
      <c r="BH462" s="27">
        <f>SUM(BF462:BG462)</f>
        <v/>
      </c>
      <c r="BI462" s="28" t="n"/>
      <c r="BJ462" s="28" t="n"/>
      <c r="BK462" s="29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1" t="n"/>
      <c r="BM462" s="21" t="n"/>
      <c r="BN462" s="27">
        <f>SUM(BL462:BM462)</f>
        <v/>
      </c>
      <c r="BO462" s="28" t="n"/>
      <c r="BP462" s="31" t="n"/>
      <c r="BQ462" s="29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1" t="n"/>
      <c r="BS462" s="21" t="n"/>
      <c r="BT462" s="27">
        <f>SUM(BR462:BS462)</f>
        <v/>
      </c>
      <c r="BU462" s="28" t="n"/>
      <c r="BV462" s="31" t="n"/>
      <c r="BW462" s="29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1" t="n"/>
      <c r="BY462" s="21" t="n"/>
      <c r="BZ462" s="27">
        <f>SUM(BX462:BY462)</f>
        <v/>
      </c>
      <c r="CA462" s="28" t="n"/>
      <c r="CB462" s="31" t="n"/>
      <c r="CC462" s="29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1" t="n"/>
      <c r="CE462" s="21" t="n"/>
      <c r="CF462" s="27">
        <f>SUM(CD462:CE462)</f>
        <v/>
      </c>
      <c r="CG462" s="28" t="n"/>
      <c r="CH462" s="31" t="n"/>
      <c r="CI462" s="29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1" t="n"/>
      <c r="CK462" s="21" t="n"/>
      <c r="CL462" s="27">
        <f>SUM(CJ462:CK462)</f>
        <v/>
      </c>
      <c r="CM462" s="28" t="n"/>
      <c r="CN462" s="31" t="n"/>
      <c r="CO462" s="29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1" t="n"/>
      <c r="CQ462" s="21" t="n"/>
      <c r="CR462" s="27">
        <f>SUM(CP462:CQ462)</f>
        <v/>
      </c>
      <c r="CS462" s="28" t="n"/>
      <c r="CT462" s="31" t="n"/>
      <c r="CU462" s="29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1" t="n"/>
      <c r="CW462" s="21" t="n"/>
      <c r="CX462" s="27">
        <f>SUM(CV462:CW462)</f>
        <v/>
      </c>
      <c r="CY462" s="28" t="n"/>
      <c r="CZ462" s="31" t="n"/>
      <c r="DA462" s="29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1" t="n"/>
      <c r="DC462" s="21" t="n"/>
      <c r="DD462" s="27">
        <f>SUM(DB462:DC462)</f>
        <v/>
      </c>
      <c r="DE462" s="28" t="n"/>
      <c r="DF462" s="31" t="n"/>
      <c r="DG462" s="29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34">
        <f>SUM(O462,U462,AA462,AG462,AM462,AS462,AY462,BE462,BK462,BQ462,BW462,CC462,CI462,CO462,CU462,DA462,DG462)</f>
        <v/>
      </c>
      <c r="DI462" s="39">
        <f>RANK(DH462,DH$4:DH$503)</f>
        <v/>
      </c>
      <c r="DJ462" s="40" t="inlineStr">
        <is>
          <t>CHOOSE RATING</t>
        </is>
      </c>
      <c r="DK462" s="40" t="inlineStr">
        <is>
          <t>CHOOSE RATING</t>
        </is>
      </c>
      <c r="DL462" s="40" t="inlineStr">
        <is>
          <t>CHOOSE RATING</t>
        </is>
      </c>
      <c r="DM462" s="40" t="inlineStr">
        <is>
          <t>CHOOSE RATING</t>
        </is>
      </c>
      <c r="DN462" s="40" t="inlineStr">
        <is>
          <t>CHOOSE RATING</t>
        </is>
      </c>
      <c r="DO462" s="40" t="inlineStr">
        <is>
          <t>CHOOSE RATING</t>
        </is>
      </c>
      <c r="DP462" s="40" t="inlineStr">
        <is>
          <t>CHOOSE RATING</t>
        </is>
      </c>
      <c r="DQ462" s="40" t="inlineStr">
        <is>
          <t>CHOOSE RATING</t>
        </is>
      </c>
      <c r="DR462" s="43" t="inlineStr">
        <is>
          <t>2024/2025</t>
        </is>
      </c>
      <c r="DS462" s="45" t="inlineStr">
        <is>
          <t>THIRD</t>
        </is>
      </c>
      <c r="DT462" s="40" t="inlineStr">
        <is>
          <t>CHOOSE RATING</t>
        </is>
      </c>
      <c r="DU462" s="40" t="inlineStr">
        <is>
          <t>CHOOSE RATING</t>
        </is>
      </c>
      <c r="DV462" s="40" t="inlineStr">
        <is>
          <t>CHOOSE RATING</t>
        </is>
      </c>
      <c r="DW462" s="40" t="inlineStr">
        <is>
          <t>CHOOSE RATING</t>
        </is>
      </c>
      <c r="DX462" s="40" t="inlineStr">
        <is>
          <t>CHOOSE RATING</t>
        </is>
      </c>
      <c r="DY462" s="40" t="inlineStr">
        <is>
          <t>CHOOSE RATING</t>
        </is>
      </c>
      <c r="DZ462" s="53" t="inlineStr">
        <is>
          <t>CHOOSE RATING</t>
        </is>
      </c>
      <c r="EA462" s="54" t="inlineStr">
        <is>
          <t>Add the Tutor's Comment . . .</t>
        </is>
      </c>
      <c r="EB462" s="55" t="inlineStr">
        <is>
          <t>Choose Principals comment</t>
        </is>
      </c>
      <c r="EC462" s="56" t="n"/>
      <c r="ED462" s="57" t="inlineStr">
        <is>
          <t>Next Term Begins on Monday, 22nd September, 2025</t>
        </is>
      </c>
    </row>
    <row r="463" ht="30.6" customHeight="1" s="6">
      <c r="A463" s="18" t="n">
        <v>460</v>
      </c>
      <c r="B463" s="19" t="n"/>
      <c r="C463" s="20" t="n"/>
      <c r="D463" s="128" t="n"/>
      <c r="E463" s="21" t="n"/>
      <c r="F463" s="22" t="n"/>
      <c r="G463" s="22" t="n"/>
      <c r="H463" s="22" t="n"/>
      <c r="I463" s="26">
        <f>G463-H463</f>
        <v/>
      </c>
      <c r="J463" s="21" t="n"/>
      <c r="K463" s="21" t="n"/>
      <c r="L463" s="27">
        <f>SUM(J463:K463)</f>
        <v/>
      </c>
      <c r="M463" s="28" t="n"/>
      <c r="N463" s="28" t="n"/>
      <c r="O463" s="29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1" t="n"/>
      <c r="Q463" s="21" t="n"/>
      <c r="R463" s="27">
        <f>SUM(P463:Q463)</f>
        <v/>
      </c>
      <c r="S463" s="28" t="n"/>
      <c r="T463" s="28" t="n"/>
      <c r="U463" s="29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1" t="n"/>
      <c r="W463" s="21" t="n"/>
      <c r="X463" s="27">
        <f>SUM(V463:W463)</f>
        <v/>
      </c>
      <c r="Y463" s="28" t="n"/>
      <c r="Z463" s="28" t="n"/>
      <c r="AA463" s="29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1" t="n"/>
      <c r="AC463" s="21" t="n"/>
      <c r="AD463" s="27">
        <f>SUM(AB463:AC463)</f>
        <v/>
      </c>
      <c r="AE463" s="28" t="n"/>
      <c r="AF463" s="28" t="n"/>
      <c r="AG463" s="29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1" t="n"/>
      <c r="AI463" s="21" t="n"/>
      <c r="AJ463" s="27">
        <f>SUM(AH463:AI463)</f>
        <v/>
      </c>
      <c r="AK463" s="28" t="n"/>
      <c r="AL463" s="28" t="n"/>
      <c r="AM463" s="29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1" t="n"/>
      <c r="AO463" s="21" t="n"/>
      <c r="AP463" s="27">
        <f>SUM(AN463:AO463)</f>
        <v/>
      </c>
      <c r="AQ463" s="28" t="n"/>
      <c r="AR463" s="30" t="n"/>
      <c r="AS463" s="29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1" t="n"/>
      <c r="AU463" s="21" t="n"/>
      <c r="AV463" s="27">
        <f>SUM(AT463:AU463)</f>
        <v/>
      </c>
      <c r="AW463" s="28" t="n"/>
      <c r="AX463" s="30" t="n"/>
      <c r="AY463" s="29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1" t="n"/>
      <c r="BA463" s="21" t="n"/>
      <c r="BB463" s="27">
        <f>SUM(AZ463:BA463)</f>
        <v/>
      </c>
      <c r="BC463" s="28" t="n"/>
      <c r="BD463" s="28" t="n"/>
      <c r="BE463" s="29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1" t="n"/>
      <c r="BG463" s="21" t="n"/>
      <c r="BH463" s="27">
        <f>SUM(BF463:BG463)</f>
        <v/>
      </c>
      <c r="BI463" s="28" t="n"/>
      <c r="BJ463" s="28" t="n"/>
      <c r="BK463" s="29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1" t="n"/>
      <c r="BM463" s="21" t="n"/>
      <c r="BN463" s="27">
        <f>SUM(BL463:BM463)</f>
        <v/>
      </c>
      <c r="BO463" s="28" t="n"/>
      <c r="BP463" s="31" t="n"/>
      <c r="BQ463" s="29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1" t="n"/>
      <c r="BS463" s="21" t="n"/>
      <c r="BT463" s="27">
        <f>SUM(BR463:BS463)</f>
        <v/>
      </c>
      <c r="BU463" s="28" t="n"/>
      <c r="BV463" s="31" t="n"/>
      <c r="BW463" s="29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1" t="n"/>
      <c r="BY463" s="21" t="n"/>
      <c r="BZ463" s="27">
        <f>SUM(BX463:BY463)</f>
        <v/>
      </c>
      <c r="CA463" s="28" t="n"/>
      <c r="CB463" s="31" t="n"/>
      <c r="CC463" s="29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1" t="n"/>
      <c r="CE463" s="21" t="n"/>
      <c r="CF463" s="27">
        <f>SUM(CD463:CE463)</f>
        <v/>
      </c>
      <c r="CG463" s="28" t="n"/>
      <c r="CH463" s="31" t="n"/>
      <c r="CI463" s="29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1" t="n"/>
      <c r="CK463" s="21" t="n"/>
      <c r="CL463" s="27">
        <f>SUM(CJ463:CK463)</f>
        <v/>
      </c>
      <c r="CM463" s="28" t="n"/>
      <c r="CN463" s="31" t="n"/>
      <c r="CO463" s="29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1" t="n"/>
      <c r="CQ463" s="21" t="n"/>
      <c r="CR463" s="27">
        <f>SUM(CP463:CQ463)</f>
        <v/>
      </c>
      <c r="CS463" s="28" t="n"/>
      <c r="CT463" s="31" t="n"/>
      <c r="CU463" s="29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1" t="n"/>
      <c r="CW463" s="21" t="n"/>
      <c r="CX463" s="27">
        <f>SUM(CV463:CW463)</f>
        <v/>
      </c>
      <c r="CY463" s="28" t="n"/>
      <c r="CZ463" s="31" t="n"/>
      <c r="DA463" s="29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1" t="n"/>
      <c r="DC463" s="21" t="n"/>
      <c r="DD463" s="27">
        <f>SUM(DB463:DC463)</f>
        <v/>
      </c>
      <c r="DE463" s="28" t="n"/>
      <c r="DF463" s="31" t="n"/>
      <c r="DG463" s="29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34">
        <f>SUM(O463,U463,AA463,AG463,AM463,AS463,AY463,BE463,BK463,BQ463,BW463,CC463,CI463,CO463,CU463,DA463,DG463)</f>
        <v/>
      </c>
      <c r="DI463" s="39">
        <f>RANK(DH463,DH$4:DH$503)</f>
        <v/>
      </c>
      <c r="DJ463" s="40" t="inlineStr">
        <is>
          <t>CHOOSE RATING</t>
        </is>
      </c>
      <c r="DK463" s="40" t="inlineStr">
        <is>
          <t>CHOOSE RATING</t>
        </is>
      </c>
      <c r="DL463" s="40" t="inlineStr">
        <is>
          <t>CHOOSE RATING</t>
        </is>
      </c>
      <c r="DM463" s="40" t="inlineStr">
        <is>
          <t>CHOOSE RATING</t>
        </is>
      </c>
      <c r="DN463" s="40" t="inlineStr">
        <is>
          <t>CHOOSE RATING</t>
        </is>
      </c>
      <c r="DO463" s="40" t="inlineStr">
        <is>
          <t>CHOOSE RATING</t>
        </is>
      </c>
      <c r="DP463" s="40" t="inlineStr">
        <is>
          <t>CHOOSE RATING</t>
        </is>
      </c>
      <c r="DQ463" s="40" t="inlineStr">
        <is>
          <t>CHOOSE RATING</t>
        </is>
      </c>
      <c r="DR463" s="43" t="inlineStr">
        <is>
          <t>2024/2025</t>
        </is>
      </c>
      <c r="DS463" s="45" t="inlineStr">
        <is>
          <t>THIRD</t>
        </is>
      </c>
      <c r="DT463" s="40" t="inlineStr">
        <is>
          <t>CHOOSE RATING</t>
        </is>
      </c>
      <c r="DU463" s="40" t="inlineStr">
        <is>
          <t>CHOOSE RATING</t>
        </is>
      </c>
      <c r="DV463" s="40" t="inlineStr">
        <is>
          <t>CHOOSE RATING</t>
        </is>
      </c>
      <c r="DW463" s="40" t="inlineStr">
        <is>
          <t>CHOOSE RATING</t>
        </is>
      </c>
      <c r="DX463" s="40" t="inlineStr">
        <is>
          <t>CHOOSE RATING</t>
        </is>
      </c>
      <c r="DY463" s="40" t="inlineStr">
        <is>
          <t>CHOOSE RATING</t>
        </is>
      </c>
      <c r="DZ463" s="53" t="inlineStr">
        <is>
          <t>CHOOSE RATING</t>
        </is>
      </c>
      <c r="EA463" s="54" t="inlineStr">
        <is>
          <t>Add the Tutor's Comment . . .</t>
        </is>
      </c>
      <c r="EB463" s="55" t="inlineStr">
        <is>
          <t>Choose Principals comment</t>
        </is>
      </c>
      <c r="EC463" s="56" t="n"/>
      <c r="ED463" s="57" t="inlineStr">
        <is>
          <t>Next Term Begins on Monday, 22nd September, 2025</t>
        </is>
      </c>
    </row>
    <row r="464" ht="30.6" customHeight="1" s="6">
      <c r="A464" s="18" t="n">
        <v>461</v>
      </c>
      <c r="B464" s="19" t="n"/>
      <c r="C464" s="20" t="n"/>
      <c r="D464" s="128" t="n"/>
      <c r="E464" s="21" t="n"/>
      <c r="F464" s="22" t="n"/>
      <c r="G464" s="22" t="n"/>
      <c r="H464" s="22" t="n"/>
      <c r="I464" s="26">
        <f>G464-H464</f>
        <v/>
      </c>
      <c r="J464" s="21" t="n"/>
      <c r="K464" s="21" t="n"/>
      <c r="L464" s="27">
        <f>SUM(J464:K464)</f>
        <v/>
      </c>
      <c r="M464" s="28" t="n"/>
      <c r="N464" s="28" t="n"/>
      <c r="O464" s="29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1" t="n"/>
      <c r="Q464" s="21" t="n"/>
      <c r="R464" s="27">
        <f>SUM(P464:Q464)</f>
        <v/>
      </c>
      <c r="S464" s="28" t="n"/>
      <c r="T464" s="28" t="n"/>
      <c r="U464" s="29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1" t="n"/>
      <c r="W464" s="21" t="n"/>
      <c r="X464" s="27">
        <f>SUM(V464:W464)</f>
        <v/>
      </c>
      <c r="Y464" s="28" t="n"/>
      <c r="Z464" s="28" t="n"/>
      <c r="AA464" s="29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1" t="n"/>
      <c r="AC464" s="21" t="n"/>
      <c r="AD464" s="27">
        <f>SUM(AB464:AC464)</f>
        <v/>
      </c>
      <c r="AE464" s="28" t="n"/>
      <c r="AF464" s="28" t="n"/>
      <c r="AG464" s="29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1" t="n"/>
      <c r="AI464" s="21" t="n"/>
      <c r="AJ464" s="27">
        <f>SUM(AH464:AI464)</f>
        <v/>
      </c>
      <c r="AK464" s="28" t="n"/>
      <c r="AL464" s="28" t="n"/>
      <c r="AM464" s="29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1" t="n"/>
      <c r="AO464" s="21" t="n"/>
      <c r="AP464" s="27">
        <f>SUM(AN464:AO464)</f>
        <v/>
      </c>
      <c r="AQ464" s="28" t="n"/>
      <c r="AR464" s="30" t="n"/>
      <c r="AS464" s="29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1" t="n"/>
      <c r="AU464" s="21" t="n"/>
      <c r="AV464" s="27">
        <f>SUM(AT464:AU464)</f>
        <v/>
      </c>
      <c r="AW464" s="28" t="n"/>
      <c r="AX464" s="30" t="n"/>
      <c r="AY464" s="29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1" t="n"/>
      <c r="BA464" s="21" t="n"/>
      <c r="BB464" s="27">
        <f>SUM(AZ464:BA464)</f>
        <v/>
      </c>
      <c r="BC464" s="28" t="n"/>
      <c r="BD464" s="28" t="n"/>
      <c r="BE464" s="29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1" t="n"/>
      <c r="BG464" s="21" t="n"/>
      <c r="BH464" s="27">
        <f>SUM(BF464:BG464)</f>
        <v/>
      </c>
      <c r="BI464" s="28" t="n"/>
      <c r="BJ464" s="28" t="n"/>
      <c r="BK464" s="29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1" t="n"/>
      <c r="BM464" s="21" t="n"/>
      <c r="BN464" s="27">
        <f>SUM(BL464:BM464)</f>
        <v/>
      </c>
      <c r="BO464" s="28" t="n"/>
      <c r="BP464" s="31" t="n"/>
      <c r="BQ464" s="29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1" t="n"/>
      <c r="BS464" s="21" t="n"/>
      <c r="BT464" s="27">
        <f>SUM(BR464:BS464)</f>
        <v/>
      </c>
      <c r="BU464" s="28" t="n"/>
      <c r="BV464" s="31" t="n"/>
      <c r="BW464" s="29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1" t="n"/>
      <c r="BY464" s="21" t="n"/>
      <c r="BZ464" s="27">
        <f>SUM(BX464:BY464)</f>
        <v/>
      </c>
      <c r="CA464" s="28" t="n"/>
      <c r="CB464" s="31" t="n"/>
      <c r="CC464" s="29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1" t="n"/>
      <c r="CE464" s="21" t="n"/>
      <c r="CF464" s="27">
        <f>SUM(CD464:CE464)</f>
        <v/>
      </c>
      <c r="CG464" s="28" t="n"/>
      <c r="CH464" s="31" t="n"/>
      <c r="CI464" s="29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1" t="n"/>
      <c r="CK464" s="21" t="n"/>
      <c r="CL464" s="27">
        <f>SUM(CJ464:CK464)</f>
        <v/>
      </c>
      <c r="CM464" s="28" t="n"/>
      <c r="CN464" s="31" t="n"/>
      <c r="CO464" s="29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1" t="n"/>
      <c r="CQ464" s="21" t="n"/>
      <c r="CR464" s="27">
        <f>SUM(CP464:CQ464)</f>
        <v/>
      </c>
      <c r="CS464" s="28" t="n"/>
      <c r="CT464" s="31" t="n"/>
      <c r="CU464" s="29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1" t="n"/>
      <c r="CW464" s="21" t="n"/>
      <c r="CX464" s="27">
        <f>SUM(CV464:CW464)</f>
        <v/>
      </c>
      <c r="CY464" s="28" t="n"/>
      <c r="CZ464" s="31" t="n"/>
      <c r="DA464" s="29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1" t="n"/>
      <c r="DC464" s="21" t="n"/>
      <c r="DD464" s="27">
        <f>SUM(DB464:DC464)</f>
        <v/>
      </c>
      <c r="DE464" s="28" t="n"/>
      <c r="DF464" s="31" t="n"/>
      <c r="DG464" s="29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34">
        <f>SUM(O464,U464,AA464,AG464,AM464,AS464,AY464,BE464,BK464,BQ464,BW464,CC464,CI464,CO464,CU464,DA464,DG464)</f>
        <v/>
      </c>
      <c r="DI464" s="39">
        <f>RANK(DH464,DH$4:DH$503)</f>
        <v/>
      </c>
      <c r="DJ464" s="40" t="inlineStr">
        <is>
          <t>CHOOSE RATING</t>
        </is>
      </c>
      <c r="DK464" s="40" t="inlineStr">
        <is>
          <t>CHOOSE RATING</t>
        </is>
      </c>
      <c r="DL464" s="40" t="inlineStr">
        <is>
          <t>CHOOSE RATING</t>
        </is>
      </c>
      <c r="DM464" s="40" t="inlineStr">
        <is>
          <t>CHOOSE RATING</t>
        </is>
      </c>
      <c r="DN464" s="40" t="inlineStr">
        <is>
          <t>CHOOSE RATING</t>
        </is>
      </c>
      <c r="DO464" s="40" t="inlineStr">
        <is>
          <t>CHOOSE RATING</t>
        </is>
      </c>
      <c r="DP464" s="40" t="inlineStr">
        <is>
          <t>CHOOSE RATING</t>
        </is>
      </c>
      <c r="DQ464" s="40" t="inlineStr">
        <is>
          <t>CHOOSE RATING</t>
        </is>
      </c>
      <c r="DR464" s="43" t="inlineStr">
        <is>
          <t>2024/2025</t>
        </is>
      </c>
      <c r="DS464" s="45" t="inlineStr">
        <is>
          <t>THIRD</t>
        </is>
      </c>
      <c r="DT464" s="40" t="inlineStr">
        <is>
          <t>CHOOSE RATING</t>
        </is>
      </c>
      <c r="DU464" s="40" t="inlineStr">
        <is>
          <t>CHOOSE RATING</t>
        </is>
      </c>
      <c r="DV464" s="40" t="inlineStr">
        <is>
          <t>CHOOSE RATING</t>
        </is>
      </c>
      <c r="DW464" s="40" t="inlineStr">
        <is>
          <t>CHOOSE RATING</t>
        </is>
      </c>
      <c r="DX464" s="40" t="inlineStr">
        <is>
          <t>CHOOSE RATING</t>
        </is>
      </c>
      <c r="DY464" s="40" t="inlineStr">
        <is>
          <t>CHOOSE RATING</t>
        </is>
      </c>
      <c r="DZ464" s="53" t="inlineStr">
        <is>
          <t>CHOOSE RATING</t>
        </is>
      </c>
      <c r="EA464" s="54" t="inlineStr">
        <is>
          <t>Add the Tutor's Comment . . .</t>
        </is>
      </c>
      <c r="EB464" s="55" t="inlineStr">
        <is>
          <t>Choose Principals comment</t>
        </is>
      </c>
      <c r="EC464" s="56" t="n"/>
      <c r="ED464" s="57" t="inlineStr">
        <is>
          <t>Next Term Begins on Monday, 22nd September, 2025</t>
        </is>
      </c>
    </row>
    <row r="465" ht="30.6" customHeight="1" s="6">
      <c r="A465" s="18" t="n">
        <v>462</v>
      </c>
      <c r="B465" s="19" t="n"/>
      <c r="C465" s="20" t="n"/>
      <c r="D465" s="128" t="n"/>
      <c r="E465" s="21" t="n"/>
      <c r="F465" s="22" t="n"/>
      <c r="G465" s="22" t="n"/>
      <c r="H465" s="22" t="n"/>
      <c r="I465" s="26">
        <f>G465-H465</f>
        <v/>
      </c>
      <c r="J465" s="21" t="n"/>
      <c r="K465" s="21" t="n"/>
      <c r="L465" s="27">
        <f>SUM(J465:K465)</f>
        <v/>
      </c>
      <c r="M465" s="28" t="n"/>
      <c r="N465" s="28" t="n"/>
      <c r="O465" s="29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1" t="n"/>
      <c r="Q465" s="21" t="n"/>
      <c r="R465" s="27">
        <f>SUM(P465:Q465)</f>
        <v/>
      </c>
      <c r="S465" s="28" t="n"/>
      <c r="T465" s="28" t="n"/>
      <c r="U465" s="29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1" t="n"/>
      <c r="W465" s="21" t="n"/>
      <c r="X465" s="27">
        <f>SUM(V465:W465)</f>
        <v/>
      </c>
      <c r="Y465" s="28" t="n"/>
      <c r="Z465" s="28" t="n"/>
      <c r="AA465" s="29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1" t="n"/>
      <c r="AC465" s="21" t="n"/>
      <c r="AD465" s="27">
        <f>SUM(AB465:AC465)</f>
        <v/>
      </c>
      <c r="AE465" s="28" t="n"/>
      <c r="AF465" s="28" t="n"/>
      <c r="AG465" s="29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1" t="n"/>
      <c r="AI465" s="21" t="n"/>
      <c r="AJ465" s="27">
        <f>SUM(AH465:AI465)</f>
        <v/>
      </c>
      <c r="AK465" s="28" t="n"/>
      <c r="AL465" s="28" t="n"/>
      <c r="AM465" s="29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1" t="n"/>
      <c r="AO465" s="21" t="n"/>
      <c r="AP465" s="27">
        <f>SUM(AN465:AO465)</f>
        <v/>
      </c>
      <c r="AQ465" s="28" t="n"/>
      <c r="AR465" s="30" t="n"/>
      <c r="AS465" s="29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1" t="n"/>
      <c r="AU465" s="21" t="n"/>
      <c r="AV465" s="27">
        <f>SUM(AT465:AU465)</f>
        <v/>
      </c>
      <c r="AW465" s="28" t="n"/>
      <c r="AX465" s="30" t="n"/>
      <c r="AY465" s="29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1" t="n"/>
      <c r="BA465" s="21" t="n"/>
      <c r="BB465" s="27">
        <f>SUM(AZ465:BA465)</f>
        <v/>
      </c>
      <c r="BC465" s="28" t="n"/>
      <c r="BD465" s="28" t="n"/>
      <c r="BE465" s="29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1" t="n"/>
      <c r="BG465" s="21" t="n"/>
      <c r="BH465" s="27">
        <f>SUM(BF465:BG465)</f>
        <v/>
      </c>
      <c r="BI465" s="28" t="n"/>
      <c r="BJ465" s="28" t="n"/>
      <c r="BK465" s="29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1" t="n"/>
      <c r="BM465" s="21" t="n"/>
      <c r="BN465" s="27">
        <f>SUM(BL465:BM465)</f>
        <v/>
      </c>
      <c r="BO465" s="28" t="n"/>
      <c r="BP465" s="31" t="n"/>
      <c r="BQ465" s="29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1" t="n"/>
      <c r="BS465" s="21" t="n"/>
      <c r="BT465" s="27">
        <f>SUM(BR465:BS465)</f>
        <v/>
      </c>
      <c r="BU465" s="28" t="n"/>
      <c r="BV465" s="31" t="n"/>
      <c r="BW465" s="29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1" t="n"/>
      <c r="BY465" s="21" t="n"/>
      <c r="BZ465" s="27">
        <f>SUM(BX465:BY465)</f>
        <v/>
      </c>
      <c r="CA465" s="28" t="n"/>
      <c r="CB465" s="31" t="n"/>
      <c r="CC465" s="29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1" t="n"/>
      <c r="CE465" s="21" t="n"/>
      <c r="CF465" s="27">
        <f>SUM(CD465:CE465)</f>
        <v/>
      </c>
      <c r="CG465" s="28" t="n"/>
      <c r="CH465" s="31" t="n"/>
      <c r="CI465" s="29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1" t="n"/>
      <c r="CK465" s="21" t="n"/>
      <c r="CL465" s="27">
        <f>SUM(CJ465:CK465)</f>
        <v/>
      </c>
      <c r="CM465" s="28" t="n"/>
      <c r="CN465" s="31" t="n"/>
      <c r="CO465" s="29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1" t="n"/>
      <c r="CQ465" s="21" t="n"/>
      <c r="CR465" s="27">
        <f>SUM(CP465:CQ465)</f>
        <v/>
      </c>
      <c r="CS465" s="28" t="n"/>
      <c r="CT465" s="31" t="n"/>
      <c r="CU465" s="29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1" t="n"/>
      <c r="CW465" s="21" t="n"/>
      <c r="CX465" s="27">
        <f>SUM(CV465:CW465)</f>
        <v/>
      </c>
      <c r="CY465" s="28" t="n"/>
      <c r="CZ465" s="31" t="n"/>
      <c r="DA465" s="29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1" t="n"/>
      <c r="DC465" s="21" t="n"/>
      <c r="DD465" s="27">
        <f>SUM(DB465:DC465)</f>
        <v/>
      </c>
      <c r="DE465" s="28" t="n"/>
      <c r="DF465" s="31" t="n"/>
      <c r="DG465" s="29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34">
        <f>SUM(O465,U465,AA465,AG465,AM465,AS465,AY465,BE465,BK465,BQ465,BW465,CC465,CI465,CO465,CU465,DA465,DG465)</f>
        <v/>
      </c>
      <c r="DI465" s="39">
        <f>RANK(DH465,DH$4:DH$503)</f>
        <v/>
      </c>
      <c r="DJ465" s="40" t="inlineStr">
        <is>
          <t>CHOOSE RATING</t>
        </is>
      </c>
      <c r="DK465" s="40" t="inlineStr">
        <is>
          <t>CHOOSE RATING</t>
        </is>
      </c>
      <c r="DL465" s="40" t="inlineStr">
        <is>
          <t>CHOOSE RATING</t>
        </is>
      </c>
      <c r="DM465" s="40" t="inlineStr">
        <is>
          <t>CHOOSE RATING</t>
        </is>
      </c>
      <c r="DN465" s="40" t="inlineStr">
        <is>
          <t>CHOOSE RATING</t>
        </is>
      </c>
      <c r="DO465" s="40" t="inlineStr">
        <is>
          <t>CHOOSE RATING</t>
        </is>
      </c>
      <c r="DP465" s="40" t="inlineStr">
        <is>
          <t>CHOOSE RATING</t>
        </is>
      </c>
      <c r="DQ465" s="40" t="inlineStr">
        <is>
          <t>CHOOSE RATING</t>
        </is>
      </c>
      <c r="DR465" s="43" t="inlineStr">
        <is>
          <t>2024/2025</t>
        </is>
      </c>
      <c r="DS465" s="45" t="inlineStr">
        <is>
          <t>THIRD</t>
        </is>
      </c>
      <c r="DT465" s="40" t="inlineStr">
        <is>
          <t>CHOOSE RATING</t>
        </is>
      </c>
      <c r="DU465" s="40" t="inlineStr">
        <is>
          <t>CHOOSE RATING</t>
        </is>
      </c>
      <c r="DV465" s="40" t="inlineStr">
        <is>
          <t>CHOOSE RATING</t>
        </is>
      </c>
      <c r="DW465" s="40" t="inlineStr">
        <is>
          <t>CHOOSE RATING</t>
        </is>
      </c>
      <c r="DX465" s="40" t="inlineStr">
        <is>
          <t>CHOOSE RATING</t>
        </is>
      </c>
      <c r="DY465" s="40" t="inlineStr">
        <is>
          <t>CHOOSE RATING</t>
        </is>
      </c>
      <c r="DZ465" s="53" t="inlineStr">
        <is>
          <t>CHOOSE RATING</t>
        </is>
      </c>
      <c r="EA465" s="54" t="inlineStr">
        <is>
          <t>Add the Tutor's Comment . . .</t>
        </is>
      </c>
      <c r="EB465" s="55" t="inlineStr">
        <is>
          <t>Choose Principals comment</t>
        </is>
      </c>
      <c r="EC465" s="56" t="n"/>
      <c r="ED465" s="57" t="inlineStr">
        <is>
          <t>Next Term Begins on Monday, 22nd September, 2025</t>
        </is>
      </c>
    </row>
    <row r="466" ht="30.6" customHeight="1" s="6">
      <c r="A466" s="18" t="n">
        <v>463</v>
      </c>
      <c r="B466" s="19" t="n"/>
      <c r="C466" s="20" t="n"/>
      <c r="D466" s="128" t="n"/>
      <c r="E466" s="21" t="n"/>
      <c r="F466" s="22" t="n"/>
      <c r="G466" s="22" t="n"/>
      <c r="H466" s="22" t="n"/>
      <c r="I466" s="26">
        <f>G466-H466</f>
        <v/>
      </c>
      <c r="J466" s="21" t="n"/>
      <c r="K466" s="21" t="n"/>
      <c r="L466" s="27">
        <f>SUM(J466:K466)</f>
        <v/>
      </c>
      <c r="M466" s="28" t="n"/>
      <c r="N466" s="28" t="n"/>
      <c r="O466" s="29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1" t="n"/>
      <c r="Q466" s="21" t="n"/>
      <c r="R466" s="27">
        <f>SUM(P466:Q466)</f>
        <v/>
      </c>
      <c r="S466" s="28" t="n"/>
      <c r="T466" s="28" t="n"/>
      <c r="U466" s="29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1" t="n"/>
      <c r="W466" s="21" t="n"/>
      <c r="X466" s="27">
        <f>SUM(V466:W466)</f>
        <v/>
      </c>
      <c r="Y466" s="28" t="n"/>
      <c r="Z466" s="28" t="n"/>
      <c r="AA466" s="29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1" t="n"/>
      <c r="AC466" s="21" t="n"/>
      <c r="AD466" s="27">
        <f>SUM(AB466:AC466)</f>
        <v/>
      </c>
      <c r="AE466" s="28" t="n"/>
      <c r="AF466" s="28" t="n"/>
      <c r="AG466" s="29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1" t="n"/>
      <c r="AI466" s="21" t="n"/>
      <c r="AJ466" s="27">
        <f>SUM(AH466:AI466)</f>
        <v/>
      </c>
      <c r="AK466" s="28" t="n"/>
      <c r="AL466" s="28" t="n"/>
      <c r="AM466" s="29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1" t="n"/>
      <c r="AO466" s="21" t="n"/>
      <c r="AP466" s="27">
        <f>SUM(AN466:AO466)</f>
        <v/>
      </c>
      <c r="AQ466" s="28" t="n"/>
      <c r="AR466" s="30" t="n"/>
      <c r="AS466" s="29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1" t="n"/>
      <c r="AU466" s="21" t="n"/>
      <c r="AV466" s="27">
        <f>SUM(AT466:AU466)</f>
        <v/>
      </c>
      <c r="AW466" s="28" t="n"/>
      <c r="AX466" s="30" t="n"/>
      <c r="AY466" s="29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1" t="n"/>
      <c r="BA466" s="21" t="n"/>
      <c r="BB466" s="27">
        <f>SUM(AZ466:BA466)</f>
        <v/>
      </c>
      <c r="BC466" s="28" t="n"/>
      <c r="BD466" s="28" t="n"/>
      <c r="BE466" s="29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1" t="n"/>
      <c r="BG466" s="21" t="n"/>
      <c r="BH466" s="27">
        <f>SUM(BF466:BG466)</f>
        <v/>
      </c>
      <c r="BI466" s="28" t="n"/>
      <c r="BJ466" s="28" t="n"/>
      <c r="BK466" s="29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1" t="n"/>
      <c r="BM466" s="21" t="n"/>
      <c r="BN466" s="27">
        <f>SUM(BL466:BM466)</f>
        <v/>
      </c>
      <c r="BO466" s="28" t="n"/>
      <c r="BP466" s="31" t="n"/>
      <c r="BQ466" s="29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1" t="n"/>
      <c r="BS466" s="21" t="n"/>
      <c r="BT466" s="27">
        <f>SUM(BR466:BS466)</f>
        <v/>
      </c>
      <c r="BU466" s="28" t="n"/>
      <c r="BV466" s="31" t="n"/>
      <c r="BW466" s="29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1" t="n"/>
      <c r="BY466" s="21" t="n"/>
      <c r="BZ466" s="27">
        <f>SUM(BX466:BY466)</f>
        <v/>
      </c>
      <c r="CA466" s="28" t="n"/>
      <c r="CB466" s="31" t="n"/>
      <c r="CC466" s="29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1" t="n"/>
      <c r="CE466" s="21" t="n"/>
      <c r="CF466" s="27">
        <f>SUM(CD466:CE466)</f>
        <v/>
      </c>
      <c r="CG466" s="28" t="n"/>
      <c r="CH466" s="31" t="n"/>
      <c r="CI466" s="29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1" t="n"/>
      <c r="CK466" s="21" t="n"/>
      <c r="CL466" s="27">
        <f>SUM(CJ466:CK466)</f>
        <v/>
      </c>
      <c r="CM466" s="28" t="n"/>
      <c r="CN466" s="31" t="n"/>
      <c r="CO466" s="29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1" t="n"/>
      <c r="CQ466" s="21" t="n"/>
      <c r="CR466" s="27">
        <f>SUM(CP466:CQ466)</f>
        <v/>
      </c>
      <c r="CS466" s="28" t="n"/>
      <c r="CT466" s="31" t="n"/>
      <c r="CU466" s="29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1" t="n"/>
      <c r="CW466" s="21" t="n"/>
      <c r="CX466" s="27">
        <f>SUM(CV466:CW466)</f>
        <v/>
      </c>
      <c r="CY466" s="28" t="n"/>
      <c r="CZ466" s="31" t="n"/>
      <c r="DA466" s="29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1" t="n"/>
      <c r="DC466" s="21" t="n"/>
      <c r="DD466" s="27">
        <f>SUM(DB466:DC466)</f>
        <v/>
      </c>
      <c r="DE466" s="28" t="n"/>
      <c r="DF466" s="31" t="n"/>
      <c r="DG466" s="29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34">
        <f>SUM(O466,U466,AA466,AG466,AM466,AS466,AY466,BE466,BK466,BQ466,BW466,CC466,CI466,CO466,CU466,DA466,DG466)</f>
        <v/>
      </c>
      <c r="DI466" s="39">
        <f>RANK(DH466,DH$4:DH$503)</f>
        <v/>
      </c>
      <c r="DJ466" s="40" t="inlineStr">
        <is>
          <t>CHOOSE RATING</t>
        </is>
      </c>
      <c r="DK466" s="40" t="inlineStr">
        <is>
          <t>CHOOSE RATING</t>
        </is>
      </c>
      <c r="DL466" s="40" t="inlineStr">
        <is>
          <t>CHOOSE RATING</t>
        </is>
      </c>
      <c r="DM466" s="40" t="inlineStr">
        <is>
          <t>CHOOSE RATING</t>
        </is>
      </c>
      <c r="DN466" s="40" t="inlineStr">
        <is>
          <t>CHOOSE RATING</t>
        </is>
      </c>
      <c r="DO466" s="40" t="inlineStr">
        <is>
          <t>CHOOSE RATING</t>
        </is>
      </c>
      <c r="DP466" s="40" t="inlineStr">
        <is>
          <t>CHOOSE RATING</t>
        </is>
      </c>
      <c r="DQ466" s="40" t="inlineStr">
        <is>
          <t>CHOOSE RATING</t>
        </is>
      </c>
      <c r="DR466" s="43" t="inlineStr">
        <is>
          <t>2024/2025</t>
        </is>
      </c>
      <c r="DS466" s="45" t="inlineStr">
        <is>
          <t>THIRD</t>
        </is>
      </c>
      <c r="DT466" s="40" t="inlineStr">
        <is>
          <t>CHOOSE RATING</t>
        </is>
      </c>
      <c r="DU466" s="40" t="inlineStr">
        <is>
          <t>CHOOSE RATING</t>
        </is>
      </c>
      <c r="DV466" s="40" t="inlineStr">
        <is>
          <t>CHOOSE RATING</t>
        </is>
      </c>
      <c r="DW466" s="40" t="inlineStr">
        <is>
          <t>CHOOSE RATING</t>
        </is>
      </c>
      <c r="DX466" s="40" t="inlineStr">
        <is>
          <t>CHOOSE RATING</t>
        </is>
      </c>
      <c r="DY466" s="40" t="inlineStr">
        <is>
          <t>CHOOSE RATING</t>
        </is>
      </c>
      <c r="DZ466" s="53" t="inlineStr">
        <is>
          <t>CHOOSE RATING</t>
        </is>
      </c>
      <c r="EA466" s="54" t="inlineStr">
        <is>
          <t>Add the Tutor's Comment . . .</t>
        </is>
      </c>
      <c r="EB466" s="55" t="inlineStr">
        <is>
          <t>Choose Principals comment</t>
        </is>
      </c>
      <c r="EC466" s="56" t="n"/>
      <c r="ED466" s="57" t="inlineStr">
        <is>
          <t>Next Term Begins on Monday, 22nd September, 2025</t>
        </is>
      </c>
    </row>
    <row r="467" ht="30.6" customHeight="1" s="6">
      <c r="A467" s="18" t="n">
        <v>464</v>
      </c>
      <c r="B467" s="19" t="n"/>
      <c r="C467" s="20" t="n"/>
      <c r="D467" s="128" t="n"/>
      <c r="E467" s="21" t="n"/>
      <c r="F467" s="22" t="n"/>
      <c r="G467" s="22" t="n"/>
      <c r="H467" s="22" t="n"/>
      <c r="I467" s="26">
        <f>G467-H467</f>
        <v/>
      </c>
      <c r="J467" s="21" t="n"/>
      <c r="K467" s="21" t="n"/>
      <c r="L467" s="27">
        <f>SUM(J467:K467)</f>
        <v/>
      </c>
      <c r="M467" s="28" t="n"/>
      <c r="N467" s="28" t="n"/>
      <c r="O467" s="29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1" t="n"/>
      <c r="Q467" s="21" t="n"/>
      <c r="R467" s="27">
        <f>SUM(P467:Q467)</f>
        <v/>
      </c>
      <c r="S467" s="28" t="n"/>
      <c r="T467" s="28" t="n"/>
      <c r="U467" s="29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1" t="n"/>
      <c r="W467" s="21" t="n"/>
      <c r="X467" s="27">
        <f>SUM(V467:W467)</f>
        <v/>
      </c>
      <c r="Y467" s="28" t="n"/>
      <c r="Z467" s="28" t="n"/>
      <c r="AA467" s="29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1" t="n"/>
      <c r="AC467" s="21" t="n"/>
      <c r="AD467" s="27">
        <f>SUM(AB467:AC467)</f>
        <v/>
      </c>
      <c r="AE467" s="28" t="n"/>
      <c r="AF467" s="28" t="n"/>
      <c r="AG467" s="29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1" t="n"/>
      <c r="AI467" s="21" t="n"/>
      <c r="AJ467" s="27">
        <f>SUM(AH467:AI467)</f>
        <v/>
      </c>
      <c r="AK467" s="28" t="n"/>
      <c r="AL467" s="28" t="n"/>
      <c r="AM467" s="29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1" t="n"/>
      <c r="AO467" s="21" t="n"/>
      <c r="AP467" s="27">
        <f>SUM(AN467:AO467)</f>
        <v/>
      </c>
      <c r="AQ467" s="28" t="n"/>
      <c r="AR467" s="30" t="n"/>
      <c r="AS467" s="29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1" t="n"/>
      <c r="AU467" s="21" t="n"/>
      <c r="AV467" s="27">
        <f>SUM(AT467:AU467)</f>
        <v/>
      </c>
      <c r="AW467" s="28" t="n"/>
      <c r="AX467" s="30" t="n"/>
      <c r="AY467" s="29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1" t="n"/>
      <c r="BA467" s="21" t="n"/>
      <c r="BB467" s="27">
        <f>SUM(AZ467:BA467)</f>
        <v/>
      </c>
      <c r="BC467" s="28" t="n"/>
      <c r="BD467" s="28" t="n"/>
      <c r="BE467" s="29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1" t="n"/>
      <c r="BG467" s="21" t="n"/>
      <c r="BH467" s="27">
        <f>SUM(BF467:BG467)</f>
        <v/>
      </c>
      <c r="BI467" s="28" t="n"/>
      <c r="BJ467" s="28" t="n"/>
      <c r="BK467" s="29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1" t="n"/>
      <c r="BM467" s="21" t="n"/>
      <c r="BN467" s="27">
        <f>SUM(BL467:BM467)</f>
        <v/>
      </c>
      <c r="BO467" s="28" t="n"/>
      <c r="BP467" s="31" t="n"/>
      <c r="BQ467" s="29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1" t="n"/>
      <c r="BS467" s="21" t="n"/>
      <c r="BT467" s="27">
        <f>SUM(BR467:BS467)</f>
        <v/>
      </c>
      <c r="BU467" s="28" t="n"/>
      <c r="BV467" s="31" t="n"/>
      <c r="BW467" s="29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1" t="n"/>
      <c r="BY467" s="21" t="n"/>
      <c r="BZ467" s="27">
        <f>SUM(BX467:BY467)</f>
        <v/>
      </c>
      <c r="CA467" s="28" t="n"/>
      <c r="CB467" s="31" t="n"/>
      <c r="CC467" s="29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1" t="n"/>
      <c r="CE467" s="21" t="n"/>
      <c r="CF467" s="27">
        <f>SUM(CD467:CE467)</f>
        <v/>
      </c>
      <c r="CG467" s="28" t="n"/>
      <c r="CH467" s="31" t="n"/>
      <c r="CI467" s="29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1" t="n"/>
      <c r="CK467" s="21" t="n"/>
      <c r="CL467" s="27">
        <f>SUM(CJ467:CK467)</f>
        <v/>
      </c>
      <c r="CM467" s="28" t="n"/>
      <c r="CN467" s="31" t="n"/>
      <c r="CO467" s="29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1" t="n"/>
      <c r="CQ467" s="21" t="n"/>
      <c r="CR467" s="27">
        <f>SUM(CP467:CQ467)</f>
        <v/>
      </c>
      <c r="CS467" s="28" t="n"/>
      <c r="CT467" s="31" t="n"/>
      <c r="CU467" s="29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1" t="n"/>
      <c r="CW467" s="21" t="n"/>
      <c r="CX467" s="27">
        <f>SUM(CV467:CW467)</f>
        <v/>
      </c>
      <c r="CY467" s="28" t="n"/>
      <c r="CZ467" s="31" t="n"/>
      <c r="DA467" s="29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1" t="n"/>
      <c r="DC467" s="21" t="n"/>
      <c r="DD467" s="27">
        <f>SUM(DB467:DC467)</f>
        <v/>
      </c>
      <c r="DE467" s="28" t="n"/>
      <c r="DF467" s="31" t="n"/>
      <c r="DG467" s="29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34">
        <f>SUM(O467,U467,AA467,AG467,AM467,AS467,AY467,BE467,BK467,BQ467,BW467,CC467,CI467,CO467,CU467,DA467,DG467)</f>
        <v/>
      </c>
      <c r="DI467" s="39">
        <f>RANK(DH467,DH$4:DH$503)</f>
        <v/>
      </c>
      <c r="DJ467" s="40" t="inlineStr">
        <is>
          <t>CHOOSE RATING</t>
        </is>
      </c>
      <c r="DK467" s="40" t="inlineStr">
        <is>
          <t>CHOOSE RATING</t>
        </is>
      </c>
      <c r="DL467" s="40" t="inlineStr">
        <is>
          <t>CHOOSE RATING</t>
        </is>
      </c>
      <c r="DM467" s="40" t="inlineStr">
        <is>
          <t>CHOOSE RATING</t>
        </is>
      </c>
      <c r="DN467" s="40" t="inlineStr">
        <is>
          <t>CHOOSE RATING</t>
        </is>
      </c>
      <c r="DO467" s="40" t="inlineStr">
        <is>
          <t>CHOOSE RATING</t>
        </is>
      </c>
      <c r="DP467" s="40" t="inlineStr">
        <is>
          <t>CHOOSE RATING</t>
        </is>
      </c>
      <c r="DQ467" s="40" t="inlineStr">
        <is>
          <t>CHOOSE RATING</t>
        </is>
      </c>
      <c r="DR467" s="43" t="inlineStr">
        <is>
          <t>2024/2025</t>
        </is>
      </c>
      <c r="DS467" s="45" t="inlineStr">
        <is>
          <t>THIRD</t>
        </is>
      </c>
      <c r="DT467" s="40" t="inlineStr">
        <is>
          <t>CHOOSE RATING</t>
        </is>
      </c>
      <c r="DU467" s="40" t="inlineStr">
        <is>
          <t>CHOOSE RATING</t>
        </is>
      </c>
      <c r="DV467" s="40" t="inlineStr">
        <is>
          <t>CHOOSE RATING</t>
        </is>
      </c>
      <c r="DW467" s="40" t="inlineStr">
        <is>
          <t>CHOOSE RATING</t>
        </is>
      </c>
      <c r="DX467" s="40" t="inlineStr">
        <is>
          <t>CHOOSE RATING</t>
        </is>
      </c>
      <c r="DY467" s="40" t="inlineStr">
        <is>
          <t>CHOOSE RATING</t>
        </is>
      </c>
      <c r="DZ467" s="53" t="inlineStr">
        <is>
          <t>CHOOSE RATING</t>
        </is>
      </c>
      <c r="EA467" s="54" t="inlineStr">
        <is>
          <t>Add the Tutor's Comment . . .</t>
        </is>
      </c>
      <c r="EB467" s="55" t="inlineStr">
        <is>
          <t>Choose Principals comment</t>
        </is>
      </c>
      <c r="EC467" s="56" t="n"/>
      <c r="ED467" s="57" t="inlineStr">
        <is>
          <t>Next Term Begins on Monday, 22nd September, 2025</t>
        </is>
      </c>
    </row>
    <row r="468" ht="30.6" customHeight="1" s="6">
      <c r="A468" s="18" t="n">
        <v>465</v>
      </c>
      <c r="B468" s="19" t="n"/>
      <c r="C468" s="20" t="n"/>
      <c r="D468" s="128" t="n"/>
      <c r="E468" s="21" t="n"/>
      <c r="F468" s="22" t="n"/>
      <c r="G468" s="22" t="n"/>
      <c r="H468" s="22" t="n"/>
      <c r="I468" s="26">
        <f>G468-H468</f>
        <v/>
      </c>
      <c r="J468" s="21" t="n"/>
      <c r="K468" s="21" t="n"/>
      <c r="L468" s="27">
        <f>SUM(J468:K468)</f>
        <v/>
      </c>
      <c r="M468" s="28" t="n"/>
      <c r="N468" s="28" t="n"/>
      <c r="O468" s="29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1" t="n"/>
      <c r="Q468" s="21" t="n"/>
      <c r="R468" s="27">
        <f>SUM(P468:Q468)</f>
        <v/>
      </c>
      <c r="S468" s="28" t="n"/>
      <c r="T468" s="28" t="n"/>
      <c r="U468" s="29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1" t="n"/>
      <c r="W468" s="21" t="n"/>
      <c r="X468" s="27">
        <f>SUM(V468:W468)</f>
        <v/>
      </c>
      <c r="Y468" s="28" t="n"/>
      <c r="Z468" s="28" t="n"/>
      <c r="AA468" s="29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1" t="n"/>
      <c r="AC468" s="21" t="n"/>
      <c r="AD468" s="27">
        <f>SUM(AB468:AC468)</f>
        <v/>
      </c>
      <c r="AE468" s="28" t="n"/>
      <c r="AF468" s="28" t="n"/>
      <c r="AG468" s="29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1" t="n"/>
      <c r="AI468" s="21" t="n"/>
      <c r="AJ468" s="27">
        <f>SUM(AH468:AI468)</f>
        <v/>
      </c>
      <c r="AK468" s="28" t="n"/>
      <c r="AL468" s="28" t="n"/>
      <c r="AM468" s="29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1" t="n"/>
      <c r="AO468" s="21" t="n"/>
      <c r="AP468" s="27">
        <f>SUM(AN468:AO468)</f>
        <v/>
      </c>
      <c r="AQ468" s="28" t="n"/>
      <c r="AR468" s="30" t="n"/>
      <c r="AS468" s="29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1" t="n"/>
      <c r="AU468" s="21" t="n"/>
      <c r="AV468" s="27">
        <f>SUM(AT468:AU468)</f>
        <v/>
      </c>
      <c r="AW468" s="28" t="n"/>
      <c r="AX468" s="30" t="n"/>
      <c r="AY468" s="29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1" t="n"/>
      <c r="BA468" s="21" t="n"/>
      <c r="BB468" s="27">
        <f>SUM(AZ468:BA468)</f>
        <v/>
      </c>
      <c r="BC468" s="28" t="n"/>
      <c r="BD468" s="28" t="n"/>
      <c r="BE468" s="29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1" t="n"/>
      <c r="BG468" s="21" t="n"/>
      <c r="BH468" s="27">
        <f>SUM(BF468:BG468)</f>
        <v/>
      </c>
      <c r="BI468" s="28" t="n"/>
      <c r="BJ468" s="28" t="n"/>
      <c r="BK468" s="29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1" t="n"/>
      <c r="BM468" s="21" t="n"/>
      <c r="BN468" s="27">
        <f>SUM(BL468:BM468)</f>
        <v/>
      </c>
      <c r="BO468" s="28" t="n"/>
      <c r="BP468" s="31" t="n"/>
      <c r="BQ468" s="29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1" t="n"/>
      <c r="BS468" s="21" t="n"/>
      <c r="BT468" s="27">
        <f>SUM(BR468:BS468)</f>
        <v/>
      </c>
      <c r="BU468" s="28" t="n"/>
      <c r="BV468" s="31" t="n"/>
      <c r="BW468" s="29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1" t="n"/>
      <c r="BY468" s="21" t="n"/>
      <c r="BZ468" s="27">
        <f>SUM(BX468:BY468)</f>
        <v/>
      </c>
      <c r="CA468" s="28" t="n"/>
      <c r="CB468" s="31" t="n"/>
      <c r="CC468" s="29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1" t="n"/>
      <c r="CE468" s="21" t="n"/>
      <c r="CF468" s="27">
        <f>SUM(CD468:CE468)</f>
        <v/>
      </c>
      <c r="CG468" s="28" t="n"/>
      <c r="CH468" s="31" t="n"/>
      <c r="CI468" s="29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1" t="n"/>
      <c r="CK468" s="21" t="n"/>
      <c r="CL468" s="27">
        <f>SUM(CJ468:CK468)</f>
        <v/>
      </c>
      <c r="CM468" s="28" t="n"/>
      <c r="CN468" s="31" t="n"/>
      <c r="CO468" s="29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1" t="n"/>
      <c r="CQ468" s="21" t="n"/>
      <c r="CR468" s="27">
        <f>SUM(CP468:CQ468)</f>
        <v/>
      </c>
      <c r="CS468" s="28" t="n"/>
      <c r="CT468" s="31" t="n"/>
      <c r="CU468" s="29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1" t="n"/>
      <c r="CW468" s="21" t="n"/>
      <c r="CX468" s="27">
        <f>SUM(CV468:CW468)</f>
        <v/>
      </c>
      <c r="CY468" s="28" t="n"/>
      <c r="CZ468" s="31" t="n"/>
      <c r="DA468" s="29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1" t="n"/>
      <c r="DC468" s="21" t="n"/>
      <c r="DD468" s="27">
        <f>SUM(DB468:DC468)</f>
        <v/>
      </c>
      <c r="DE468" s="28" t="n"/>
      <c r="DF468" s="31" t="n"/>
      <c r="DG468" s="29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34">
        <f>SUM(O468,U468,AA468,AG468,AM468,AS468,AY468,BE468,BK468,BQ468,BW468,CC468,CI468,CO468,CU468,DA468,DG468)</f>
        <v/>
      </c>
      <c r="DI468" s="39">
        <f>RANK(DH468,DH$4:DH$503)</f>
        <v/>
      </c>
      <c r="DJ468" s="40" t="inlineStr">
        <is>
          <t>CHOOSE RATING</t>
        </is>
      </c>
      <c r="DK468" s="40" t="inlineStr">
        <is>
          <t>CHOOSE RATING</t>
        </is>
      </c>
      <c r="DL468" s="40" t="inlineStr">
        <is>
          <t>CHOOSE RATING</t>
        </is>
      </c>
      <c r="DM468" s="40" t="inlineStr">
        <is>
          <t>CHOOSE RATING</t>
        </is>
      </c>
      <c r="DN468" s="40" t="inlineStr">
        <is>
          <t>CHOOSE RATING</t>
        </is>
      </c>
      <c r="DO468" s="40" t="inlineStr">
        <is>
          <t>CHOOSE RATING</t>
        </is>
      </c>
      <c r="DP468" s="40" t="inlineStr">
        <is>
          <t>CHOOSE RATING</t>
        </is>
      </c>
      <c r="DQ468" s="40" t="inlineStr">
        <is>
          <t>CHOOSE RATING</t>
        </is>
      </c>
      <c r="DR468" s="43" t="inlineStr">
        <is>
          <t>2024/2025</t>
        </is>
      </c>
      <c r="DS468" s="45" t="inlineStr">
        <is>
          <t>THIRD</t>
        </is>
      </c>
      <c r="DT468" s="40" t="inlineStr">
        <is>
          <t>CHOOSE RATING</t>
        </is>
      </c>
      <c r="DU468" s="40" t="inlineStr">
        <is>
          <t>CHOOSE RATING</t>
        </is>
      </c>
      <c r="DV468" s="40" t="inlineStr">
        <is>
          <t>CHOOSE RATING</t>
        </is>
      </c>
      <c r="DW468" s="40" t="inlineStr">
        <is>
          <t>CHOOSE RATING</t>
        </is>
      </c>
      <c r="DX468" s="40" t="inlineStr">
        <is>
          <t>CHOOSE RATING</t>
        </is>
      </c>
      <c r="DY468" s="40" t="inlineStr">
        <is>
          <t>CHOOSE RATING</t>
        </is>
      </c>
      <c r="DZ468" s="53" t="inlineStr">
        <is>
          <t>CHOOSE RATING</t>
        </is>
      </c>
      <c r="EA468" s="54" t="inlineStr">
        <is>
          <t>Add the Tutor's Comment . . .</t>
        </is>
      </c>
      <c r="EB468" s="55" t="inlineStr">
        <is>
          <t>Choose Principals comment</t>
        </is>
      </c>
      <c r="EC468" s="56" t="n"/>
      <c r="ED468" s="57" t="inlineStr">
        <is>
          <t>Next Term Begins on Monday, 22nd September, 2025</t>
        </is>
      </c>
    </row>
    <row r="469" ht="30.6" customHeight="1" s="6">
      <c r="A469" s="18" t="n">
        <v>466</v>
      </c>
      <c r="B469" s="19" t="n"/>
      <c r="C469" s="20" t="n"/>
      <c r="D469" s="128" t="n"/>
      <c r="E469" s="21" t="n"/>
      <c r="F469" s="22" t="n"/>
      <c r="G469" s="22" t="n"/>
      <c r="H469" s="22" t="n"/>
      <c r="I469" s="26">
        <f>G469-H469</f>
        <v/>
      </c>
      <c r="J469" s="21" t="n"/>
      <c r="K469" s="21" t="n"/>
      <c r="L469" s="27">
        <f>SUM(J469:K469)</f>
        <v/>
      </c>
      <c r="M469" s="28" t="n"/>
      <c r="N469" s="28" t="n"/>
      <c r="O469" s="29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1" t="n"/>
      <c r="Q469" s="21" t="n"/>
      <c r="R469" s="27">
        <f>SUM(P469:Q469)</f>
        <v/>
      </c>
      <c r="S469" s="28" t="n"/>
      <c r="T469" s="28" t="n"/>
      <c r="U469" s="29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1" t="n"/>
      <c r="W469" s="21" t="n"/>
      <c r="X469" s="27">
        <f>SUM(V469:W469)</f>
        <v/>
      </c>
      <c r="Y469" s="28" t="n"/>
      <c r="Z469" s="28" t="n"/>
      <c r="AA469" s="29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1" t="n"/>
      <c r="AC469" s="21" t="n"/>
      <c r="AD469" s="27">
        <f>SUM(AB469:AC469)</f>
        <v/>
      </c>
      <c r="AE469" s="28" t="n"/>
      <c r="AF469" s="28" t="n"/>
      <c r="AG469" s="29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1" t="n"/>
      <c r="AI469" s="21" t="n"/>
      <c r="AJ469" s="27">
        <f>SUM(AH469:AI469)</f>
        <v/>
      </c>
      <c r="AK469" s="28" t="n"/>
      <c r="AL469" s="28" t="n"/>
      <c r="AM469" s="29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1" t="n"/>
      <c r="AO469" s="21" t="n"/>
      <c r="AP469" s="27">
        <f>SUM(AN469:AO469)</f>
        <v/>
      </c>
      <c r="AQ469" s="28" t="n"/>
      <c r="AR469" s="30" t="n"/>
      <c r="AS469" s="29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1" t="n"/>
      <c r="AU469" s="21" t="n"/>
      <c r="AV469" s="27">
        <f>SUM(AT469:AU469)</f>
        <v/>
      </c>
      <c r="AW469" s="28" t="n"/>
      <c r="AX469" s="30" t="n"/>
      <c r="AY469" s="29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1" t="n"/>
      <c r="BA469" s="21" t="n"/>
      <c r="BB469" s="27">
        <f>SUM(AZ469:BA469)</f>
        <v/>
      </c>
      <c r="BC469" s="28" t="n"/>
      <c r="BD469" s="28" t="n"/>
      <c r="BE469" s="29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1" t="n"/>
      <c r="BG469" s="21" t="n"/>
      <c r="BH469" s="27">
        <f>SUM(BF469:BG469)</f>
        <v/>
      </c>
      <c r="BI469" s="28" t="n"/>
      <c r="BJ469" s="28" t="n"/>
      <c r="BK469" s="29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1" t="n"/>
      <c r="BM469" s="21" t="n"/>
      <c r="BN469" s="27">
        <f>SUM(BL469:BM469)</f>
        <v/>
      </c>
      <c r="BO469" s="28" t="n"/>
      <c r="BP469" s="31" t="n"/>
      <c r="BQ469" s="29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1" t="n"/>
      <c r="BS469" s="21" t="n"/>
      <c r="BT469" s="27">
        <f>SUM(BR469:BS469)</f>
        <v/>
      </c>
      <c r="BU469" s="28" t="n"/>
      <c r="BV469" s="31" t="n"/>
      <c r="BW469" s="29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1" t="n"/>
      <c r="BY469" s="21" t="n"/>
      <c r="BZ469" s="27">
        <f>SUM(BX469:BY469)</f>
        <v/>
      </c>
      <c r="CA469" s="28" t="n"/>
      <c r="CB469" s="31" t="n"/>
      <c r="CC469" s="29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1" t="n"/>
      <c r="CE469" s="21" t="n"/>
      <c r="CF469" s="27">
        <f>SUM(CD469:CE469)</f>
        <v/>
      </c>
      <c r="CG469" s="28" t="n"/>
      <c r="CH469" s="31" t="n"/>
      <c r="CI469" s="29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1" t="n"/>
      <c r="CK469" s="21" t="n"/>
      <c r="CL469" s="27">
        <f>SUM(CJ469:CK469)</f>
        <v/>
      </c>
      <c r="CM469" s="28" t="n"/>
      <c r="CN469" s="31" t="n"/>
      <c r="CO469" s="29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1" t="n"/>
      <c r="CQ469" s="21" t="n"/>
      <c r="CR469" s="27">
        <f>SUM(CP469:CQ469)</f>
        <v/>
      </c>
      <c r="CS469" s="28" t="n"/>
      <c r="CT469" s="31" t="n"/>
      <c r="CU469" s="29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1" t="n"/>
      <c r="CW469" s="21" t="n"/>
      <c r="CX469" s="27">
        <f>SUM(CV469:CW469)</f>
        <v/>
      </c>
      <c r="CY469" s="28" t="n"/>
      <c r="CZ469" s="31" t="n"/>
      <c r="DA469" s="29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1" t="n"/>
      <c r="DC469" s="21" t="n"/>
      <c r="DD469" s="27">
        <f>SUM(DB469:DC469)</f>
        <v/>
      </c>
      <c r="DE469" s="28" t="n"/>
      <c r="DF469" s="31" t="n"/>
      <c r="DG469" s="29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34">
        <f>SUM(O469,U469,AA469,AG469,AM469,AS469,AY469,BE469,BK469,BQ469,BW469,CC469,CI469,CO469,CU469,DA469,DG469)</f>
        <v/>
      </c>
      <c r="DI469" s="39">
        <f>RANK(DH469,DH$4:DH$503)</f>
        <v/>
      </c>
      <c r="DJ469" s="40" t="inlineStr">
        <is>
          <t>CHOOSE RATING</t>
        </is>
      </c>
      <c r="DK469" s="40" t="inlineStr">
        <is>
          <t>CHOOSE RATING</t>
        </is>
      </c>
      <c r="DL469" s="40" t="inlineStr">
        <is>
          <t>CHOOSE RATING</t>
        </is>
      </c>
      <c r="DM469" s="40" t="inlineStr">
        <is>
          <t>CHOOSE RATING</t>
        </is>
      </c>
      <c r="DN469" s="40" t="inlineStr">
        <is>
          <t>CHOOSE RATING</t>
        </is>
      </c>
      <c r="DO469" s="40" t="inlineStr">
        <is>
          <t>CHOOSE RATING</t>
        </is>
      </c>
      <c r="DP469" s="40" t="inlineStr">
        <is>
          <t>CHOOSE RATING</t>
        </is>
      </c>
      <c r="DQ469" s="40" t="inlineStr">
        <is>
          <t>CHOOSE RATING</t>
        </is>
      </c>
      <c r="DR469" s="43" t="inlineStr">
        <is>
          <t>2024/2025</t>
        </is>
      </c>
      <c r="DS469" s="45" t="inlineStr">
        <is>
          <t>THIRD</t>
        </is>
      </c>
      <c r="DT469" s="40" t="inlineStr">
        <is>
          <t>CHOOSE RATING</t>
        </is>
      </c>
      <c r="DU469" s="40" t="inlineStr">
        <is>
          <t>CHOOSE RATING</t>
        </is>
      </c>
      <c r="DV469" s="40" t="inlineStr">
        <is>
          <t>CHOOSE RATING</t>
        </is>
      </c>
      <c r="DW469" s="40" t="inlineStr">
        <is>
          <t>CHOOSE RATING</t>
        </is>
      </c>
      <c r="DX469" s="40" t="inlineStr">
        <is>
          <t>CHOOSE RATING</t>
        </is>
      </c>
      <c r="DY469" s="40" t="inlineStr">
        <is>
          <t>CHOOSE RATING</t>
        </is>
      </c>
      <c r="DZ469" s="53" t="inlineStr">
        <is>
          <t>CHOOSE RATING</t>
        </is>
      </c>
      <c r="EA469" s="54" t="inlineStr">
        <is>
          <t>Add the Tutor's Comment . . .</t>
        </is>
      </c>
      <c r="EB469" s="55" t="inlineStr">
        <is>
          <t>Choose Principals comment</t>
        </is>
      </c>
      <c r="EC469" s="56" t="n"/>
      <c r="ED469" s="57" t="inlineStr">
        <is>
          <t>Next Term Begins on Monday, 22nd September, 2025</t>
        </is>
      </c>
    </row>
    <row r="470" ht="30.6" customHeight="1" s="6">
      <c r="A470" s="18" t="n">
        <v>467</v>
      </c>
      <c r="B470" s="19" t="n"/>
      <c r="C470" s="20" t="n"/>
      <c r="D470" s="128" t="n"/>
      <c r="E470" s="21" t="n"/>
      <c r="F470" s="22" t="n"/>
      <c r="G470" s="22" t="n"/>
      <c r="H470" s="22" t="n"/>
      <c r="I470" s="26">
        <f>G470-H470</f>
        <v/>
      </c>
      <c r="J470" s="21" t="n"/>
      <c r="K470" s="21" t="n"/>
      <c r="L470" s="27">
        <f>SUM(J470:K470)</f>
        <v/>
      </c>
      <c r="M470" s="28" t="n"/>
      <c r="N470" s="28" t="n"/>
      <c r="O470" s="29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1" t="n"/>
      <c r="Q470" s="21" t="n"/>
      <c r="R470" s="27">
        <f>SUM(P470:Q470)</f>
        <v/>
      </c>
      <c r="S470" s="28" t="n"/>
      <c r="T470" s="28" t="n"/>
      <c r="U470" s="29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1" t="n"/>
      <c r="W470" s="21" t="n"/>
      <c r="X470" s="27">
        <f>SUM(V470:W470)</f>
        <v/>
      </c>
      <c r="Y470" s="28" t="n"/>
      <c r="Z470" s="28" t="n"/>
      <c r="AA470" s="29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1" t="n"/>
      <c r="AC470" s="21" t="n"/>
      <c r="AD470" s="27">
        <f>SUM(AB470:AC470)</f>
        <v/>
      </c>
      <c r="AE470" s="28" t="n"/>
      <c r="AF470" s="28" t="n"/>
      <c r="AG470" s="29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1" t="n"/>
      <c r="AI470" s="21" t="n"/>
      <c r="AJ470" s="27">
        <f>SUM(AH470:AI470)</f>
        <v/>
      </c>
      <c r="AK470" s="28" t="n"/>
      <c r="AL470" s="28" t="n"/>
      <c r="AM470" s="29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1" t="n"/>
      <c r="AO470" s="21" t="n"/>
      <c r="AP470" s="27">
        <f>SUM(AN470:AO470)</f>
        <v/>
      </c>
      <c r="AQ470" s="28" t="n"/>
      <c r="AR470" s="30" t="n"/>
      <c r="AS470" s="29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1" t="n"/>
      <c r="AU470" s="21" t="n"/>
      <c r="AV470" s="27">
        <f>SUM(AT470:AU470)</f>
        <v/>
      </c>
      <c r="AW470" s="28" t="n"/>
      <c r="AX470" s="30" t="n"/>
      <c r="AY470" s="29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1" t="n"/>
      <c r="BA470" s="21" t="n"/>
      <c r="BB470" s="27">
        <f>SUM(AZ470:BA470)</f>
        <v/>
      </c>
      <c r="BC470" s="28" t="n"/>
      <c r="BD470" s="28" t="n"/>
      <c r="BE470" s="29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1" t="n"/>
      <c r="BG470" s="21" t="n"/>
      <c r="BH470" s="27">
        <f>SUM(BF470:BG470)</f>
        <v/>
      </c>
      <c r="BI470" s="28" t="n"/>
      <c r="BJ470" s="28" t="n"/>
      <c r="BK470" s="29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1" t="n"/>
      <c r="BM470" s="21" t="n"/>
      <c r="BN470" s="27">
        <f>SUM(BL470:BM470)</f>
        <v/>
      </c>
      <c r="BO470" s="28" t="n"/>
      <c r="BP470" s="31" t="n"/>
      <c r="BQ470" s="29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1" t="n"/>
      <c r="BS470" s="21" t="n"/>
      <c r="BT470" s="27">
        <f>SUM(BR470:BS470)</f>
        <v/>
      </c>
      <c r="BU470" s="28" t="n"/>
      <c r="BV470" s="31" t="n"/>
      <c r="BW470" s="29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1" t="n"/>
      <c r="BY470" s="21" t="n"/>
      <c r="BZ470" s="27">
        <f>SUM(BX470:BY470)</f>
        <v/>
      </c>
      <c r="CA470" s="28" t="n"/>
      <c r="CB470" s="31" t="n"/>
      <c r="CC470" s="29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1" t="n"/>
      <c r="CE470" s="21" t="n"/>
      <c r="CF470" s="27">
        <f>SUM(CD470:CE470)</f>
        <v/>
      </c>
      <c r="CG470" s="28" t="n"/>
      <c r="CH470" s="31" t="n"/>
      <c r="CI470" s="29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1" t="n"/>
      <c r="CK470" s="21" t="n"/>
      <c r="CL470" s="27">
        <f>SUM(CJ470:CK470)</f>
        <v/>
      </c>
      <c r="CM470" s="28" t="n"/>
      <c r="CN470" s="31" t="n"/>
      <c r="CO470" s="29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1" t="n"/>
      <c r="CQ470" s="21" t="n"/>
      <c r="CR470" s="27">
        <f>SUM(CP470:CQ470)</f>
        <v/>
      </c>
      <c r="CS470" s="28" t="n"/>
      <c r="CT470" s="31" t="n"/>
      <c r="CU470" s="29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1" t="n"/>
      <c r="CW470" s="21" t="n"/>
      <c r="CX470" s="27">
        <f>SUM(CV470:CW470)</f>
        <v/>
      </c>
      <c r="CY470" s="28" t="n"/>
      <c r="CZ470" s="31" t="n"/>
      <c r="DA470" s="29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1" t="n"/>
      <c r="DC470" s="21" t="n"/>
      <c r="DD470" s="27">
        <f>SUM(DB470:DC470)</f>
        <v/>
      </c>
      <c r="DE470" s="28" t="n"/>
      <c r="DF470" s="31" t="n"/>
      <c r="DG470" s="29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34">
        <f>SUM(O470,U470,AA470,AG470,AM470,AS470,AY470,BE470,BK470,BQ470,BW470,CC470,CI470,CO470,CU470,DA470,DG470)</f>
        <v/>
      </c>
      <c r="DI470" s="39">
        <f>RANK(DH470,DH$4:DH$503)</f>
        <v/>
      </c>
      <c r="DJ470" s="40" t="inlineStr">
        <is>
          <t>CHOOSE RATING</t>
        </is>
      </c>
      <c r="DK470" s="40" t="inlineStr">
        <is>
          <t>CHOOSE RATING</t>
        </is>
      </c>
      <c r="DL470" s="40" t="inlineStr">
        <is>
          <t>CHOOSE RATING</t>
        </is>
      </c>
      <c r="DM470" s="40" t="inlineStr">
        <is>
          <t>CHOOSE RATING</t>
        </is>
      </c>
      <c r="DN470" s="40" t="inlineStr">
        <is>
          <t>CHOOSE RATING</t>
        </is>
      </c>
      <c r="DO470" s="40" t="inlineStr">
        <is>
          <t>CHOOSE RATING</t>
        </is>
      </c>
      <c r="DP470" s="40" t="inlineStr">
        <is>
          <t>CHOOSE RATING</t>
        </is>
      </c>
      <c r="DQ470" s="40" t="inlineStr">
        <is>
          <t>CHOOSE RATING</t>
        </is>
      </c>
      <c r="DR470" s="43" t="inlineStr">
        <is>
          <t>2024/2025</t>
        </is>
      </c>
      <c r="DS470" s="45" t="inlineStr">
        <is>
          <t>THIRD</t>
        </is>
      </c>
      <c r="DT470" s="40" t="inlineStr">
        <is>
          <t>CHOOSE RATING</t>
        </is>
      </c>
      <c r="DU470" s="40" t="inlineStr">
        <is>
          <t>CHOOSE RATING</t>
        </is>
      </c>
      <c r="DV470" s="40" t="inlineStr">
        <is>
          <t>CHOOSE RATING</t>
        </is>
      </c>
      <c r="DW470" s="40" t="inlineStr">
        <is>
          <t>CHOOSE RATING</t>
        </is>
      </c>
      <c r="DX470" s="40" t="inlineStr">
        <is>
          <t>CHOOSE RATING</t>
        </is>
      </c>
      <c r="DY470" s="40" t="inlineStr">
        <is>
          <t>CHOOSE RATING</t>
        </is>
      </c>
      <c r="DZ470" s="53" t="inlineStr">
        <is>
          <t>CHOOSE RATING</t>
        </is>
      </c>
      <c r="EA470" s="54" t="inlineStr">
        <is>
          <t>Add the Tutor's Comment . . .</t>
        </is>
      </c>
      <c r="EB470" s="55" t="inlineStr">
        <is>
          <t>Choose Principals comment</t>
        </is>
      </c>
      <c r="EC470" s="56" t="n"/>
      <c r="ED470" s="57" t="inlineStr">
        <is>
          <t>Next Term Begins on Monday, 22nd September, 2025</t>
        </is>
      </c>
    </row>
    <row r="471" ht="30.6" customHeight="1" s="6">
      <c r="A471" s="18" t="n">
        <v>468</v>
      </c>
      <c r="B471" s="19" t="n"/>
      <c r="C471" s="20" t="n"/>
      <c r="D471" s="128" t="n"/>
      <c r="E471" s="21" t="n"/>
      <c r="F471" s="22" t="n"/>
      <c r="G471" s="22" t="n"/>
      <c r="H471" s="22" t="n"/>
      <c r="I471" s="26">
        <f>G471-H471</f>
        <v/>
      </c>
      <c r="J471" s="21" t="n"/>
      <c r="K471" s="21" t="n"/>
      <c r="L471" s="27">
        <f>SUM(J471:K471)</f>
        <v/>
      </c>
      <c r="M471" s="28" t="n"/>
      <c r="N471" s="28" t="n"/>
      <c r="O471" s="29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1" t="n"/>
      <c r="Q471" s="21" t="n"/>
      <c r="R471" s="27">
        <f>SUM(P471:Q471)</f>
        <v/>
      </c>
      <c r="S471" s="28" t="n"/>
      <c r="T471" s="28" t="n"/>
      <c r="U471" s="29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1" t="n"/>
      <c r="W471" s="21" t="n"/>
      <c r="X471" s="27">
        <f>SUM(V471:W471)</f>
        <v/>
      </c>
      <c r="Y471" s="28" t="n"/>
      <c r="Z471" s="28" t="n"/>
      <c r="AA471" s="29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1" t="n"/>
      <c r="AC471" s="21" t="n"/>
      <c r="AD471" s="27">
        <f>SUM(AB471:AC471)</f>
        <v/>
      </c>
      <c r="AE471" s="28" t="n"/>
      <c r="AF471" s="28" t="n"/>
      <c r="AG471" s="29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1" t="n"/>
      <c r="AI471" s="21" t="n"/>
      <c r="AJ471" s="27">
        <f>SUM(AH471:AI471)</f>
        <v/>
      </c>
      <c r="AK471" s="28" t="n"/>
      <c r="AL471" s="28" t="n"/>
      <c r="AM471" s="29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1" t="n"/>
      <c r="AO471" s="21" t="n"/>
      <c r="AP471" s="27">
        <f>SUM(AN471:AO471)</f>
        <v/>
      </c>
      <c r="AQ471" s="28" t="n"/>
      <c r="AR471" s="30" t="n"/>
      <c r="AS471" s="29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1" t="n"/>
      <c r="AU471" s="21" t="n"/>
      <c r="AV471" s="27">
        <f>SUM(AT471:AU471)</f>
        <v/>
      </c>
      <c r="AW471" s="28" t="n"/>
      <c r="AX471" s="30" t="n"/>
      <c r="AY471" s="29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1" t="n"/>
      <c r="BA471" s="21" t="n"/>
      <c r="BB471" s="27">
        <f>SUM(AZ471:BA471)</f>
        <v/>
      </c>
      <c r="BC471" s="28" t="n"/>
      <c r="BD471" s="28" t="n"/>
      <c r="BE471" s="29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1" t="n"/>
      <c r="BG471" s="21" t="n"/>
      <c r="BH471" s="27">
        <f>SUM(BF471:BG471)</f>
        <v/>
      </c>
      <c r="BI471" s="28" t="n"/>
      <c r="BJ471" s="28" t="n"/>
      <c r="BK471" s="29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1" t="n"/>
      <c r="BM471" s="21" t="n"/>
      <c r="BN471" s="27">
        <f>SUM(BL471:BM471)</f>
        <v/>
      </c>
      <c r="BO471" s="28" t="n"/>
      <c r="BP471" s="31" t="n"/>
      <c r="BQ471" s="29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1" t="n"/>
      <c r="BS471" s="21" t="n"/>
      <c r="BT471" s="27">
        <f>SUM(BR471:BS471)</f>
        <v/>
      </c>
      <c r="BU471" s="28" t="n"/>
      <c r="BV471" s="31" t="n"/>
      <c r="BW471" s="29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1" t="n"/>
      <c r="BY471" s="21" t="n"/>
      <c r="BZ471" s="27">
        <f>SUM(BX471:BY471)</f>
        <v/>
      </c>
      <c r="CA471" s="28" t="n"/>
      <c r="CB471" s="31" t="n"/>
      <c r="CC471" s="29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1" t="n"/>
      <c r="CE471" s="21" t="n"/>
      <c r="CF471" s="27">
        <f>SUM(CD471:CE471)</f>
        <v/>
      </c>
      <c r="CG471" s="28" t="n"/>
      <c r="CH471" s="31" t="n"/>
      <c r="CI471" s="29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1" t="n"/>
      <c r="CK471" s="21" t="n"/>
      <c r="CL471" s="27">
        <f>SUM(CJ471:CK471)</f>
        <v/>
      </c>
      <c r="CM471" s="28" t="n"/>
      <c r="CN471" s="31" t="n"/>
      <c r="CO471" s="29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1" t="n"/>
      <c r="CQ471" s="21" t="n"/>
      <c r="CR471" s="27">
        <f>SUM(CP471:CQ471)</f>
        <v/>
      </c>
      <c r="CS471" s="28" t="n"/>
      <c r="CT471" s="31" t="n"/>
      <c r="CU471" s="29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1" t="n"/>
      <c r="CW471" s="21" t="n"/>
      <c r="CX471" s="27">
        <f>SUM(CV471:CW471)</f>
        <v/>
      </c>
      <c r="CY471" s="28" t="n"/>
      <c r="CZ471" s="31" t="n"/>
      <c r="DA471" s="29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1" t="n"/>
      <c r="DC471" s="21" t="n"/>
      <c r="DD471" s="27">
        <f>SUM(DB471:DC471)</f>
        <v/>
      </c>
      <c r="DE471" s="28" t="n"/>
      <c r="DF471" s="31" t="n"/>
      <c r="DG471" s="29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34">
        <f>SUM(O471,U471,AA471,AG471,AM471,AS471,AY471,BE471,BK471,BQ471,BW471,CC471,CI471,CO471,CU471,DA471,DG471)</f>
        <v/>
      </c>
      <c r="DI471" s="39">
        <f>RANK(DH471,DH$4:DH$503)</f>
        <v/>
      </c>
      <c r="DJ471" s="40" t="inlineStr">
        <is>
          <t>CHOOSE RATING</t>
        </is>
      </c>
      <c r="DK471" s="40" t="inlineStr">
        <is>
          <t>CHOOSE RATING</t>
        </is>
      </c>
      <c r="DL471" s="40" t="inlineStr">
        <is>
          <t>CHOOSE RATING</t>
        </is>
      </c>
      <c r="DM471" s="40" t="inlineStr">
        <is>
          <t>CHOOSE RATING</t>
        </is>
      </c>
      <c r="DN471" s="40" t="inlineStr">
        <is>
          <t>CHOOSE RATING</t>
        </is>
      </c>
      <c r="DO471" s="40" t="inlineStr">
        <is>
          <t>CHOOSE RATING</t>
        </is>
      </c>
      <c r="DP471" s="40" t="inlineStr">
        <is>
          <t>CHOOSE RATING</t>
        </is>
      </c>
      <c r="DQ471" s="40" t="inlineStr">
        <is>
          <t>CHOOSE RATING</t>
        </is>
      </c>
      <c r="DR471" s="43" t="inlineStr">
        <is>
          <t>2024/2025</t>
        </is>
      </c>
      <c r="DS471" s="45" t="inlineStr">
        <is>
          <t>THIRD</t>
        </is>
      </c>
      <c r="DT471" s="40" t="inlineStr">
        <is>
          <t>CHOOSE RATING</t>
        </is>
      </c>
      <c r="DU471" s="40" t="inlineStr">
        <is>
          <t>CHOOSE RATING</t>
        </is>
      </c>
      <c r="DV471" s="40" t="inlineStr">
        <is>
          <t>CHOOSE RATING</t>
        </is>
      </c>
      <c r="DW471" s="40" t="inlineStr">
        <is>
          <t>CHOOSE RATING</t>
        </is>
      </c>
      <c r="DX471" s="40" t="inlineStr">
        <is>
          <t>CHOOSE RATING</t>
        </is>
      </c>
      <c r="DY471" s="40" t="inlineStr">
        <is>
          <t>CHOOSE RATING</t>
        </is>
      </c>
      <c r="DZ471" s="53" t="inlineStr">
        <is>
          <t>CHOOSE RATING</t>
        </is>
      </c>
      <c r="EA471" s="54" t="inlineStr">
        <is>
          <t>Add the Tutor's Comment . . .</t>
        </is>
      </c>
      <c r="EB471" s="55" t="inlineStr">
        <is>
          <t>Choose Principals comment</t>
        </is>
      </c>
      <c r="EC471" s="56" t="n"/>
      <c r="ED471" s="57" t="inlineStr">
        <is>
          <t>Next Term Begins on Monday, 22nd September, 2025</t>
        </is>
      </c>
    </row>
    <row r="472" ht="30.6" customHeight="1" s="6">
      <c r="A472" s="18" t="n">
        <v>469</v>
      </c>
      <c r="B472" s="19" t="n"/>
      <c r="C472" s="20" t="n"/>
      <c r="D472" s="128" t="n"/>
      <c r="E472" s="21" t="n"/>
      <c r="F472" s="22" t="n"/>
      <c r="G472" s="22" t="n"/>
      <c r="H472" s="22" t="n"/>
      <c r="I472" s="26">
        <f>G472-H472</f>
        <v/>
      </c>
      <c r="J472" s="21" t="n"/>
      <c r="K472" s="21" t="n"/>
      <c r="L472" s="27">
        <f>SUM(J472:K472)</f>
        <v/>
      </c>
      <c r="M472" s="28" t="n"/>
      <c r="N472" s="28" t="n"/>
      <c r="O472" s="29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1" t="n"/>
      <c r="Q472" s="21" t="n"/>
      <c r="R472" s="27">
        <f>SUM(P472:Q472)</f>
        <v/>
      </c>
      <c r="S472" s="28" t="n"/>
      <c r="T472" s="28" t="n"/>
      <c r="U472" s="29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1" t="n"/>
      <c r="W472" s="21" t="n"/>
      <c r="X472" s="27">
        <f>SUM(V472:W472)</f>
        <v/>
      </c>
      <c r="Y472" s="28" t="n"/>
      <c r="Z472" s="28" t="n"/>
      <c r="AA472" s="29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1" t="n"/>
      <c r="AC472" s="21" t="n"/>
      <c r="AD472" s="27">
        <f>SUM(AB472:AC472)</f>
        <v/>
      </c>
      <c r="AE472" s="28" t="n"/>
      <c r="AF472" s="28" t="n"/>
      <c r="AG472" s="29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1" t="n"/>
      <c r="AI472" s="21" t="n"/>
      <c r="AJ472" s="27">
        <f>SUM(AH472:AI472)</f>
        <v/>
      </c>
      <c r="AK472" s="28" t="n"/>
      <c r="AL472" s="28" t="n"/>
      <c r="AM472" s="29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1" t="n"/>
      <c r="AO472" s="21" t="n"/>
      <c r="AP472" s="27">
        <f>SUM(AN472:AO472)</f>
        <v/>
      </c>
      <c r="AQ472" s="28" t="n"/>
      <c r="AR472" s="30" t="n"/>
      <c r="AS472" s="29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1" t="n"/>
      <c r="AU472" s="21" t="n"/>
      <c r="AV472" s="27">
        <f>SUM(AT472:AU472)</f>
        <v/>
      </c>
      <c r="AW472" s="28" t="n"/>
      <c r="AX472" s="30" t="n"/>
      <c r="AY472" s="29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1" t="n"/>
      <c r="BA472" s="21" t="n"/>
      <c r="BB472" s="27">
        <f>SUM(AZ472:BA472)</f>
        <v/>
      </c>
      <c r="BC472" s="28" t="n"/>
      <c r="BD472" s="28" t="n"/>
      <c r="BE472" s="29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1" t="n"/>
      <c r="BG472" s="21" t="n"/>
      <c r="BH472" s="27">
        <f>SUM(BF472:BG472)</f>
        <v/>
      </c>
      <c r="BI472" s="28" t="n"/>
      <c r="BJ472" s="28" t="n"/>
      <c r="BK472" s="29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1" t="n"/>
      <c r="BM472" s="21" t="n"/>
      <c r="BN472" s="27">
        <f>SUM(BL472:BM472)</f>
        <v/>
      </c>
      <c r="BO472" s="28" t="n"/>
      <c r="BP472" s="31" t="n"/>
      <c r="BQ472" s="29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1" t="n"/>
      <c r="BS472" s="21" t="n"/>
      <c r="BT472" s="27">
        <f>SUM(BR472:BS472)</f>
        <v/>
      </c>
      <c r="BU472" s="28" t="n"/>
      <c r="BV472" s="31" t="n"/>
      <c r="BW472" s="29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1" t="n"/>
      <c r="BY472" s="21" t="n"/>
      <c r="BZ472" s="27">
        <f>SUM(BX472:BY472)</f>
        <v/>
      </c>
      <c r="CA472" s="28" t="n"/>
      <c r="CB472" s="31" t="n"/>
      <c r="CC472" s="29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1" t="n"/>
      <c r="CE472" s="21" t="n"/>
      <c r="CF472" s="27">
        <f>SUM(CD472:CE472)</f>
        <v/>
      </c>
      <c r="CG472" s="28" t="n"/>
      <c r="CH472" s="31" t="n"/>
      <c r="CI472" s="29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1" t="n"/>
      <c r="CK472" s="21" t="n"/>
      <c r="CL472" s="27">
        <f>SUM(CJ472:CK472)</f>
        <v/>
      </c>
      <c r="CM472" s="28" t="n"/>
      <c r="CN472" s="31" t="n"/>
      <c r="CO472" s="29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1" t="n"/>
      <c r="CQ472" s="21" t="n"/>
      <c r="CR472" s="27">
        <f>SUM(CP472:CQ472)</f>
        <v/>
      </c>
      <c r="CS472" s="28" t="n"/>
      <c r="CT472" s="31" t="n"/>
      <c r="CU472" s="29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1" t="n"/>
      <c r="CW472" s="21" t="n"/>
      <c r="CX472" s="27">
        <f>SUM(CV472:CW472)</f>
        <v/>
      </c>
      <c r="CY472" s="28" t="n"/>
      <c r="CZ472" s="31" t="n"/>
      <c r="DA472" s="29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1" t="n"/>
      <c r="DC472" s="21" t="n"/>
      <c r="DD472" s="27">
        <f>SUM(DB472:DC472)</f>
        <v/>
      </c>
      <c r="DE472" s="28" t="n"/>
      <c r="DF472" s="31" t="n"/>
      <c r="DG472" s="29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34">
        <f>SUM(O472,U472,AA472,AG472,AM472,AS472,AY472,BE472,BK472,BQ472,BW472,CC472,CI472,CO472,CU472,DA472,DG472)</f>
        <v/>
      </c>
      <c r="DI472" s="39">
        <f>RANK(DH472,DH$4:DH$503)</f>
        <v/>
      </c>
      <c r="DJ472" s="40" t="inlineStr">
        <is>
          <t>CHOOSE RATING</t>
        </is>
      </c>
      <c r="DK472" s="40" t="inlineStr">
        <is>
          <t>CHOOSE RATING</t>
        </is>
      </c>
      <c r="DL472" s="40" t="inlineStr">
        <is>
          <t>CHOOSE RATING</t>
        </is>
      </c>
      <c r="DM472" s="40" t="inlineStr">
        <is>
          <t>CHOOSE RATING</t>
        </is>
      </c>
      <c r="DN472" s="40" t="inlineStr">
        <is>
          <t>CHOOSE RATING</t>
        </is>
      </c>
      <c r="DO472" s="40" t="inlineStr">
        <is>
          <t>CHOOSE RATING</t>
        </is>
      </c>
      <c r="DP472" s="40" t="inlineStr">
        <is>
          <t>CHOOSE RATING</t>
        </is>
      </c>
      <c r="DQ472" s="40" t="inlineStr">
        <is>
          <t>CHOOSE RATING</t>
        </is>
      </c>
      <c r="DR472" s="43" t="inlineStr">
        <is>
          <t>2024/2025</t>
        </is>
      </c>
      <c r="DS472" s="45" t="inlineStr">
        <is>
          <t>THIRD</t>
        </is>
      </c>
      <c r="DT472" s="40" t="inlineStr">
        <is>
          <t>CHOOSE RATING</t>
        </is>
      </c>
      <c r="DU472" s="40" t="inlineStr">
        <is>
          <t>CHOOSE RATING</t>
        </is>
      </c>
      <c r="DV472" s="40" t="inlineStr">
        <is>
          <t>CHOOSE RATING</t>
        </is>
      </c>
      <c r="DW472" s="40" t="inlineStr">
        <is>
          <t>CHOOSE RATING</t>
        </is>
      </c>
      <c r="DX472" s="40" t="inlineStr">
        <is>
          <t>CHOOSE RATING</t>
        </is>
      </c>
      <c r="DY472" s="40" t="inlineStr">
        <is>
          <t>CHOOSE RATING</t>
        </is>
      </c>
      <c r="DZ472" s="53" t="inlineStr">
        <is>
          <t>CHOOSE RATING</t>
        </is>
      </c>
      <c r="EA472" s="54" t="inlineStr">
        <is>
          <t>Add the Tutor's Comment . . .</t>
        </is>
      </c>
      <c r="EB472" s="55" t="inlineStr">
        <is>
          <t>Choose Principals comment</t>
        </is>
      </c>
      <c r="EC472" s="56" t="n"/>
      <c r="ED472" s="57" t="inlineStr">
        <is>
          <t>Next Term Begins on Monday, 22nd September, 2025</t>
        </is>
      </c>
    </row>
    <row r="473" ht="30.6" customHeight="1" s="6">
      <c r="A473" s="18" t="n">
        <v>470</v>
      </c>
      <c r="B473" s="19" t="n"/>
      <c r="C473" s="20" t="n"/>
      <c r="D473" s="128" t="n"/>
      <c r="E473" s="21" t="n"/>
      <c r="F473" s="22" t="n"/>
      <c r="G473" s="22" t="n"/>
      <c r="H473" s="22" t="n"/>
      <c r="I473" s="26">
        <f>G473-H473</f>
        <v/>
      </c>
      <c r="J473" s="21" t="n"/>
      <c r="K473" s="21" t="n"/>
      <c r="L473" s="27">
        <f>SUM(J473:K473)</f>
        <v/>
      </c>
      <c r="M473" s="28" t="n"/>
      <c r="N473" s="28" t="n"/>
      <c r="O473" s="29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1" t="n"/>
      <c r="Q473" s="21" t="n"/>
      <c r="R473" s="27">
        <f>SUM(P473:Q473)</f>
        <v/>
      </c>
      <c r="S473" s="28" t="n"/>
      <c r="T473" s="28" t="n"/>
      <c r="U473" s="29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1" t="n"/>
      <c r="W473" s="21" t="n"/>
      <c r="X473" s="27">
        <f>SUM(V473:W473)</f>
        <v/>
      </c>
      <c r="Y473" s="28" t="n"/>
      <c r="Z473" s="28" t="n"/>
      <c r="AA473" s="29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1" t="n"/>
      <c r="AC473" s="21" t="n"/>
      <c r="AD473" s="27">
        <f>SUM(AB473:AC473)</f>
        <v/>
      </c>
      <c r="AE473" s="28" t="n"/>
      <c r="AF473" s="28" t="n"/>
      <c r="AG473" s="29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1" t="n"/>
      <c r="AI473" s="21" t="n"/>
      <c r="AJ473" s="27">
        <f>SUM(AH473:AI473)</f>
        <v/>
      </c>
      <c r="AK473" s="28" t="n"/>
      <c r="AL473" s="28" t="n"/>
      <c r="AM473" s="29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1" t="n"/>
      <c r="AO473" s="21" t="n"/>
      <c r="AP473" s="27">
        <f>SUM(AN473:AO473)</f>
        <v/>
      </c>
      <c r="AQ473" s="28" t="n"/>
      <c r="AR473" s="30" t="n"/>
      <c r="AS473" s="29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1" t="n"/>
      <c r="AU473" s="21" t="n"/>
      <c r="AV473" s="27">
        <f>SUM(AT473:AU473)</f>
        <v/>
      </c>
      <c r="AW473" s="28" t="n"/>
      <c r="AX473" s="30" t="n"/>
      <c r="AY473" s="29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1" t="n"/>
      <c r="BA473" s="21" t="n"/>
      <c r="BB473" s="27">
        <f>SUM(AZ473:BA473)</f>
        <v/>
      </c>
      <c r="BC473" s="28" t="n"/>
      <c r="BD473" s="28" t="n"/>
      <c r="BE473" s="29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1" t="n"/>
      <c r="BG473" s="21" t="n"/>
      <c r="BH473" s="27">
        <f>SUM(BF473:BG473)</f>
        <v/>
      </c>
      <c r="BI473" s="28" t="n"/>
      <c r="BJ473" s="28" t="n"/>
      <c r="BK473" s="29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1" t="n"/>
      <c r="BM473" s="21" t="n"/>
      <c r="BN473" s="27">
        <f>SUM(BL473:BM473)</f>
        <v/>
      </c>
      <c r="BO473" s="28" t="n"/>
      <c r="BP473" s="31" t="n"/>
      <c r="BQ473" s="29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1" t="n"/>
      <c r="BS473" s="21" t="n"/>
      <c r="BT473" s="27">
        <f>SUM(BR473:BS473)</f>
        <v/>
      </c>
      <c r="BU473" s="28" t="n"/>
      <c r="BV473" s="31" t="n"/>
      <c r="BW473" s="29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1" t="n"/>
      <c r="BY473" s="21" t="n"/>
      <c r="BZ473" s="27">
        <f>SUM(BX473:BY473)</f>
        <v/>
      </c>
      <c r="CA473" s="28" t="n"/>
      <c r="CB473" s="31" t="n"/>
      <c r="CC473" s="29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1" t="n"/>
      <c r="CE473" s="21" t="n"/>
      <c r="CF473" s="27">
        <f>SUM(CD473:CE473)</f>
        <v/>
      </c>
      <c r="CG473" s="28" t="n"/>
      <c r="CH473" s="31" t="n"/>
      <c r="CI473" s="29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1" t="n"/>
      <c r="CK473" s="21" t="n"/>
      <c r="CL473" s="27">
        <f>SUM(CJ473:CK473)</f>
        <v/>
      </c>
      <c r="CM473" s="28" t="n"/>
      <c r="CN473" s="31" t="n"/>
      <c r="CO473" s="29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1" t="n"/>
      <c r="CQ473" s="21" t="n"/>
      <c r="CR473" s="27">
        <f>SUM(CP473:CQ473)</f>
        <v/>
      </c>
      <c r="CS473" s="28" t="n"/>
      <c r="CT473" s="31" t="n"/>
      <c r="CU473" s="29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1" t="n"/>
      <c r="CW473" s="21" t="n"/>
      <c r="CX473" s="27">
        <f>SUM(CV473:CW473)</f>
        <v/>
      </c>
      <c r="CY473" s="28" t="n"/>
      <c r="CZ473" s="31" t="n"/>
      <c r="DA473" s="29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1" t="n"/>
      <c r="DC473" s="21" t="n"/>
      <c r="DD473" s="27">
        <f>SUM(DB473:DC473)</f>
        <v/>
      </c>
      <c r="DE473" s="28" t="n"/>
      <c r="DF473" s="31" t="n"/>
      <c r="DG473" s="29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34">
        <f>SUM(O473,U473,AA473,AG473,AM473,AS473,AY473,BE473,BK473,BQ473,BW473,CC473,CI473,CO473,CU473,DA473,DG473)</f>
        <v/>
      </c>
      <c r="DI473" s="39">
        <f>RANK(DH473,DH$4:DH$503)</f>
        <v/>
      </c>
      <c r="DJ473" s="40" t="inlineStr">
        <is>
          <t>CHOOSE RATING</t>
        </is>
      </c>
      <c r="DK473" s="40" t="inlineStr">
        <is>
          <t>CHOOSE RATING</t>
        </is>
      </c>
      <c r="DL473" s="40" t="inlineStr">
        <is>
          <t>CHOOSE RATING</t>
        </is>
      </c>
      <c r="DM473" s="40" t="inlineStr">
        <is>
          <t>CHOOSE RATING</t>
        </is>
      </c>
      <c r="DN473" s="40" t="inlineStr">
        <is>
          <t>CHOOSE RATING</t>
        </is>
      </c>
      <c r="DO473" s="40" t="inlineStr">
        <is>
          <t>CHOOSE RATING</t>
        </is>
      </c>
      <c r="DP473" s="40" t="inlineStr">
        <is>
          <t>CHOOSE RATING</t>
        </is>
      </c>
      <c r="DQ473" s="40" t="inlineStr">
        <is>
          <t>CHOOSE RATING</t>
        </is>
      </c>
      <c r="DR473" s="43" t="inlineStr">
        <is>
          <t>2024/2025</t>
        </is>
      </c>
      <c r="DS473" s="45" t="inlineStr">
        <is>
          <t>THIRD</t>
        </is>
      </c>
      <c r="DT473" s="40" t="inlineStr">
        <is>
          <t>CHOOSE RATING</t>
        </is>
      </c>
      <c r="DU473" s="40" t="inlineStr">
        <is>
          <t>CHOOSE RATING</t>
        </is>
      </c>
      <c r="DV473" s="40" t="inlineStr">
        <is>
          <t>CHOOSE RATING</t>
        </is>
      </c>
      <c r="DW473" s="40" t="inlineStr">
        <is>
          <t>CHOOSE RATING</t>
        </is>
      </c>
      <c r="DX473" s="40" t="inlineStr">
        <is>
          <t>CHOOSE RATING</t>
        </is>
      </c>
      <c r="DY473" s="40" t="inlineStr">
        <is>
          <t>CHOOSE RATING</t>
        </is>
      </c>
      <c r="DZ473" s="53" t="inlineStr">
        <is>
          <t>CHOOSE RATING</t>
        </is>
      </c>
      <c r="EA473" s="54" t="inlineStr">
        <is>
          <t>Add the Tutor's Comment . . .</t>
        </is>
      </c>
      <c r="EB473" s="55" t="inlineStr">
        <is>
          <t>Choose Principals comment</t>
        </is>
      </c>
      <c r="EC473" s="56" t="n"/>
      <c r="ED473" s="57" t="inlineStr">
        <is>
          <t>Next Term Begins on Monday, 22nd September, 2025</t>
        </is>
      </c>
    </row>
    <row r="474" ht="30.6" customHeight="1" s="6">
      <c r="A474" s="18" t="n">
        <v>471</v>
      </c>
      <c r="B474" s="19" t="n"/>
      <c r="C474" s="20" t="n"/>
      <c r="D474" s="128" t="n"/>
      <c r="E474" s="21" t="n"/>
      <c r="F474" s="22" t="n"/>
      <c r="G474" s="22" t="n"/>
      <c r="H474" s="22" t="n"/>
      <c r="I474" s="26">
        <f>G474-H474</f>
        <v/>
      </c>
      <c r="J474" s="21" t="n"/>
      <c r="K474" s="21" t="n"/>
      <c r="L474" s="27">
        <f>SUM(J474:K474)</f>
        <v/>
      </c>
      <c r="M474" s="28" t="n"/>
      <c r="N474" s="28" t="n"/>
      <c r="O474" s="29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1" t="n"/>
      <c r="Q474" s="21" t="n"/>
      <c r="R474" s="27">
        <f>SUM(P474:Q474)</f>
        <v/>
      </c>
      <c r="S474" s="28" t="n"/>
      <c r="T474" s="28" t="n"/>
      <c r="U474" s="29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1" t="n"/>
      <c r="W474" s="21" t="n"/>
      <c r="X474" s="27">
        <f>SUM(V474:W474)</f>
        <v/>
      </c>
      <c r="Y474" s="28" t="n"/>
      <c r="Z474" s="28" t="n"/>
      <c r="AA474" s="29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1" t="n"/>
      <c r="AC474" s="21" t="n"/>
      <c r="AD474" s="27">
        <f>SUM(AB474:AC474)</f>
        <v/>
      </c>
      <c r="AE474" s="28" t="n"/>
      <c r="AF474" s="28" t="n"/>
      <c r="AG474" s="29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1" t="n"/>
      <c r="AI474" s="21" t="n"/>
      <c r="AJ474" s="27">
        <f>SUM(AH474:AI474)</f>
        <v/>
      </c>
      <c r="AK474" s="28" t="n"/>
      <c r="AL474" s="28" t="n"/>
      <c r="AM474" s="29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1" t="n"/>
      <c r="AO474" s="21" t="n"/>
      <c r="AP474" s="27">
        <f>SUM(AN474:AO474)</f>
        <v/>
      </c>
      <c r="AQ474" s="28" t="n"/>
      <c r="AR474" s="30" t="n"/>
      <c r="AS474" s="29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1" t="n"/>
      <c r="AU474" s="21" t="n"/>
      <c r="AV474" s="27">
        <f>SUM(AT474:AU474)</f>
        <v/>
      </c>
      <c r="AW474" s="28" t="n"/>
      <c r="AX474" s="30" t="n"/>
      <c r="AY474" s="29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1" t="n"/>
      <c r="BA474" s="21" t="n"/>
      <c r="BB474" s="27">
        <f>SUM(AZ474:BA474)</f>
        <v/>
      </c>
      <c r="BC474" s="28" t="n"/>
      <c r="BD474" s="28" t="n"/>
      <c r="BE474" s="29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1" t="n"/>
      <c r="BG474" s="21" t="n"/>
      <c r="BH474" s="27">
        <f>SUM(BF474:BG474)</f>
        <v/>
      </c>
      <c r="BI474" s="28" t="n"/>
      <c r="BJ474" s="28" t="n"/>
      <c r="BK474" s="29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1" t="n"/>
      <c r="BM474" s="21" t="n"/>
      <c r="BN474" s="27">
        <f>SUM(BL474:BM474)</f>
        <v/>
      </c>
      <c r="BO474" s="28" t="n"/>
      <c r="BP474" s="31" t="n"/>
      <c r="BQ474" s="29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1" t="n"/>
      <c r="BS474" s="21" t="n"/>
      <c r="BT474" s="27">
        <f>SUM(BR474:BS474)</f>
        <v/>
      </c>
      <c r="BU474" s="28" t="n"/>
      <c r="BV474" s="31" t="n"/>
      <c r="BW474" s="29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1" t="n"/>
      <c r="BY474" s="21" t="n"/>
      <c r="BZ474" s="27">
        <f>SUM(BX474:BY474)</f>
        <v/>
      </c>
      <c r="CA474" s="28" t="n"/>
      <c r="CB474" s="31" t="n"/>
      <c r="CC474" s="29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1" t="n"/>
      <c r="CE474" s="21" t="n"/>
      <c r="CF474" s="27">
        <f>SUM(CD474:CE474)</f>
        <v/>
      </c>
      <c r="CG474" s="28" t="n"/>
      <c r="CH474" s="31" t="n"/>
      <c r="CI474" s="29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1" t="n"/>
      <c r="CK474" s="21" t="n"/>
      <c r="CL474" s="27">
        <f>SUM(CJ474:CK474)</f>
        <v/>
      </c>
      <c r="CM474" s="28" t="n"/>
      <c r="CN474" s="31" t="n"/>
      <c r="CO474" s="29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1" t="n"/>
      <c r="CQ474" s="21" t="n"/>
      <c r="CR474" s="27">
        <f>SUM(CP474:CQ474)</f>
        <v/>
      </c>
      <c r="CS474" s="28" t="n"/>
      <c r="CT474" s="31" t="n"/>
      <c r="CU474" s="29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1" t="n"/>
      <c r="CW474" s="21" t="n"/>
      <c r="CX474" s="27">
        <f>SUM(CV474:CW474)</f>
        <v/>
      </c>
      <c r="CY474" s="28" t="n"/>
      <c r="CZ474" s="31" t="n"/>
      <c r="DA474" s="29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1" t="n"/>
      <c r="DC474" s="21" t="n"/>
      <c r="DD474" s="27">
        <f>SUM(DB474:DC474)</f>
        <v/>
      </c>
      <c r="DE474" s="28" t="n"/>
      <c r="DF474" s="31" t="n"/>
      <c r="DG474" s="29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34">
        <f>SUM(O474,U474,AA474,AG474,AM474,AS474,AY474,BE474,BK474,BQ474,BW474,CC474,CI474,CO474,CU474,DA474,DG474)</f>
        <v/>
      </c>
      <c r="DI474" s="39">
        <f>RANK(DH474,DH$4:DH$503)</f>
        <v/>
      </c>
      <c r="DJ474" s="40" t="inlineStr">
        <is>
          <t>CHOOSE RATING</t>
        </is>
      </c>
      <c r="DK474" s="40" t="inlineStr">
        <is>
          <t>CHOOSE RATING</t>
        </is>
      </c>
      <c r="DL474" s="40" t="inlineStr">
        <is>
          <t>CHOOSE RATING</t>
        </is>
      </c>
      <c r="DM474" s="40" t="inlineStr">
        <is>
          <t>CHOOSE RATING</t>
        </is>
      </c>
      <c r="DN474" s="40" t="inlineStr">
        <is>
          <t>CHOOSE RATING</t>
        </is>
      </c>
      <c r="DO474" s="40" t="inlineStr">
        <is>
          <t>CHOOSE RATING</t>
        </is>
      </c>
      <c r="DP474" s="40" t="inlineStr">
        <is>
          <t>CHOOSE RATING</t>
        </is>
      </c>
      <c r="DQ474" s="40" t="inlineStr">
        <is>
          <t>CHOOSE RATING</t>
        </is>
      </c>
      <c r="DR474" s="43" t="inlineStr">
        <is>
          <t>2024/2025</t>
        </is>
      </c>
      <c r="DS474" s="45" t="inlineStr">
        <is>
          <t>THIRD</t>
        </is>
      </c>
      <c r="DT474" s="40" t="inlineStr">
        <is>
          <t>CHOOSE RATING</t>
        </is>
      </c>
      <c r="DU474" s="40" t="inlineStr">
        <is>
          <t>CHOOSE RATING</t>
        </is>
      </c>
      <c r="DV474" s="40" t="inlineStr">
        <is>
          <t>CHOOSE RATING</t>
        </is>
      </c>
      <c r="DW474" s="40" t="inlineStr">
        <is>
          <t>CHOOSE RATING</t>
        </is>
      </c>
      <c r="DX474" s="40" t="inlineStr">
        <is>
          <t>CHOOSE RATING</t>
        </is>
      </c>
      <c r="DY474" s="40" t="inlineStr">
        <is>
          <t>CHOOSE RATING</t>
        </is>
      </c>
      <c r="DZ474" s="53" t="inlineStr">
        <is>
          <t>CHOOSE RATING</t>
        </is>
      </c>
      <c r="EA474" s="54" t="inlineStr">
        <is>
          <t>Add the Tutor's Comment . . .</t>
        </is>
      </c>
      <c r="EB474" s="55" t="inlineStr">
        <is>
          <t>Choose Principals comment</t>
        </is>
      </c>
      <c r="EC474" s="56" t="n"/>
      <c r="ED474" s="57" t="inlineStr">
        <is>
          <t>Next Term Begins on Monday, 22nd September, 2025</t>
        </is>
      </c>
    </row>
    <row r="475" ht="30.6" customHeight="1" s="6">
      <c r="A475" s="18" t="n">
        <v>472</v>
      </c>
      <c r="B475" s="19" t="n"/>
      <c r="C475" s="20" t="n"/>
      <c r="D475" s="128" t="n"/>
      <c r="E475" s="21" t="n"/>
      <c r="F475" s="22" t="n"/>
      <c r="G475" s="22" t="n"/>
      <c r="H475" s="22" t="n"/>
      <c r="I475" s="26">
        <f>G475-H475</f>
        <v/>
      </c>
      <c r="J475" s="21" t="n"/>
      <c r="K475" s="21" t="n"/>
      <c r="L475" s="27">
        <f>SUM(J475:K475)</f>
        <v/>
      </c>
      <c r="M475" s="28" t="n"/>
      <c r="N475" s="28" t="n"/>
      <c r="O475" s="29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1" t="n"/>
      <c r="Q475" s="21" t="n"/>
      <c r="R475" s="27">
        <f>SUM(P475:Q475)</f>
        <v/>
      </c>
      <c r="S475" s="28" t="n"/>
      <c r="T475" s="28" t="n"/>
      <c r="U475" s="29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1" t="n"/>
      <c r="W475" s="21" t="n"/>
      <c r="X475" s="27">
        <f>SUM(V475:W475)</f>
        <v/>
      </c>
      <c r="Y475" s="28" t="n"/>
      <c r="Z475" s="28" t="n"/>
      <c r="AA475" s="29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1" t="n"/>
      <c r="AC475" s="21" t="n"/>
      <c r="AD475" s="27">
        <f>SUM(AB475:AC475)</f>
        <v/>
      </c>
      <c r="AE475" s="28" t="n"/>
      <c r="AF475" s="28" t="n"/>
      <c r="AG475" s="29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1" t="n"/>
      <c r="AI475" s="21" t="n"/>
      <c r="AJ475" s="27">
        <f>SUM(AH475:AI475)</f>
        <v/>
      </c>
      <c r="AK475" s="28" t="n"/>
      <c r="AL475" s="28" t="n"/>
      <c r="AM475" s="29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1" t="n"/>
      <c r="AO475" s="21" t="n"/>
      <c r="AP475" s="27">
        <f>SUM(AN475:AO475)</f>
        <v/>
      </c>
      <c r="AQ475" s="28" t="n"/>
      <c r="AR475" s="30" t="n"/>
      <c r="AS475" s="29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1" t="n"/>
      <c r="AU475" s="21" t="n"/>
      <c r="AV475" s="27">
        <f>SUM(AT475:AU475)</f>
        <v/>
      </c>
      <c r="AW475" s="28" t="n"/>
      <c r="AX475" s="30" t="n"/>
      <c r="AY475" s="29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1" t="n"/>
      <c r="BA475" s="21" t="n"/>
      <c r="BB475" s="27">
        <f>SUM(AZ475:BA475)</f>
        <v/>
      </c>
      <c r="BC475" s="28" t="n"/>
      <c r="BD475" s="28" t="n"/>
      <c r="BE475" s="29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1" t="n"/>
      <c r="BG475" s="21" t="n"/>
      <c r="BH475" s="27">
        <f>SUM(BF475:BG475)</f>
        <v/>
      </c>
      <c r="BI475" s="28" t="n"/>
      <c r="BJ475" s="28" t="n"/>
      <c r="BK475" s="29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1" t="n"/>
      <c r="BM475" s="21" t="n"/>
      <c r="BN475" s="27">
        <f>SUM(BL475:BM475)</f>
        <v/>
      </c>
      <c r="BO475" s="28" t="n"/>
      <c r="BP475" s="31" t="n"/>
      <c r="BQ475" s="29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1" t="n"/>
      <c r="BS475" s="21" t="n"/>
      <c r="BT475" s="27">
        <f>SUM(BR475:BS475)</f>
        <v/>
      </c>
      <c r="BU475" s="28" t="n"/>
      <c r="BV475" s="31" t="n"/>
      <c r="BW475" s="29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1" t="n"/>
      <c r="BY475" s="21" t="n"/>
      <c r="BZ475" s="27">
        <f>SUM(BX475:BY475)</f>
        <v/>
      </c>
      <c r="CA475" s="28" t="n"/>
      <c r="CB475" s="31" t="n"/>
      <c r="CC475" s="29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1" t="n"/>
      <c r="CE475" s="21" t="n"/>
      <c r="CF475" s="27">
        <f>SUM(CD475:CE475)</f>
        <v/>
      </c>
      <c r="CG475" s="28" t="n"/>
      <c r="CH475" s="31" t="n"/>
      <c r="CI475" s="29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1" t="n"/>
      <c r="CK475" s="21" t="n"/>
      <c r="CL475" s="27">
        <f>SUM(CJ475:CK475)</f>
        <v/>
      </c>
      <c r="CM475" s="28" t="n"/>
      <c r="CN475" s="31" t="n"/>
      <c r="CO475" s="29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1" t="n"/>
      <c r="CQ475" s="21" t="n"/>
      <c r="CR475" s="27">
        <f>SUM(CP475:CQ475)</f>
        <v/>
      </c>
      <c r="CS475" s="28" t="n"/>
      <c r="CT475" s="31" t="n"/>
      <c r="CU475" s="29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1" t="n"/>
      <c r="CW475" s="21" t="n"/>
      <c r="CX475" s="27">
        <f>SUM(CV475:CW475)</f>
        <v/>
      </c>
      <c r="CY475" s="28" t="n"/>
      <c r="CZ475" s="31" t="n"/>
      <c r="DA475" s="29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1" t="n"/>
      <c r="DC475" s="21" t="n"/>
      <c r="DD475" s="27">
        <f>SUM(DB475:DC475)</f>
        <v/>
      </c>
      <c r="DE475" s="28" t="n"/>
      <c r="DF475" s="31" t="n"/>
      <c r="DG475" s="29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34">
        <f>SUM(O475,U475,AA475,AG475,AM475,AS475,AY475,BE475,BK475,BQ475,BW475,CC475,CI475,CO475,CU475,DA475,DG475)</f>
        <v/>
      </c>
      <c r="DI475" s="39">
        <f>RANK(DH475,DH$4:DH$503)</f>
        <v/>
      </c>
      <c r="DJ475" s="40" t="inlineStr">
        <is>
          <t>CHOOSE RATING</t>
        </is>
      </c>
      <c r="DK475" s="40" t="inlineStr">
        <is>
          <t>CHOOSE RATING</t>
        </is>
      </c>
      <c r="DL475" s="40" t="inlineStr">
        <is>
          <t>CHOOSE RATING</t>
        </is>
      </c>
      <c r="DM475" s="40" t="inlineStr">
        <is>
          <t>CHOOSE RATING</t>
        </is>
      </c>
      <c r="DN475" s="40" t="inlineStr">
        <is>
          <t>CHOOSE RATING</t>
        </is>
      </c>
      <c r="DO475" s="40" t="inlineStr">
        <is>
          <t>CHOOSE RATING</t>
        </is>
      </c>
      <c r="DP475" s="40" t="inlineStr">
        <is>
          <t>CHOOSE RATING</t>
        </is>
      </c>
      <c r="DQ475" s="40" t="inlineStr">
        <is>
          <t>CHOOSE RATING</t>
        </is>
      </c>
      <c r="DR475" s="43" t="inlineStr">
        <is>
          <t>2024/2025</t>
        </is>
      </c>
      <c r="DS475" s="45" t="inlineStr">
        <is>
          <t>THIRD</t>
        </is>
      </c>
      <c r="DT475" s="40" t="inlineStr">
        <is>
          <t>CHOOSE RATING</t>
        </is>
      </c>
      <c r="DU475" s="40" t="inlineStr">
        <is>
          <t>CHOOSE RATING</t>
        </is>
      </c>
      <c r="DV475" s="40" t="inlineStr">
        <is>
          <t>CHOOSE RATING</t>
        </is>
      </c>
      <c r="DW475" s="40" t="inlineStr">
        <is>
          <t>CHOOSE RATING</t>
        </is>
      </c>
      <c r="DX475" s="40" t="inlineStr">
        <is>
          <t>CHOOSE RATING</t>
        </is>
      </c>
      <c r="DY475" s="40" t="inlineStr">
        <is>
          <t>CHOOSE RATING</t>
        </is>
      </c>
      <c r="DZ475" s="53" t="inlineStr">
        <is>
          <t>CHOOSE RATING</t>
        </is>
      </c>
      <c r="EA475" s="54" t="inlineStr">
        <is>
          <t>Add the Tutor's Comment . . .</t>
        </is>
      </c>
      <c r="EB475" s="55" t="inlineStr">
        <is>
          <t>Choose Principals comment</t>
        </is>
      </c>
      <c r="EC475" s="56" t="n"/>
      <c r="ED475" s="57" t="inlineStr">
        <is>
          <t>Next Term Begins on Monday, 22nd September, 2025</t>
        </is>
      </c>
    </row>
    <row r="476" ht="30.6" customHeight="1" s="6">
      <c r="A476" s="18" t="n">
        <v>473</v>
      </c>
      <c r="B476" s="19" t="n"/>
      <c r="C476" s="20" t="n"/>
      <c r="D476" s="128" t="n"/>
      <c r="E476" s="21" t="n"/>
      <c r="F476" s="22" t="n"/>
      <c r="G476" s="22" t="n"/>
      <c r="H476" s="22" t="n"/>
      <c r="I476" s="26">
        <f>G476-H476</f>
        <v/>
      </c>
      <c r="J476" s="21" t="n"/>
      <c r="K476" s="21" t="n"/>
      <c r="L476" s="27">
        <f>SUM(J476:K476)</f>
        <v/>
      </c>
      <c r="M476" s="28" t="n"/>
      <c r="N476" s="28" t="n"/>
      <c r="O476" s="29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1" t="n"/>
      <c r="Q476" s="21" t="n"/>
      <c r="R476" s="27">
        <f>SUM(P476:Q476)</f>
        <v/>
      </c>
      <c r="S476" s="28" t="n"/>
      <c r="T476" s="28" t="n"/>
      <c r="U476" s="29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1" t="n"/>
      <c r="W476" s="21" t="n"/>
      <c r="X476" s="27">
        <f>SUM(V476:W476)</f>
        <v/>
      </c>
      <c r="Y476" s="28" t="n"/>
      <c r="Z476" s="28" t="n"/>
      <c r="AA476" s="29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1" t="n"/>
      <c r="AC476" s="21" t="n"/>
      <c r="AD476" s="27">
        <f>SUM(AB476:AC476)</f>
        <v/>
      </c>
      <c r="AE476" s="28" t="n"/>
      <c r="AF476" s="28" t="n"/>
      <c r="AG476" s="29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1" t="n"/>
      <c r="AI476" s="21" t="n"/>
      <c r="AJ476" s="27">
        <f>SUM(AH476:AI476)</f>
        <v/>
      </c>
      <c r="AK476" s="28" t="n"/>
      <c r="AL476" s="28" t="n"/>
      <c r="AM476" s="29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1" t="n"/>
      <c r="AO476" s="21" t="n"/>
      <c r="AP476" s="27">
        <f>SUM(AN476:AO476)</f>
        <v/>
      </c>
      <c r="AQ476" s="28" t="n"/>
      <c r="AR476" s="30" t="n"/>
      <c r="AS476" s="29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1" t="n"/>
      <c r="AU476" s="21" t="n"/>
      <c r="AV476" s="27">
        <f>SUM(AT476:AU476)</f>
        <v/>
      </c>
      <c r="AW476" s="28" t="n"/>
      <c r="AX476" s="30" t="n"/>
      <c r="AY476" s="29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1" t="n"/>
      <c r="BA476" s="21" t="n"/>
      <c r="BB476" s="27">
        <f>SUM(AZ476:BA476)</f>
        <v/>
      </c>
      <c r="BC476" s="28" t="n"/>
      <c r="BD476" s="28" t="n"/>
      <c r="BE476" s="29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1" t="n"/>
      <c r="BG476" s="21" t="n"/>
      <c r="BH476" s="27">
        <f>SUM(BF476:BG476)</f>
        <v/>
      </c>
      <c r="BI476" s="28" t="n"/>
      <c r="BJ476" s="28" t="n"/>
      <c r="BK476" s="29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1" t="n"/>
      <c r="BM476" s="21" t="n"/>
      <c r="BN476" s="27">
        <f>SUM(BL476:BM476)</f>
        <v/>
      </c>
      <c r="BO476" s="28" t="n"/>
      <c r="BP476" s="31" t="n"/>
      <c r="BQ476" s="29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1" t="n"/>
      <c r="BS476" s="21" t="n"/>
      <c r="BT476" s="27">
        <f>SUM(BR476:BS476)</f>
        <v/>
      </c>
      <c r="BU476" s="28" t="n"/>
      <c r="BV476" s="31" t="n"/>
      <c r="BW476" s="29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1" t="n"/>
      <c r="BY476" s="21" t="n"/>
      <c r="BZ476" s="27">
        <f>SUM(BX476:BY476)</f>
        <v/>
      </c>
      <c r="CA476" s="28" t="n"/>
      <c r="CB476" s="31" t="n"/>
      <c r="CC476" s="29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1" t="n"/>
      <c r="CE476" s="21" t="n"/>
      <c r="CF476" s="27">
        <f>SUM(CD476:CE476)</f>
        <v/>
      </c>
      <c r="CG476" s="28" t="n"/>
      <c r="CH476" s="31" t="n"/>
      <c r="CI476" s="29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1" t="n"/>
      <c r="CK476" s="21" t="n"/>
      <c r="CL476" s="27">
        <f>SUM(CJ476:CK476)</f>
        <v/>
      </c>
      <c r="CM476" s="28" t="n"/>
      <c r="CN476" s="31" t="n"/>
      <c r="CO476" s="29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1" t="n"/>
      <c r="CQ476" s="21" t="n"/>
      <c r="CR476" s="27">
        <f>SUM(CP476:CQ476)</f>
        <v/>
      </c>
      <c r="CS476" s="28" t="n"/>
      <c r="CT476" s="31" t="n"/>
      <c r="CU476" s="29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1" t="n"/>
      <c r="CW476" s="21" t="n"/>
      <c r="CX476" s="27">
        <f>SUM(CV476:CW476)</f>
        <v/>
      </c>
      <c r="CY476" s="28" t="n"/>
      <c r="CZ476" s="31" t="n"/>
      <c r="DA476" s="29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1" t="n"/>
      <c r="DC476" s="21" t="n"/>
      <c r="DD476" s="27">
        <f>SUM(DB476:DC476)</f>
        <v/>
      </c>
      <c r="DE476" s="28" t="n"/>
      <c r="DF476" s="31" t="n"/>
      <c r="DG476" s="29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34">
        <f>SUM(O476,U476,AA476,AG476,AM476,AS476,AY476,BE476,BK476,BQ476,BW476,CC476,CI476,CO476,CU476,DA476,DG476)</f>
        <v/>
      </c>
      <c r="DI476" s="39">
        <f>RANK(DH476,DH$4:DH$503)</f>
        <v/>
      </c>
      <c r="DJ476" s="40" t="inlineStr">
        <is>
          <t>CHOOSE RATING</t>
        </is>
      </c>
      <c r="DK476" s="40" t="inlineStr">
        <is>
          <t>CHOOSE RATING</t>
        </is>
      </c>
      <c r="DL476" s="40" t="inlineStr">
        <is>
          <t>CHOOSE RATING</t>
        </is>
      </c>
      <c r="DM476" s="40" t="inlineStr">
        <is>
          <t>CHOOSE RATING</t>
        </is>
      </c>
      <c r="DN476" s="40" t="inlineStr">
        <is>
          <t>CHOOSE RATING</t>
        </is>
      </c>
      <c r="DO476" s="40" t="inlineStr">
        <is>
          <t>CHOOSE RATING</t>
        </is>
      </c>
      <c r="DP476" s="40" t="inlineStr">
        <is>
          <t>CHOOSE RATING</t>
        </is>
      </c>
      <c r="DQ476" s="40" t="inlineStr">
        <is>
          <t>CHOOSE RATING</t>
        </is>
      </c>
      <c r="DR476" s="43" t="inlineStr">
        <is>
          <t>2024/2025</t>
        </is>
      </c>
      <c r="DS476" s="45" t="inlineStr">
        <is>
          <t>THIRD</t>
        </is>
      </c>
      <c r="DT476" s="40" t="inlineStr">
        <is>
          <t>CHOOSE RATING</t>
        </is>
      </c>
      <c r="DU476" s="40" t="inlineStr">
        <is>
          <t>CHOOSE RATING</t>
        </is>
      </c>
      <c r="DV476" s="40" t="inlineStr">
        <is>
          <t>CHOOSE RATING</t>
        </is>
      </c>
      <c r="DW476" s="40" t="inlineStr">
        <is>
          <t>CHOOSE RATING</t>
        </is>
      </c>
      <c r="DX476" s="40" t="inlineStr">
        <is>
          <t>CHOOSE RATING</t>
        </is>
      </c>
      <c r="DY476" s="40" t="inlineStr">
        <is>
          <t>CHOOSE RATING</t>
        </is>
      </c>
      <c r="DZ476" s="53" t="inlineStr">
        <is>
          <t>CHOOSE RATING</t>
        </is>
      </c>
      <c r="EA476" s="54" t="inlineStr">
        <is>
          <t>Add the Tutor's Comment . . .</t>
        </is>
      </c>
      <c r="EB476" s="55" t="inlineStr">
        <is>
          <t>Choose Principals comment</t>
        </is>
      </c>
      <c r="EC476" s="56" t="n"/>
      <c r="ED476" s="57" t="inlineStr">
        <is>
          <t>Next Term Begins on Monday, 22nd September, 2025</t>
        </is>
      </c>
    </row>
    <row r="477" ht="30.6" customHeight="1" s="6">
      <c r="A477" s="18" t="n">
        <v>474</v>
      </c>
      <c r="B477" s="19" t="n"/>
      <c r="C477" s="20" t="n"/>
      <c r="D477" s="128" t="n"/>
      <c r="E477" s="21" t="n"/>
      <c r="F477" s="22" t="n"/>
      <c r="G477" s="22" t="n"/>
      <c r="H477" s="22" t="n"/>
      <c r="I477" s="26">
        <f>G477-H477</f>
        <v/>
      </c>
      <c r="J477" s="21" t="n"/>
      <c r="K477" s="21" t="n"/>
      <c r="L477" s="27">
        <f>SUM(J477:K477)</f>
        <v/>
      </c>
      <c r="M477" s="28" t="n"/>
      <c r="N477" s="28" t="n"/>
      <c r="O477" s="29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1" t="n"/>
      <c r="Q477" s="21" t="n"/>
      <c r="R477" s="27">
        <f>SUM(P477:Q477)</f>
        <v/>
      </c>
      <c r="S477" s="28" t="n"/>
      <c r="T477" s="28" t="n"/>
      <c r="U477" s="29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1" t="n"/>
      <c r="W477" s="21" t="n"/>
      <c r="X477" s="27">
        <f>SUM(V477:W477)</f>
        <v/>
      </c>
      <c r="Y477" s="28" t="n"/>
      <c r="Z477" s="28" t="n"/>
      <c r="AA477" s="29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1" t="n"/>
      <c r="AC477" s="21" t="n"/>
      <c r="AD477" s="27">
        <f>SUM(AB477:AC477)</f>
        <v/>
      </c>
      <c r="AE477" s="28" t="n"/>
      <c r="AF477" s="28" t="n"/>
      <c r="AG477" s="29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1" t="n"/>
      <c r="AI477" s="21" t="n"/>
      <c r="AJ477" s="27">
        <f>SUM(AH477:AI477)</f>
        <v/>
      </c>
      <c r="AK477" s="28" t="n"/>
      <c r="AL477" s="28" t="n"/>
      <c r="AM477" s="29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1" t="n"/>
      <c r="AO477" s="21" t="n"/>
      <c r="AP477" s="27">
        <f>SUM(AN477:AO477)</f>
        <v/>
      </c>
      <c r="AQ477" s="28" t="n"/>
      <c r="AR477" s="30" t="n"/>
      <c r="AS477" s="29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1" t="n"/>
      <c r="AU477" s="21" t="n"/>
      <c r="AV477" s="27">
        <f>SUM(AT477:AU477)</f>
        <v/>
      </c>
      <c r="AW477" s="28" t="n"/>
      <c r="AX477" s="30" t="n"/>
      <c r="AY477" s="29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1" t="n"/>
      <c r="BA477" s="21" t="n"/>
      <c r="BB477" s="27">
        <f>SUM(AZ477:BA477)</f>
        <v/>
      </c>
      <c r="BC477" s="28" t="n"/>
      <c r="BD477" s="28" t="n"/>
      <c r="BE477" s="29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1" t="n"/>
      <c r="BG477" s="21" t="n"/>
      <c r="BH477" s="27">
        <f>SUM(BF477:BG477)</f>
        <v/>
      </c>
      <c r="BI477" s="28" t="n"/>
      <c r="BJ477" s="28" t="n"/>
      <c r="BK477" s="29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1" t="n"/>
      <c r="BM477" s="21" t="n"/>
      <c r="BN477" s="27">
        <f>SUM(BL477:BM477)</f>
        <v/>
      </c>
      <c r="BO477" s="28" t="n"/>
      <c r="BP477" s="31" t="n"/>
      <c r="BQ477" s="29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1" t="n"/>
      <c r="BS477" s="21" t="n"/>
      <c r="BT477" s="27">
        <f>SUM(BR477:BS477)</f>
        <v/>
      </c>
      <c r="BU477" s="28" t="n"/>
      <c r="BV477" s="31" t="n"/>
      <c r="BW477" s="29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1" t="n"/>
      <c r="BY477" s="21" t="n"/>
      <c r="BZ477" s="27">
        <f>SUM(BX477:BY477)</f>
        <v/>
      </c>
      <c r="CA477" s="28" t="n"/>
      <c r="CB477" s="31" t="n"/>
      <c r="CC477" s="29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1" t="n"/>
      <c r="CE477" s="21" t="n"/>
      <c r="CF477" s="27">
        <f>SUM(CD477:CE477)</f>
        <v/>
      </c>
      <c r="CG477" s="28" t="n"/>
      <c r="CH477" s="31" t="n"/>
      <c r="CI477" s="29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1" t="n"/>
      <c r="CK477" s="21" t="n"/>
      <c r="CL477" s="27">
        <f>SUM(CJ477:CK477)</f>
        <v/>
      </c>
      <c r="CM477" s="28" t="n"/>
      <c r="CN477" s="31" t="n"/>
      <c r="CO477" s="29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1" t="n"/>
      <c r="CQ477" s="21" t="n"/>
      <c r="CR477" s="27">
        <f>SUM(CP477:CQ477)</f>
        <v/>
      </c>
      <c r="CS477" s="28" t="n"/>
      <c r="CT477" s="31" t="n"/>
      <c r="CU477" s="29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1" t="n"/>
      <c r="CW477" s="21" t="n"/>
      <c r="CX477" s="27">
        <f>SUM(CV477:CW477)</f>
        <v/>
      </c>
      <c r="CY477" s="28" t="n"/>
      <c r="CZ477" s="31" t="n"/>
      <c r="DA477" s="29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1" t="n"/>
      <c r="DC477" s="21" t="n"/>
      <c r="DD477" s="27">
        <f>SUM(DB477:DC477)</f>
        <v/>
      </c>
      <c r="DE477" s="28" t="n"/>
      <c r="DF477" s="31" t="n"/>
      <c r="DG477" s="29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34">
        <f>SUM(O477,U477,AA477,AG477,AM477,AS477,AY477,BE477,BK477,BQ477,BW477,CC477,CI477,CO477,CU477,DA477,DG477)</f>
        <v/>
      </c>
      <c r="DI477" s="39">
        <f>RANK(DH477,DH$4:DH$503)</f>
        <v/>
      </c>
      <c r="DJ477" s="40" t="inlineStr">
        <is>
          <t>CHOOSE RATING</t>
        </is>
      </c>
      <c r="DK477" s="40" t="inlineStr">
        <is>
          <t>CHOOSE RATING</t>
        </is>
      </c>
      <c r="DL477" s="40" t="inlineStr">
        <is>
          <t>CHOOSE RATING</t>
        </is>
      </c>
      <c r="DM477" s="40" t="inlineStr">
        <is>
          <t>CHOOSE RATING</t>
        </is>
      </c>
      <c r="DN477" s="40" t="inlineStr">
        <is>
          <t>CHOOSE RATING</t>
        </is>
      </c>
      <c r="DO477" s="40" t="inlineStr">
        <is>
          <t>CHOOSE RATING</t>
        </is>
      </c>
      <c r="DP477" s="40" t="inlineStr">
        <is>
          <t>CHOOSE RATING</t>
        </is>
      </c>
      <c r="DQ477" s="40" t="inlineStr">
        <is>
          <t>CHOOSE RATING</t>
        </is>
      </c>
      <c r="DR477" s="43" t="inlineStr">
        <is>
          <t>2024/2025</t>
        </is>
      </c>
      <c r="DS477" s="45" t="inlineStr">
        <is>
          <t>THIRD</t>
        </is>
      </c>
      <c r="DT477" s="40" t="inlineStr">
        <is>
          <t>CHOOSE RATING</t>
        </is>
      </c>
      <c r="DU477" s="40" t="inlineStr">
        <is>
          <t>CHOOSE RATING</t>
        </is>
      </c>
      <c r="DV477" s="40" t="inlineStr">
        <is>
          <t>CHOOSE RATING</t>
        </is>
      </c>
      <c r="DW477" s="40" t="inlineStr">
        <is>
          <t>CHOOSE RATING</t>
        </is>
      </c>
      <c r="DX477" s="40" t="inlineStr">
        <is>
          <t>CHOOSE RATING</t>
        </is>
      </c>
      <c r="DY477" s="40" t="inlineStr">
        <is>
          <t>CHOOSE RATING</t>
        </is>
      </c>
      <c r="DZ477" s="53" t="inlineStr">
        <is>
          <t>CHOOSE RATING</t>
        </is>
      </c>
      <c r="EA477" s="54" t="inlineStr">
        <is>
          <t>Add the Tutor's Comment . . .</t>
        </is>
      </c>
      <c r="EB477" s="55" t="inlineStr">
        <is>
          <t>Choose Principals comment</t>
        </is>
      </c>
      <c r="EC477" s="56" t="n"/>
      <c r="ED477" s="57" t="inlineStr">
        <is>
          <t>Next Term Begins on Monday, 22nd September, 2025</t>
        </is>
      </c>
    </row>
    <row r="478" ht="30.6" customHeight="1" s="6">
      <c r="A478" s="18" t="n">
        <v>475</v>
      </c>
      <c r="B478" s="19" t="n"/>
      <c r="C478" s="20" t="n"/>
      <c r="D478" s="128" t="n"/>
      <c r="E478" s="21" t="n"/>
      <c r="F478" s="22" t="n"/>
      <c r="G478" s="22" t="n"/>
      <c r="H478" s="22" t="n"/>
      <c r="I478" s="26">
        <f>G478-H478</f>
        <v/>
      </c>
      <c r="J478" s="21" t="n"/>
      <c r="K478" s="21" t="n"/>
      <c r="L478" s="27">
        <f>SUM(J478:K478)</f>
        <v/>
      </c>
      <c r="M478" s="28" t="n"/>
      <c r="N478" s="28" t="n"/>
      <c r="O478" s="29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1" t="n"/>
      <c r="Q478" s="21" t="n"/>
      <c r="R478" s="27">
        <f>SUM(P478:Q478)</f>
        <v/>
      </c>
      <c r="S478" s="28" t="n"/>
      <c r="T478" s="28" t="n"/>
      <c r="U478" s="29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1" t="n"/>
      <c r="W478" s="21" t="n"/>
      <c r="X478" s="27">
        <f>SUM(V478:W478)</f>
        <v/>
      </c>
      <c r="Y478" s="28" t="n"/>
      <c r="Z478" s="28" t="n"/>
      <c r="AA478" s="29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1" t="n"/>
      <c r="AC478" s="21" t="n"/>
      <c r="AD478" s="27">
        <f>SUM(AB478:AC478)</f>
        <v/>
      </c>
      <c r="AE478" s="28" t="n"/>
      <c r="AF478" s="28" t="n"/>
      <c r="AG478" s="29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1" t="n"/>
      <c r="AI478" s="21" t="n"/>
      <c r="AJ478" s="27">
        <f>SUM(AH478:AI478)</f>
        <v/>
      </c>
      <c r="AK478" s="28" t="n"/>
      <c r="AL478" s="28" t="n"/>
      <c r="AM478" s="29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1" t="n"/>
      <c r="AO478" s="21" t="n"/>
      <c r="AP478" s="27">
        <f>SUM(AN478:AO478)</f>
        <v/>
      </c>
      <c r="AQ478" s="28" t="n"/>
      <c r="AR478" s="30" t="n"/>
      <c r="AS478" s="29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1" t="n"/>
      <c r="AU478" s="21" t="n"/>
      <c r="AV478" s="27">
        <f>SUM(AT478:AU478)</f>
        <v/>
      </c>
      <c r="AW478" s="28" t="n"/>
      <c r="AX478" s="30" t="n"/>
      <c r="AY478" s="29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1" t="n"/>
      <c r="BA478" s="21" t="n"/>
      <c r="BB478" s="27">
        <f>SUM(AZ478:BA478)</f>
        <v/>
      </c>
      <c r="BC478" s="28" t="n"/>
      <c r="BD478" s="28" t="n"/>
      <c r="BE478" s="29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1" t="n"/>
      <c r="BG478" s="21" t="n"/>
      <c r="BH478" s="27">
        <f>SUM(BF478:BG478)</f>
        <v/>
      </c>
      <c r="BI478" s="28" t="n"/>
      <c r="BJ478" s="28" t="n"/>
      <c r="BK478" s="29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1" t="n"/>
      <c r="BM478" s="21" t="n"/>
      <c r="BN478" s="27">
        <f>SUM(BL478:BM478)</f>
        <v/>
      </c>
      <c r="BO478" s="28" t="n"/>
      <c r="BP478" s="31" t="n"/>
      <c r="BQ478" s="29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1" t="n"/>
      <c r="BS478" s="21" t="n"/>
      <c r="BT478" s="27">
        <f>SUM(BR478:BS478)</f>
        <v/>
      </c>
      <c r="BU478" s="28" t="n"/>
      <c r="BV478" s="31" t="n"/>
      <c r="BW478" s="29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1" t="n"/>
      <c r="BY478" s="21" t="n"/>
      <c r="BZ478" s="27">
        <f>SUM(BX478:BY478)</f>
        <v/>
      </c>
      <c r="CA478" s="28" t="n"/>
      <c r="CB478" s="31" t="n"/>
      <c r="CC478" s="29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1" t="n"/>
      <c r="CE478" s="21" t="n"/>
      <c r="CF478" s="27">
        <f>SUM(CD478:CE478)</f>
        <v/>
      </c>
      <c r="CG478" s="28" t="n"/>
      <c r="CH478" s="31" t="n"/>
      <c r="CI478" s="29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1" t="n"/>
      <c r="CK478" s="21" t="n"/>
      <c r="CL478" s="27">
        <f>SUM(CJ478:CK478)</f>
        <v/>
      </c>
      <c r="CM478" s="28" t="n"/>
      <c r="CN478" s="31" t="n"/>
      <c r="CO478" s="29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1" t="n"/>
      <c r="CQ478" s="21" t="n"/>
      <c r="CR478" s="27">
        <f>SUM(CP478:CQ478)</f>
        <v/>
      </c>
      <c r="CS478" s="28" t="n"/>
      <c r="CT478" s="31" t="n"/>
      <c r="CU478" s="29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1" t="n"/>
      <c r="CW478" s="21" t="n"/>
      <c r="CX478" s="27">
        <f>SUM(CV478:CW478)</f>
        <v/>
      </c>
      <c r="CY478" s="28" t="n"/>
      <c r="CZ478" s="31" t="n"/>
      <c r="DA478" s="29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1" t="n"/>
      <c r="DC478" s="21" t="n"/>
      <c r="DD478" s="27">
        <f>SUM(DB478:DC478)</f>
        <v/>
      </c>
      <c r="DE478" s="28" t="n"/>
      <c r="DF478" s="31" t="n"/>
      <c r="DG478" s="29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34">
        <f>SUM(O478,U478,AA478,AG478,AM478,AS478,AY478,BE478,BK478,BQ478,BW478,CC478,CI478,CO478,CU478,DA478,DG478)</f>
        <v/>
      </c>
      <c r="DI478" s="39">
        <f>RANK(DH478,DH$4:DH$503)</f>
        <v/>
      </c>
      <c r="DJ478" s="40" t="inlineStr">
        <is>
          <t>CHOOSE RATING</t>
        </is>
      </c>
      <c r="DK478" s="40" t="inlineStr">
        <is>
          <t>CHOOSE RATING</t>
        </is>
      </c>
      <c r="DL478" s="40" t="inlineStr">
        <is>
          <t>CHOOSE RATING</t>
        </is>
      </c>
      <c r="DM478" s="40" t="inlineStr">
        <is>
          <t>CHOOSE RATING</t>
        </is>
      </c>
      <c r="DN478" s="40" t="inlineStr">
        <is>
          <t>CHOOSE RATING</t>
        </is>
      </c>
      <c r="DO478" s="40" t="inlineStr">
        <is>
          <t>CHOOSE RATING</t>
        </is>
      </c>
      <c r="DP478" s="40" t="inlineStr">
        <is>
          <t>CHOOSE RATING</t>
        </is>
      </c>
      <c r="DQ478" s="40" t="inlineStr">
        <is>
          <t>CHOOSE RATING</t>
        </is>
      </c>
      <c r="DR478" s="43" t="inlineStr">
        <is>
          <t>2024/2025</t>
        </is>
      </c>
      <c r="DS478" s="45" t="inlineStr">
        <is>
          <t>THIRD</t>
        </is>
      </c>
      <c r="DT478" s="40" t="inlineStr">
        <is>
          <t>CHOOSE RATING</t>
        </is>
      </c>
      <c r="DU478" s="40" t="inlineStr">
        <is>
          <t>CHOOSE RATING</t>
        </is>
      </c>
      <c r="DV478" s="40" t="inlineStr">
        <is>
          <t>CHOOSE RATING</t>
        </is>
      </c>
      <c r="DW478" s="40" t="inlineStr">
        <is>
          <t>CHOOSE RATING</t>
        </is>
      </c>
      <c r="DX478" s="40" t="inlineStr">
        <is>
          <t>CHOOSE RATING</t>
        </is>
      </c>
      <c r="DY478" s="40" t="inlineStr">
        <is>
          <t>CHOOSE RATING</t>
        </is>
      </c>
      <c r="DZ478" s="53" t="inlineStr">
        <is>
          <t>CHOOSE RATING</t>
        </is>
      </c>
      <c r="EA478" s="54" t="inlineStr">
        <is>
          <t>Add the Tutor's Comment . . .</t>
        </is>
      </c>
      <c r="EB478" s="55" t="inlineStr">
        <is>
          <t>Choose Principals comment</t>
        </is>
      </c>
      <c r="EC478" s="56" t="n"/>
      <c r="ED478" s="57" t="inlineStr">
        <is>
          <t>Next Term Begins on Monday, 22nd September, 2025</t>
        </is>
      </c>
    </row>
    <row r="479" ht="30.6" customHeight="1" s="6">
      <c r="A479" s="18" t="n">
        <v>476</v>
      </c>
      <c r="B479" s="19" t="n"/>
      <c r="C479" s="20" t="n"/>
      <c r="D479" s="128" t="n"/>
      <c r="E479" s="21" t="n"/>
      <c r="F479" s="22" t="n"/>
      <c r="G479" s="22" t="n"/>
      <c r="H479" s="22" t="n"/>
      <c r="I479" s="26">
        <f>G479-H479</f>
        <v/>
      </c>
      <c r="J479" s="21" t="n"/>
      <c r="K479" s="21" t="n"/>
      <c r="L479" s="27">
        <f>SUM(J479:K479)</f>
        <v/>
      </c>
      <c r="M479" s="28" t="n"/>
      <c r="N479" s="28" t="n"/>
      <c r="O479" s="29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1" t="n"/>
      <c r="Q479" s="21" t="n"/>
      <c r="R479" s="27">
        <f>SUM(P479:Q479)</f>
        <v/>
      </c>
      <c r="S479" s="28" t="n"/>
      <c r="T479" s="28" t="n"/>
      <c r="U479" s="29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1" t="n"/>
      <c r="W479" s="21" t="n"/>
      <c r="X479" s="27">
        <f>SUM(V479:W479)</f>
        <v/>
      </c>
      <c r="Y479" s="28" t="n"/>
      <c r="Z479" s="28" t="n"/>
      <c r="AA479" s="29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1" t="n"/>
      <c r="AC479" s="21" t="n"/>
      <c r="AD479" s="27">
        <f>SUM(AB479:AC479)</f>
        <v/>
      </c>
      <c r="AE479" s="28" t="n"/>
      <c r="AF479" s="28" t="n"/>
      <c r="AG479" s="29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1" t="n"/>
      <c r="AI479" s="21" t="n"/>
      <c r="AJ479" s="27">
        <f>SUM(AH479:AI479)</f>
        <v/>
      </c>
      <c r="AK479" s="28" t="n"/>
      <c r="AL479" s="28" t="n"/>
      <c r="AM479" s="29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1" t="n"/>
      <c r="AO479" s="21" t="n"/>
      <c r="AP479" s="27">
        <f>SUM(AN479:AO479)</f>
        <v/>
      </c>
      <c r="AQ479" s="28" t="n"/>
      <c r="AR479" s="30" t="n"/>
      <c r="AS479" s="29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1" t="n"/>
      <c r="AU479" s="21" t="n"/>
      <c r="AV479" s="27">
        <f>SUM(AT479:AU479)</f>
        <v/>
      </c>
      <c r="AW479" s="28" t="n"/>
      <c r="AX479" s="30" t="n"/>
      <c r="AY479" s="29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1" t="n"/>
      <c r="BA479" s="21" t="n"/>
      <c r="BB479" s="27">
        <f>SUM(AZ479:BA479)</f>
        <v/>
      </c>
      <c r="BC479" s="28" t="n"/>
      <c r="BD479" s="28" t="n"/>
      <c r="BE479" s="29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1" t="n"/>
      <c r="BG479" s="21" t="n"/>
      <c r="BH479" s="27">
        <f>SUM(BF479:BG479)</f>
        <v/>
      </c>
      <c r="BI479" s="28" t="n"/>
      <c r="BJ479" s="28" t="n"/>
      <c r="BK479" s="29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1" t="n"/>
      <c r="BM479" s="21" t="n"/>
      <c r="BN479" s="27">
        <f>SUM(BL479:BM479)</f>
        <v/>
      </c>
      <c r="BO479" s="28" t="n"/>
      <c r="BP479" s="31" t="n"/>
      <c r="BQ479" s="29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1" t="n"/>
      <c r="BS479" s="21" t="n"/>
      <c r="BT479" s="27">
        <f>SUM(BR479:BS479)</f>
        <v/>
      </c>
      <c r="BU479" s="28" t="n"/>
      <c r="BV479" s="31" t="n"/>
      <c r="BW479" s="29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1" t="n"/>
      <c r="BY479" s="21" t="n"/>
      <c r="BZ479" s="27">
        <f>SUM(BX479:BY479)</f>
        <v/>
      </c>
      <c r="CA479" s="28" t="n"/>
      <c r="CB479" s="31" t="n"/>
      <c r="CC479" s="29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1" t="n"/>
      <c r="CE479" s="21" t="n"/>
      <c r="CF479" s="27">
        <f>SUM(CD479:CE479)</f>
        <v/>
      </c>
      <c r="CG479" s="28" t="n"/>
      <c r="CH479" s="31" t="n"/>
      <c r="CI479" s="29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1" t="n"/>
      <c r="CK479" s="21" t="n"/>
      <c r="CL479" s="27">
        <f>SUM(CJ479:CK479)</f>
        <v/>
      </c>
      <c r="CM479" s="28" t="n"/>
      <c r="CN479" s="31" t="n"/>
      <c r="CO479" s="29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1" t="n"/>
      <c r="CQ479" s="21" t="n"/>
      <c r="CR479" s="27">
        <f>SUM(CP479:CQ479)</f>
        <v/>
      </c>
      <c r="CS479" s="28" t="n"/>
      <c r="CT479" s="31" t="n"/>
      <c r="CU479" s="29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1" t="n"/>
      <c r="CW479" s="21" t="n"/>
      <c r="CX479" s="27">
        <f>SUM(CV479:CW479)</f>
        <v/>
      </c>
      <c r="CY479" s="28" t="n"/>
      <c r="CZ479" s="31" t="n"/>
      <c r="DA479" s="29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1" t="n"/>
      <c r="DC479" s="21" t="n"/>
      <c r="DD479" s="27">
        <f>SUM(DB479:DC479)</f>
        <v/>
      </c>
      <c r="DE479" s="28" t="n"/>
      <c r="DF479" s="31" t="n"/>
      <c r="DG479" s="29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34">
        <f>SUM(O479,U479,AA479,AG479,AM479,AS479,AY479,BE479,BK479,BQ479,BW479,CC479,CI479,CO479,CU479,DA479,DG479)</f>
        <v/>
      </c>
      <c r="DI479" s="39">
        <f>RANK(DH479,DH$4:DH$503)</f>
        <v/>
      </c>
      <c r="DJ479" s="40" t="inlineStr">
        <is>
          <t>CHOOSE RATING</t>
        </is>
      </c>
      <c r="DK479" s="40" t="inlineStr">
        <is>
          <t>CHOOSE RATING</t>
        </is>
      </c>
      <c r="DL479" s="40" t="inlineStr">
        <is>
          <t>CHOOSE RATING</t>
        </is>
      </c>
      <c r="DM479" s="40" t="inlineStr">
        <is>
          <t>CHOOSE RATING</t>
        </is>
      </c>
      <c r="DN479" s="40" t="inlineStr">
        <is>
          <t>CHOOSE RATING</t>
        </is>
      </c>
      <c r="DO479" s="40" t="inlineStr">
        <is>
          <t>CHOOSE RATING</t>
        </is>
      </c>
      <c r="DP479" s="40" t="inlineStr">
        <is>
          <t>CHOOSE RATING</t>
        </is>
      </c>
      <c r="DQ479" s="40" t="inlineStr">
        <is>
          <t>CHOOSE RATING</t>
        </is>
      </c>
      <c r="DR479" s="43" t="inlineStr">
        <is>
          <t>2024/2025</t>
        </is>
      </c>
      <c r="DS479" s="45" t="inlineStr">
        <is>
          <t>THIRD</t>
        </is>
      </c>
      <c r="DT479" s="40" t="inlineStr">
        <is>
          <t>CHOOSE RATING</t>
        </is>
      </c>
      <c r="DU479" s="40" t="inlineStr">
        <is>
          <t>CHOOSE RATING</t>
        </is>
      </c>
      <c r="DV479" s="40" t="inlineStr">
        <is>
          <t>CHOOSE RATING</t>
        </is>
      </c>
      <c r="DW479" s="40" t="inlineStr">
        <is>
          <t>CHOOSE RATING</t>
        </is>
      </c>
      <c r="DX479" s="40" t="inlineStr">
        <is>
          <t>CHOOSE RATING</t>
        </is>
      </c>
      <c r="DY479" s="40" t="inlineStr">
        <is>
          <t>CHOOSE RATING</t>
        </is>
      </c>
      <c r="DZ479" s="53" t="inlineStr">
        <is>
          <t>CHOOSE RATING</t>
        </is>
      </c>
      <c r="EA479" s="54" t="inlineStr">
        <is>
          <t>Add the Tutor's Comment . . .</t>
        </is>
      </c>
      <c r="EB479" s="55" t="inlineStr">
        <is>
          <t>Choose Principals comment</t>
        </is>
      </c>
      <c r="EC479" s="56" t="n"/>
      <c r="ED479" s="57" t="inlineStr">
        <is>
          <t>Next Term Begins on Monday, 22nd September, 2025</t>
        </is>
      </c>
    </row>
    <row r="480" ht="30.6" customHeight="1" s="6">
      <c r="A480" s="18" t="n">
        <v>477</v>
      </c>
      <c r="B480" s="19" t="n"/>
      <c r="C480" s="20" t="n"/>
      <c r="D480" s="128" t="n"/>
      <c r="E480" s="21" t="n"/>
      <c r="F480" s="22" t="n"/>
      <c r="G480" s="22" t="n"/>
      <c r="H480" s="22" t="n"/>
      <c r="I480" s="26">
        <f>G480-H480</f>
        <v/>
      </c>
      <c r="J480" s="21" t="n"/>
      <c r="K480" s="21" t="n"/>
      <c r="L480" s="27">
        <f>SUM(J480:K480)</f>
        <v/>
      </c>
      <c r="M480" s="28" t="n"/>
      <c r="N480" s="28" t="n"/>
      <c r="O480" s="29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1" t="n"/>
      <c r="Q480" s="21" t="n"/>
      <c r="R480" s="27">
        <f>SUM(P480:Q480)</f>
        <v/>
      </c>
      <c r="S480" s="28" t="n"/>
      <c r="T480" s="28" t="n"/>
      <c r="U480" s="29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1" t="n"/>
      <c r="W480" s="21" t="n"/>
      <c r="X480" s="27">
        <f>SUM(V480:W480)</f>
        <v/>
      </c>
      <c r="Y480" s="28" t="n"/>
      <c r="Z480" s="28" t="n"/>
      <c r="AA480" s="29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1" t="n"/>
      <c r="AC480" s="21" t="n"/>
      <c r="AD480" s="27">
        <f>SUM(AB480:AC480)</f>
        <v/>
      </c>
      <c r="AE480" s="28" t="n"/>
      <c r="AF480" s="28" t="n"/>
      <c r="AG480" s="29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1" t="n"/>
      <c r="AI480" s="21" t="n"/>
      <c r="AJ480" s="27">
        <f>SUM(AH480:AI480)</f>
        <v/>
      </c>
      <c r="AK480" s="28" t="n"/>
      <c r="AL480" s="28" t="n"/>
      <c r="AM480" s="29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1" t="n"/>
      <c r="AO480" s="21" t="n"/>
      <c r="AP480" s="27">
        <f>SUM(AN480:AO480)</f>
        <v/>
      </c>
      <c r="AQ480" s="28" t="n"/>
      <c r="AR480" s="30" t="n"/>
      <c r="AS480" s="29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1" t="n"/>
      <c r="AU480" s="21" t="n"/>
      <c r="AV480" s="27">
        <f>SUM(AT480:AU480)</f>
        <v/>
      </c>
      <c r="AW480" s="28" t="n"/>
      <c r="AX480" s="30" t="n"/>
      <c r="AY480" s="29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1" t="n"/>
      <c r="BA480" s="21" t="n"/>
      <c r="BB480" s="27">
        <f>SUM(AZ480:BA480)</f>
        <v/>
      </c>
      <c r="BC480" s="28" t="n"/>
      <c r="BD480" s="28" t="n"/>
      <c r="BE480" s="29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1" t="n"/>
      <c r="BG480" s="21" t="n"/>
      <c r="BH480" s="27">
        <f>SUM(BF480:BG480)</f>
        <v/>
      </c>
      <c r="BI480" s="28" t="n"/>
      <c r="BJ480" s="28" t="n"/>
      <c r="BK480" s="29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1" t="n"/>
      <c r="BM480" s="21" t="n"/>
      <c r="BN480" s="27">
        <f>SUM(BL480:BM480)</f>
        <v/>
      </c>
      <c r="BO480" s="28" t="n"/>
      <c r="BP480" s="31" t="n"/>
      <c r="BQ480" s="29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1" t="n"/>
      <c r="BS480" s="21" t="n"/>
      <c r="BT480" s="27">
        <f>SUM(BR480:BS480)</f>
        <v/>
      </c>
      <c r="BU480" s="28" t="n"/>
      <c r="BV480" s="31" t="n"/>
      <c r="BW480" s="29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1" t="n"/>
      <c r="BY480" s="21" t="n"/>
      <c r="BZ480" s="27">
        <f>SUM(BX480:BY480)</f>
        <v/>
      </c>
      <c r="CA480" s="28" t="n"/>
      <c r="CB480" s="31" t="n"/>
      <c r="CC480" s="29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1" t="n"/>
      <c r="CE480" s="21" t="n"/>
      <c r="CF480" s="27">
        <f>SUM(CD480:CE480)</f>
        <v/>
      </c>
      <c r="CG480" s="28" t="n"/>
      <c r="CH480" s="31" t="n"/>
      <c r="CI480" s="29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1" t="n"/>
      <c r="CK480" s="21" t="n"/>
      <c r="CL480" s="27">
        <f>SUM(CJ480:CK480)</f>
        <v/>
      </c>
      <c r="CM480" s="28" t="n"/>
      <c r="CN480" s="31" t="n"/>
      <c r="CO480" s="29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1" t="n"/>
      <c r="CQ480" s="21" t="n"/>
      <c r="CR480" s="27">
        <f>SUM(CP480:CQ480)</f>
        <v/>
      </c>
      <c r="CS480" s="28" t="n"/>
      <c r="CT480" s="31" t="n"/>
      <c r="CU480" s="29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1" t="n"/>
      <c r="CW480" s="21" t="n"/>
      <c r="CX480" s="27">
        <f>SUM(CV480:CW480)</f>
        <v/>
      </c>
      <c r="CY480" s="28" t="n"/>
      <c r="CZ480" s="31" t="n"/>
      <c r="DA480" s="29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1" t="n"/>
      <c r="DC480" s="21" t="n"/>
      <c r="DD480" s="27">
        <f>SUM(DB480:DC480)</f>
        <v/>
      </c>
      <c r="DE480" s="28" t="n"/>
      <c r="DF480" s="31" t="n"/>
      <c r="DG480" s="29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34">
        <f>SUM(O480,U480,AA480,AG480,AM480,AS480,AY480,BE480,BK480,BQ480,BW480,CC480,CI480,CO480,CU480,DA480,DG480)</f>
        <v/>
      </c>
      <c r="DI480" s="39">
        <f>RANK(DH480,DH$4:DH$503)</f>
        <v/>
      </c>
      <c r="DJ480" s="40" t="inlineStr">
        <is>
          <t>CHOOSE RATING</t>
        </is>
      </c>
      <c r="DK480" s="40" t="inlineStr">
        <is>
          <t>CHOOSE RATING</t>
        </is>
      </c>
      <c r="DL480" s="40" t="inlineStr">
        <is>
          <t>CHOOSE RATING</t>
        </is>
      </c>
      <c r="DM480" s="40" t="inlineStr">
        <is>
          <t>CHOOSE RATING</t>
        </is>
      </c>
      <c r="DN480" s="40" t="inlineStr">
        <is>
          <t>CHOOSE RATING</t>
        </is>
      </c>
      <c r="DO480" s="40" t="inlineStr">
        <is>
          <t>CHOOSE RATING</t>
        </is>
      </c>
      <c r="DP480" s="40" t="inlineStr">
        <is>
          <t>CHOOSE RATING</t>
        </is>
      </c>
      <c r="DQ480" s="40" t="inlineStr">
        <is>
          <t>CHOOSE RATING</t>
        </is>
      </c>
      <c r="DR480" s="43" t="inlineStr">
        <is>
          <t>2024/2025</t>
        </is>
      </c>
      <c r="DS480" s="45" t="inlineStr">
        <is>
          <t>THIRD</t>
        </is>
      </c>
      <c r="DT480" s="40" t="inlineStr">
        <is>
          <t>CHOOSE RATING</t>
        </is>
      </c>
      <c r="DU480" s="40" t="inlineStr">
        <is>
          <t>CHOOSE RATING</t>
        </is>
      </c>
      <c r="DV480" s="40" t="inlineStr">
        <is>
          <t>CHOOSE RATING</t>
        </is>
      </c>
      <c r="DW480" s="40" t="inlineStr">
        <is>
          <t>CHOOSE RATING</t>
        </is>
      </c>
      <c r="DX480" s="40" t="inlineStr">
        <is>
          <t>CHOOSE RATING</t>
        </is>
      </c>
      <c r="DY480" s="40" t="inlineStr">
        <is>
          <t>CHOOSE RATING</t>
        </is>
      </c>
      <c r="DZ480" s="53" t="inlineStr">
        <is>
          <t>CHOOSE RATING</t>
        </is>
      </c>
      <c r="EA480" s="54" t="inlineStr">
        <is>
          <t>Add the Tutor's Comment . . .</t>
        </is>
      </c>
      <c r="EB480" s="55" t="inlineStr">
        <is>
          <t>Choose Principals comment</t>
        </is>
      </c>
      <c r="EC480" s="56" t="n"/>
      <c r="ED480" s="57" t="inlineStr">
        <is>
          <t>Next Term Begins on Monday, 22nd September, 2025</t>
        </is>
      </c>
    </row>
    <row r="481" ht="30.6" customHeight="1" s="6">
      <c r="A481" s="18" t="n">
        <v>478</v>
      </c>
      <c r="B481" s="19" t="n"/>
      <c r="C481" s="20" t="n"/>
      <c r="D481" s="128" t="n"/>
      <c r="E481" s="21" t="n"/>
      <c r="F481" s="22" t="n"/>
      <c r="G481" s="22" t="n"/>
      <c r="H481" s="22" t="n"/>
      <c r="I481" s="26">
        <f>G481-H481</f>
        <v/>
      </c>
      <c r="J481" s="21" t="n"/>
      <c r="K481" s="21" t="n"/>
      <c r="L481" s="27">
        <f>SUM(J481:K481)</f>
        <v/>
      </c>
      <c r="M481" s="28" t="n"/>
      <c r="N481" s="28" t="n"/>
      <c r="O481" s="29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1" t="n"/>
      <c r="Q481" s="21" t="n"/>
      <c r="R481" s="27">
        <f>SUM(P481:Q481)</f>
        <v/>
      </c>
      <c r="S481" s="28" t="n"/>
      <c r="T481" s="28" t="n"/>
      <c r="U481" s="29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1" t="n"/>
      <c r="W481" s="21" t="n"/>
      <c r="X481" s="27">
        <f>SUM(V481:W481)</f>
        <v/>
      </c>
      <c r="Y481" s="28" t="n"/>
      <c r="Z481" s="28" t="n"/>
      <c r="AA481" s="29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1" t="n"/>
      <c r="AC481" s="21" t="n"/>
      <c r="AD481" s="27">
        <f>SUM(AB481:AC481)</f>
        <v/>
      </c>
      <c r="AE481" s="28" t="n"/>
      <c r="AF481" s="28" t="n"/>
      <c r="AG481" s="29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1" t="n"/>
      <c r="AI481" s="21" t="n"/>
      <c r="AJ481" s="27">
        <f>SUM(AH481:AI481)</f>
        <v/>
      </c>
      <c r="AK481" s="28" t="n"/>
      <c r="AL481" s="28" t="n"/>
      <c r="AM481" s="29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1" t="n"/>
      <c r="AO481" s="21" t="n"/>
      <c r="AP481" s="27">
        <f>SUM(AN481:AO481)</f>
        <v/>
      </c>
      <c r="AQ481" s="28" t="n"/>
      <c r="AR481" s="30" t="n"/>
      <c r="AS481" s="29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1" t="n"/>
      <c r="AU481" s="21" t="n"/>
      <c r="AV481" s="27">
        <f>SUM(AT481:AU481)</f>
        <v/>
      </c>
      <c r="AW481" s="28" t="n"/>
      <c r="AX481" s="30" t="n"/>
      <c r="AY481" s="29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1" t="n"/>
      <c r="BA481" s="21" t="n"/>
      <c r="BB481" s="27">
        <f>SUM(AZ481:BA481)</f>
        <v/>
      </c>
      <c r="BC481" s="28" t="n"/>
      <c r="BD481" s="28" t="n"/>
      <c r="BE481" s="29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1" t="n"/>
      <c r="BG481" s="21" t="n"/>
      <c r="BH481" s="27">
        <f>SUM(BF481:BG481)</f>
        <v/>
      </c>
      <c r="BI481" s="28" t="n"/>
      <c r="BJ481" s="28" t="n"/>
      <c r="BK481" s="29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1" t="n"/>
      <c r="BM481" s="21" t="n"/>
      <c r="BN481" s="27">
        <f>SUM(BL481:BM481)</f>
        <v/>
      </c>
      <c r="BO481" s="28" t="n"/>
      <c r="BP481" s="31" t="n"/>
      <c r="BQ481" s="29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1" t="n"/>
      <c r="BS481" s="21" t="n"/>
      <c r="BT481" s="27">
        <f>SUM(BR481:BS481)</f>
        <v/>
      </c>
      <c r="BU481" s="28" t="n"/>
      <c r="BV481" s="31" t="n"/>
      <c r="BW481" s="29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1" t="n"/>
      <c r="BY481" s="21" t="n"/>
      <c r="BZ481" s="27">
        <f>SUM(BX481:BY481)</f>
        <v/>
      </c>
      <c r="CA481" s="28" t="n"/>
      <c r="CB481" s="31" t="n"/>
      <c r="CC481" s="29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1" t="n"/>
      <c r="CE481" s="21" t="n"/>
      <c r="CF481" s="27">
        <f>SUM(CD481:CE481)</f>
        <v/>
      </c>
      <c r="CG481" s="28" t="n"/>
      <c r="CH481" s="31" t="n"/>
      <c r="CI481" s="29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1" t="n"/>
      <c r="CK481" s="21" t="n"/>
      <c r="CL481" s="27">
        <f>SUM(CJ481:CK481)</f>
        <v/>
      </c>
      <c r="CM481" s="28" t="n"/>
      <c r="CN481" s="31" t="n"/>
      <c r="CO481" s="29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1" t="n"/>
      <c r="CQ481" s="21" t="n"/>
      <c r="CR481" s="27">
        <f>SUM(CP481:CQ481)</f>
        <v/>
      </c>
      <c r="CS481" s="28" t="n"/>
      <c r="CT481" s="31" t="n"/>
      <c r="CU481" s="29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1" t="n"/>
      <c r="CW481" s="21" t="n"/>
      <c r="CX481" s="27">
        <f>SUM(CV481:CW481)</f>
        <v/>
      </c>
      <c r="CY481" s="28" t="n"/>
      <c r="CZ481" s="31" t="n"/>
      <c r="DA481" s="29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1" t="n"/>
      <c r="DC481" s="21" t="n"/>
      <c r="DD481" s="27">
        <f>SUM(DB481:DC481)</f>
        <v/>
      </c>
      <c r="DE481" s="28" t="n"/>
      <c r="DF481" s="31" t="n"/>
      <c r="DG481" s="29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34">
        <f>SUM(O481,U481,AA481,AG481,AM481,AS481,AY481,BE481,BK481,BQ481,BW481,CC481,CI481,CO481,CU481,DA481,DG481)</f>
        <v/>
      </c>
      <c r="DI481" s="39">
        <f>RANK(DH481,DH$4:DH$503)</f>
        <v/>
      </c>
      <c r="DJ481" s="40" t="inlineStr">
        <is>
          <t>CHOOSE RATING</t>
        </is>
      </c>
      <c r="DK481" s="40" t="inlineStr">
        <is>
          <t>CHOOSE RATING</t>
        </is>
      </c>
      <c r="DL481" s="40" t="inlineStr">
        <is>
          <t>CHOOSE RATING</t>
        </is>
      </c>
      <c r="DM481" s="40" t="inlineStr">
        <is>
          <t>CHOOSE RATING</t>
        </is>
      </c>
      <c r="DN481" s="40" t="inlineStr">
        <is>
          <t>CHOOSE RATING</t>
        </is>
      </c>
      <c r="DO481" s="40" t="inlineStr">
        <is>
          <t>CHOOSE RATING</t>
        </is>
      </c>
      <c r="DP481" s="40" t="inlineStr">
        <is>
          <t>CHOOSE RATING</t>
        </is>
      </c>
      <c r="DQ481" s="40" t="inlineStr">
        <is>
          <t>CHOOSE RATING</t>
        </is>
      </c>
      <c r="DR481" s="43" t="inlineStr">
        <is>
          <t>2024/2025</t>
        </is>
      </c>
      <c r="DS481" s="45" t="inlineStr">
        <is>
          <t>THIRD</t>
        </is>
      </c>
      <c r="DT481" s="40" t="inlineStr">
        <is>
          <t>CHOOSE RATING</t>
        </is>
      </c>
      <c r="DU481" s="40" t="inlineStr">
        <is>
          <t>CHOOSE RATING</t>
        </is>
      </c>
      <c r="DV481" s="40" t="inlineStr">
        <is>
          <t>CHOOSE RATING</t>
        </is>
      </c>
      <c r="DW481" s="40" t="inlineStr">
        <is>
          <t>CHOOSE RATING</t>
        </is>
      </c>
      <c r="DX481" s="40" t="inlineStr">
        <is>
          <t>CHOOSE RATING</t>
        </is>
      </c>
      <c r="DY481" s="40" t="inlineStr">
        <is>
          <t>CHOOSE RATING</t>
        </is>
      </c>
      <c r="DZ481" s="53" t="inlineStr">
        <is>
          <t>CHOOSE RATING</t>
        </is>
      </c>
      <c r="EA481" s="54" t="inlineStr">
        <is>
          <t>Add the Tutor's Comment . . .</t>
        </is>
      </c>
      <c r="EB481" s="55" t="inlineStr">
        <is>
          <t>Choose Principals comment</t>
        </is>
      </c>
      <c r="EC481" s="56" t="n"/>
      <c r="ED481" s="57" t="inlineStr">
        <is>
          <t>Next Term Begins on Monday, 22nd September, 2025</t>
        </is>
      </c>
    </row>
    <row r="482" ht="30.6" customHeight="1" s="6">
      <c r="A482" s="18" t="n">
        <v>479</v>
      </c>
      <c r="B482" s="19" t="n"/>
      <c r="C482" s="20" t="n"/>
      <c r="D482" s="128" t="n"/>
      <c r="E482" s="21" t="n"/>
      <c r="F482" s="22" t="n"/>
      <c r="G482" s="22" t="n"/>
      <c r="H482" s="22" t="n"/>
      <c r="I482" s="26">
        <f>G482-H482</f>
        <v/>
      </c>
      <c r="J482" s="21" t="n"/>
      <c r="K482" s="21" t="n"/>
      <c r="L482" s="27">
        <f>SUM(J482:K482)</f>
        <v/>
      </c>
      <c r="M482" s="28" t="n"/>
      <c r="N482" s="28" t="n"/>
      <c r="O482" s="29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1" t="n"/>
      <c r="Q482" s="21" t="n"/>
      <c r="R482" s="27">
        <f>SUM(P482:Q482)</f>
        <v/>
      </c>
      <c r="S482" s="28" t="n"/>
      <c r="T482" s="28" t="n"/>
      <c r="U482" s="29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1" t="n"/>
      <c r="W482" s="21" t="n"/>
      <c r="X482" s="27">
        <f>SUM(V482:W482)</f>
        <v/>
      </c>
      <c r="Y482" s="28" t="n"/>
      <c r="Z482" s="28" t="n"/>
      <c r="AA482" s="29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1" t="n"/>
      <c r="AC482" s="21" t="n"/>
      <c r="AD482" s="27">
        <f>SUM(AB482:AC482)</f>
        <v/>
      </c>
      <c r="AE482" s="28" t="n"/>
      <c r="AF482" s="28" t="n"/>
      <c r="AG482" s="29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1" t="n"/>
      <c r="AI482" s="21" t="n"/>
      <c r="AJ482" s="27">
        <f>SUM(AH482:AI482)</f>
        <v/>
      </c>
      <c r="AK482" s="28" t="n"/>
      <c r="AL482" s="28" t="n"/>
      <c r="AM482" s="29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1" t="n"/>
      <c r="AO482" s="21" t="n"/>
      <c r="AP482" s="27">
        <f>SUM(AN482:AO482)</f>
        <v/>
      </c>
      <c r="AQ482" s="28" t="n"/>
      <c r="AR482" s="30" t="n"/>
      <c r="AS482" s="29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1" t="n"/>
      <c r="AU482" s="21" t="n"/>
      <c r="AV482" s="27">
        <f>SUM(AT482:AU482)</f>
        <v/>
      </c>
      <c r="AW482" s="28" t="n"/>
      <c r="AX482" s="30" t="n"/>
      <c r="AY482" s="29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1" t="n"/>
      <c r="BA482" s="21" t="n"/>
      <c r="BB482" s="27">
        <f>SUM(AZ482:BA482)</f>
        <v/>
      </c>
      <c r="BC482" s="28" t="n"/>
      <c r="BD482" s="28" t="n"/>
      <c r="BE482" s="29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1" t="n"/>
      <c r="BG482" s="21" t="n"/>
      <c r="BH482" s="27">
        <f>SUM(BF482:BG482)</f>
        <v/>
      </c>
      <c r="BI482" s="28" t="n"/>
      <c r="BJ482" s="28" t="n"/>
      <c r="BK482" s="29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1" t="n"/>
      <c r="BM482" s="21" t="n"/>
      <c r="BN482" s="27">
        <f>SUM(BL482:BM482)</f>
        <v/>
      </c>
      <c r="BO482" s="28" t="n"/>
      <c r="BP482" s="31" t="n"/>
      <c r="BQ482" s="29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1" t="n"/>
      <c r="BS482" s="21" t="n"/>
      <c r="BT482" s="27">
        <f>SUM(BR482:BS482)</f>
        <v/>
      </c>
      <c r="BU482" s="28" t="n"/>
      <c r="BV482" s="31" t="n"/>
      <c r="BW482" s="29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1" t="n"/>
      <c r="BY482" s="21" t="n"/>
      <c r="BZ482" s="27">
        <f>SUM(BX482:BY482)</f>
        <v/>
      </c>
      <c r="CA482" s="28" t="n"/>
      <c r="CB482" s="31" t="n"/>
      <c r="CC482" s="29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1" t="n"/>
      <c r="CE482" s="21" t="n"/>
      <c r="CF482" s="27">
        <f>SUM(CD482:CE482)</f>
        <v/>
      </c>
      <c r="CG482" s="28" t="n"/>
      <c r="CH482" s="31" t="n"/>
      <c r="CI482" s="29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1" t="n"/>
      <c r="CK482" s="21" t="n"/>
      <c r="CL482" s="27">
        <f>SUM(CJ482:CK482)</f>
        <v/>
      </c>
      <c r="CM482" s="28" t="n"/>
      <c r="CN482" s="31" t="n"/>
      <c r="CO482" s="29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1" t="n"/>
      <c r="CQ482" s="21" t="n"/>
      <c r="CR482" s="27">
        <f>SUM(CP482:CQ482)</f>
        <v/>
      </c>
      <c r="CS482" s="28" t="n"/>
      <c r="CT482" s="31" t="n"/>
      <c r="CU482" s="29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1" t="n"/>
      <c r="CW482" s="21" t="n"/>
      <c r="CX482" s="27">
        <f>SUM(CV482:CW482)</f>
        <v/>
      </c>
      <c r="CY482" s="28" t="n"/>
      <c r="CZ482" s="31" t="n"/>
      <c r="DA482" s="29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1" t="n"/>
      <c r="DC482" s="21" t="n"/>
      <c r="DD482" s="27">
        <f>SUM(DB482:DC482)</f>
        <v/>
      </c>
      <c r="DE482" s="28" t="n"/>
      <c r="DF482" s="31" t="n"/>
      <c r="DG482" s="29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34">
        <f>SUM(O482,U482,AA482,AG482,AM482,AS482,AY482,BE482,BK482,BQ482,BW482,CC482,CI482,CO482,CU482,DA482,DG482)</f>
        <v/>
      </c>
      <c r="DI482" s="39">
        <f>RANK(DH482,DH$4:DH$503)</f>
        <v/>
      </c>
      <c r="DJ482" s="40" t="inlineStr">
        <is>
          <t>CHOOSE RATING</t>
        </is>
      </c>
      <c r="DK482" s="40" t="inlineStr">
        <is>
          <t>CHOOSE RATING</t>
        </is>
      </c>
      <c r="DL482" s="40" t="inlineStr">
        <is>
          <t>CHOOSE RATING</t>
        </is>
      </c>
      <c r="DM482" s="40" t="inlineStr">
        <is>
          <t>CHOOSE RATING</t>
        </is>
      </c>
      <c r="DN482" s="40" t="inlineStr">
        <is>
          <t>CHOOSE RATING</t>
        </is>
      </c>
      <c r="DO482" s="40" t="inlineStr">
        <is>
          <t>CHOOSE RATING</t>
        </is>
      </c>
      <c r="DP482" s="40" t="inlineStr">
        <is>
          <t>CHOOSE RATING</t>
        </is>
      </c>
      <c r="DQ482" s="40" t="inlineStr">
        <is>
          <t>CHOOSE RATING</t>
        </is>
      </c>
      <c r="DR482" s="43" t="inlineStr">
        <is>
          <t>2024/2025</t>
        </is>
      </c>
      <c r="DS482" s="45" t="inlineStr">
        <is>
          <t>THIRD</t>
        </is>
      </c>
      <c r="DT482" s="40" t="inlineStr">
        <is>
          <t>CHOOSE RATING</t>
        </is>
      </c>
      <c r="DU482" s="40" t="inlineStr">
        <is>
          <t>CHOOSE RATING</t>
        </is>
      </c>
      <c r="DV482" s="40" t="inlineStr">
        <is>
          <t>CHOOSE RATING</t>
        </is>
      </c>
      <c r="DW482" s="40" t="inlineStr">
        <is>
          <t>CHOOSE RATING</t>
        </is>
      </c>
      <c r="DX482" s="40" t="inlineStr">
        <is>
          <t>CHOOSE RATING</t>
        </is>
      </c>
      <c r="DY482" s="40" t="inlineStr">
        <is>
          <t>CHOOSE RATING</t>
        </is>
      </c>
      <c r="DZ482" s="53" t="inlineStr">
        <is>
          <t>CHOOSE RATING</t>
        </is>
      </c>
      <c r="EA482" s="54" t="inlineStr">
        <is>
          <t>Add the Tutor's Comment . . .</t>
        </is>
      </c>
      <c r="EB482" s="55" t="inlineStr">
        <is>
          <t>Choose Principals comment</t>
        </is>
      </c>
      <c r="EC482" s="56" t="n"/>
      <c r="ED482" s="57" t="inlineStr">
        <is>
          <t>Next Term Begins on Monday, 22nd September, 2025</t>
        </is>
      </c>
    </row>
    <row r="483" ht="30.6" customHeight="1" s="6">
      <c r="A483" s="18" t="n">
        <v>480</v>
      </c>
      <c r="B483" s="19" t="n"/>
      <c r="C483" s="20" t="n"/>
      <c r="D483" s="128" t="n"/>
      <c r="E483" s="21" t="n"/>
      <c r="F483" s="22" t="n"/>
      <c r="G483" s="22" t="n"/>
      <c r="H483" s="22" t="n"/>
      <c r="I483" s="26">
        <f>G483-H483</f>
        <v/>
      </c>
      <c r="J483" s="21" t="n"/>
      <c r="K483" s="21" t="n"/>
      <c r="L483" s="27">
        <f>SUM(J483:K483)</f>
        <v/>
      </c>
      <c r="M483" s="28" t="n"/>
      <c r="N483" s="28" t="n"/>
      <c r="O483" s="29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1" t="n"/>
      <c r="Q483" s="21" t="n"/>
      <c r="R483" s="27">
        <f>SUM(P483:Q483)</f>
        <v/>
      </c>
      <c r="S483" s="28" t="n"/>
      <c r="T483" s="28" t="n"/>
      <c r="U483" s="29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1" t="n"/>
      <c r="W483" s="21" t="n"/>
      <c r="X483" s="27">
        <f>SUM(V483:W483)</f>
        <v/>
      </c>
      <c r="Y483" s="28" t="n"/>
      <c r="Z483" s="28" t="n"/>
      <c r="AA483" s="29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1" t="n"/>
      <c r="AC483" s="21" t="n"/>
      <c r="AD483" s="27">
        <f>SUM(AB483:AC483)</f>
        <v/>
      </c>
      <c r="AE483" s="28" t="n"/>
      <c r="AF483" s="28" t="n"/>
      <c r="AG483" s="29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1" t="n"/>
      <c r="AI483" s="21" t="n"/>
      <c r="AJ483" s="27">
        <f>SUM(AH483:AI483)</f>
        <v/>
      </c>
      <c r="AK483" s="28" t="n"/>
      <c r="AL483" s="28" t="n"/>
      <c r="AM483" s="29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1" t="n"/>
      <c r="AO483" s="21" t="n"/>
      <c r="AP483" s="27">
        <f>SUM(AN483:AO483)</f>
        <v/>
      </c>
      <c r="AQ483" s="28" t="n"/>
      <c r="AR483" s="30" t="n"/>
      <c r="AS483" s="29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1" t="n"/>
      <c r="AU483" s="21" t="n"/>
      <c r="AV483" s="27">
        <f>SUM(AT483:AU483)</f>
        <v/>
      </c>
      <c r="AW483" s="28" t="n"/>
      <c r="AX483" s="30" t="n"/>
      <c r="AY483" s="29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1" t="n"/>
      <c r="BA483" s="21" t="n"/>
      <c r="BB483" s="27">
        <f>SUM(AZ483:BA483)</f>
        <v/>
      </c>
      <c r="BC483" s="28" t="n"/>
      <c r="BD483" s="28" t="n"/>
      <c r="BE483" s="29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1" t="n"/>
      <c r="BG483" s="21" t="n"/>
      <c r="BH483" s="27">
        <f>SUM(BF483:BG483)</f>
        <v/>
      </c>
      <c r="BI483" s="28" t="n"/>
      <c r="BJ483" s="28" t="n"/>
      <c r="BK483" s="29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1" t="n"/>
      <c r="BM483" s="21" t="n"/>
      <c r="BN483" s="27">
        <f>SUM(BL483:BM483)</f>
        <v/>
      </c>
      <c r="BO483" s="28" t="n"/>
      <c r="BP483" s="31" t="n"/>
      <c r="BQ483" s="29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1" t="n"/>
      <c r="BS483" s="21" t="n"/>
      <c r="BT483" s="27">
        <f>SUM(BR483:BS483)</f>
        <v/>
      </c>
      <c r="BU483" s="28" t="n"/>
      <c r="BV483" s="31" t="n"/>
      <c r="BW483" s="29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1" t="n"/>
      <c r="BY483" s="21" t="n"/>
      <c r="BZ483" s="27">
        <f>SUM(BX483:BY483)</f>
        <v/>
      </c>
      <c r="CA483" s="28" t="n"/>
      <c r="CB483" s="31" t="n"/>
      <c r="CC483" s="29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1" t="n"/>
      <c r="CE483" s="21" t="n"/>
      <c r="CF483" s="27">
        <f>SUM(CD483:CE483)</f>
        <v/>
      </c>
      <c r="CG483" s="28" t="n"/>
      <c r="CH483" s="31" t="n"/>
      <c r="CI483" s="29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1" t="n"/>
      <c r="CK483" s="21" t="n"/>
      <c r="CL483" s="27">
        <f>SUM(CJ483:CK483)</f>
        <v/>
      </c>
      <c r="CM483" s="28" t="n"/>
      <c r="CN483" s="31" t="n"/>
      <c r="CO483" s="29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1" t="n"/>
      <c r="CQ483" s="21" t="n"/>
      <c r="CR483" s="27">
        <f>SUM(CP483:CQ483)</f>
        <v/>
      </c>
      <c r="CS483" s="28" t="n"/>
      <c r="CT483" s="31" t="n"/>
      <c r="CU483" s="29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1" t="n"/>
      <c r="CW483" s="21" t="n"/>
      <c r="CX483" s="27">
        <f>SUM(CV483:CW483)</f>
        <v/>
      </c>
      <c r="CY483" s="28" t="n"/>
      <c r="CZ483" s="31" t="n"/>
      <c r="DA483" s="29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1" t="n"/>
      <c r="DC483" s="21" t="n"/>
      <c r="DD483" s="27">
        <f>SUM(DB483:DC483)</f>
        <v/>
      </c>
      <c r="DE483" s="28" t="n"/>
      <c r="DF483" s="31" t="n"/>
      <c r="DG483" s="29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34">
        <f>SUM(O483,U483,AA483,AG483,AM483,AS483,AY483,BE483,BK483,BQ483,BW483,CC483,CI483,CO483,CU483,DA483,DG483)</f>
        <v/>
      </c>
      <c r="DI483" s="39">
        <f>RANK(DH483,DH$4:DH$503)</f>
        <v/>
      </c>
      <c r="DJ483" s="40" t="inlineStr">
        <is>
          <t>CHOOSE RATING</t>
        </is>
      </c>
      <c r="DK483" s="40" t="inlineStr">
        <is>
          <t>CHOOSE RATING</t>
        </is>
      </c>
      <c r="DL483" s="40" t="inlineStr">
        <is>
          <t>CHOOSE RATING</t>
        </is>
      </c>
      <c r="DM483" s="40" t="inlineStr">
        <is>
          <t>CHOOSE RATING</t>
        </is>
      </c>
      <c r="DN483" s="40" t="inlineStr">
        <is>
          <t>CHOOSE RATING</t>
        </is>
      </c>
      <c r="DO483" s="40" t="inlineStr">
        <is>
          <t>CHOOSE RATING</t>
        </is>
      </c>
      <c r="DP483" s="40" t="inlineStr">
        <is>
          <t>CHOOSE RATING</t>
        </is>
      </c>
      <c r="DQ483" s="40" t="inlineStr">
        <is>
          <t>CHOOSE RATING</t>
        </is>
      </c>
      <c r="DR483" s="43" t="inlineStr">
        <is>
          <t>2024/2025</t>
        </is>
      </c>
      <c r="DS483" s="45" t="inlineStr">
        <is>
          <t>THIRD</t>
        </is>
      </c>
      <c r="DT483" s="40" t="inlineStr">
        <is>
          <t>CHOOSE RATING</t>
        </is>
      </c>
      <c r="DU483" s="40" t="inlineStr">
        <is>
          <t>CHOOSE RATING</t>
        </is>
      </c>
      <c r="DV483" s="40" t="inlineStr">
        <is>
          <t>CHOOSE RATING</t>
        </is>
      </c>
      <c r="DW483" s="40" t="inlineStr">
        <is>
          <t>CHOOSE RATING</t>
        </is>
      </c>
      <c r="DX483" s="40" t="inlineStr">
        <is>
          <t>CHOOSE RATING</t>
        </is>
      </c>
      <c r="DY483" s="40" t="inlineStr">
        <is>
          <t>CHOOSE RATING</t>
        </is>
      </c>
      <c r="DZ483" s="53" t="inlineStr">
        <is>
          <t>CHOOSE RATING</t>
        </is>
      </c>
      <c r="EA483" s="54" t="inlineStr">
        <is>
          <t>Add the Tutor's Comment . . .</t>
        </is>
      </c>
      <c r="EB483" s="55" t="inlineStr">
        <is>
          <t>Choose Principals comment</t>
        </is>
      </c>
      <c r="EC483" s="56" t="n"/>
      <c r="ED483" s="57" t="inlineStr">
        <is>
          <t>Next Term Begins on Monday, 22nd September, 2025</t>
        </is>
      </c>
    </row>
    <row r="484" ht="30.6" customHeight="1" s="6">
      <c r="A484" s="18" t="n">
        <v>481</v>
      </c>
      <c r="B484" s="19" t="n"/>
      <c r="C484" s="20" t="n"/>
      <c r="D484" s="128" t="n"/>
      <c r="E484" s="21" t="n"/>
      <c r="F484" s="22" t="n"/>
      <c r="G484" s="22" t="n"/>
      <c r="H484" s="22" t="n"/>
      <c r="I484" s="26">
        <f>G484-H484</f>
        <v/>
      </c>
      <c r="J484" s="21" t="n"/>
      <c r="K484" s="21" t="n"/>
      <c r="L484" s="27">
        <f>SUM(J484:K484)</f>
        <v/>
      </c>
      <c r="M484" s="28" t="n"/>
      <c r="N484" s="28" t="n"/>
      <c r="O484" s="29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1" t="n"/>
      <c r="Q484" s="21" t="n"/>
      <c r="R484" s="27">
        <f>SUM(P484:Q484)</f>
        <v/>
      </c>
      <c r="S484" s="28" t="n"/>
      <c r="T484" s="28" t="n"/>
      <c r="U484" s="29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1" t="n"/>
      <c r="W484" s="21" t="n"/>
      <c r="X484" s="27">
        <f>SUM(V484:W484)</f>
        <v/>
      </c>
      <c r="Y484" s="28" t="n"/>
      <c r="Z484" s="28" t="n"/>
      <c r="AA484" s="29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1" t="n"/>
      <c r="AC484" s="21" t="n"/>
      <c r="AD484" s="27">
        <f>SUM(AB484:AC484)</f>
        <v/>
      </c>
      <c r="AE484" s="28" t="n"/>
      <c r="AF484" s="28" t="n"/>
      <c r="AG484" s="29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1" t="n"/>
      <c r="AI484" s="21" t="n"/>
      <c r="AJ484" s="27">
        <f>SUM(AH484:AI484)</f>
        <v/>
      </c>
      <c r="AK484" s="28" t="n"/>
      <c r="AL484" s="28" t="n"/>
      <c r="AM484" s="29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1" t="n"/>
      <c r="AO484" s="21" t="n"/>
      <c r="AP484" s="27">
        <f>SUM(AN484:AO484)</f>
        <v/>
      </c>
      <c r="AQ484" s="28" t="n"/>
      <c r="AR484" s="30" t="n"/>
      <c r="AS484" s="29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1" t="n"/>
      <c r="AU484" s="21" t="n"/>
      <c r="AV484" s="27">
        <f>SUM(AT484:AU484)</f>
        <v/>
      </c>
      <c r="AW484" s="28" t="n"/>
      <c r="AX484" s="30" t="n"/>
      <c r="AY484" s="29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1" t="n"/>
      <c r="BA484" s="21" t="n"/>
      <c r="BB484" s="27">
        <f>SUM(AZ484:BA484)</f>
        <v/>
      </c>
      <c r="BC484" s="28" t="n"/>
      <c r="BD484" s="28" t="n"/>
      <c r="BE484" s="29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1" t="n"/>
      <c r="BG484" s="21" t="n"/>
      <c r="BH484" s="27">
        <f>SUM(BF484:BG484)</f>
        <v/>
      </c>
      <c r="BI484" s="28" t="n"/>
      <c r="BJ484" s="28" t="n"/>
      <c r="BK484" s="29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1" t="n"/>
      <c r="BM484" s="21" t="n"/>
      <c r="BN484" s="27">
        <f>SUM(BL484:BM484)</f>
        <v/>
      </c>
      <c r="BO484" s="28" t="n"/>
      <c r="BP484" s="31" t="n"/>
      <c r="BQ484" s="29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1" t="n"/>
      <c r="BS484" s="21" t="n"/>
      <c r="BT484" s="27">
        <f>SUM(BR484:BS484)</f>
        <v/>
      </c>
      <c r="BU484" s="28" t="n"/>
      <c r="BV484" s="31" t="n"/>
      <c r="BW484" s="29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1" t="n"/>
      <c r="BY484" s="21" t="n"/>
      <c r="BZ484" s="27">
        <f>SUM(BX484:BY484)</f>
        <v/>
      </c>
      <c r="CA484" s="28" t="n"/>
      <c r="CB484" s="31" t="n"/>
      <c r="CC484" s="29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1" t="n"/>
      <c r="CE484" s="21" t="n"/>
      <c r="CF484" s="27">
        <f>SUM(CD484:CE484)</f>
        <v/>
      </c>
      <c r="CG484" s="28" t="n"/>
      <c r="CH484" s="31" t="n"/>
      <c r="CI484" s="29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1" t="n"/>
      <c r="CK484" s="21" t="n"/>
      <c r="CL484" s="27">
        <f>SUM(CJ484:CK484)</f>
        <v/>
      </c>
      <c r="CM484" s="28" t="n"/>
      <c r="CN484" s="31" t="n"/>
      <c r="CO484" s="29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1" t="n"/>
      <c r="CQ484" s="21" t="n"/>
      <c r="CR484" s="27">
        <f>SUM(CP484:CQ484)</f>
        <v/>
      </c>
      <c r="CS484" s="28" t="n"/>
      <c r="CT484" s="31" t="n"/>
      <c r="CU484" s="29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1" t="n"/>
      <c r="CW484" s="21" t="n"/>
      <c r="CX484" s="27">
        <f>SUM(CV484:CW484)</f>
        <v/>
      </c>
      <c r="CY484" s="28" t="n"/>
      <c r="CZ484" s="31" t="n"/>
      <c r="DA484" s="29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1" t="n"/>
      <c r="DC484" s="21" t="n"/>
      <c r="DD484" s="27">
        <f>SUM(DB484:DC484)</f>
        <v/>
      </c>
      <c r="DE484" s="28" t="n"/>
      <c r="DF484" s="31" t="n"/>
      <c r="DG484" s="29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34">
        <f>SUM(O484,U484,AA484,AG484,AM484,AS484,AY484,BE484,BK484,BQ484,BW484,CC484,CI484,CO484,CU484,DA484,DG484)</f>
        <v/>
      </c>
      <c r="DI484" s="39">
        <f>RANK(DH484,DH$4:DH$503)</f>
        <v/>
      </c>
      <c r="DJ484" s="40" t="inlineStr">
        <is>
          <t>CHOOSE RATING</t>
        </is>
      </c>
      <c r="DK484" s="40" t="inlineStr">
        <is>
          <t>CHOOSE RATING</t>
        </is>
      </c>
      <c r="DL484" s="40" t="inlineStr">
        <is>
          <t>CHOOSE RATING</t>
        </is>
      </c>
      <c r="DM484" s="40" t="inlineStr">
        <is>
          <t>CHOOSE RATING</t>
        </is>
      </c>
      <c r="DN484" s="40" t="inlineStr">
        <is>
          <t>CHOOSE RATING</t>
        </is>
      </c>
      <c r="DO484" s="40" t="inlineStr">
        <is>
          <t>CHOOSE RATING</t>
        </is>
      </c>
      <c r="DP484" s="40" t="inlineStr">
        <is>
          <t>CHOOSE RATING</t>
        </is>
      </c>
      <c r="DQ484" s="40" t="inlineStr">
        <is>
          <t>CHOOSE RATING</t>
        </is>
      </c>
      <c r="DR484" s="43" t="inlineStr">
        <is>
          <t>2024/2025</t>
        </is>
      </c>
      <c r="DS484" s="45" t="inlineStr">
        <is>
          <t>THIRD</t>
        </is>
      </c>
      <c r="DT484" s="40" t="inlineStr">
        <is>
          <t>CHOOSE RATING</t>
        </is>
      </c>
      <c r="DU484" s="40" t="inlineStr">
        <is>
          <t>CHOOSE RATING</t>
        </is>
      </c>
      <c r="DV484" s="40" t="inlineStr">
        <is>
          <t>CHOOSE RATING</t>
        </is>
      </c>
      <c r="DW484" s="40" t="inlineStr">
        <is>
          <t>CHOOSE RATING</t>
        </is>
      </c>
      <c r="DX484" s="40" t="inlineStr">
        <is>
          <t>CHOOSE RATING</t>
        </is>
      </c>
      <c r="DY484" s="40" t="inlineStr">
        <is>
          <t>CHOOSE RATING</t>
        </is>
      </c>
      <c r="DZ484" s="53" t="inlineStr">
        <is>
          <t>CHOOSE RATING</t>
        </is>
      </c>
      <c r="EA484" s="54" t="inlineStr">
        <is>
          <t>Add the Tutor's Comment . . .</t>
        </is>
      </c>
      <c r="EB484" s="55" t="inlineStr">
        <is>
          <t>Choose Principals comment</t>
        </is>
      </c>
      <c r="EC484" s="56" t="n"/>
      <c r="ED484" s="57" t="inlineStr">
        <is>
          <t>Next Term Begins on Monday, 22nd September, 2025</t>
        </is>
      </c>
    </row>
    <row r="485" ht="30.6" customHeight="1" s="6">
      <c r="A485" s="18" t="n">
        <v>482</v>
      </c>
      <c r="B485" s="19" t="n"/>
      <c r="C485" s="20" t="n"/>
      <c r="D485" s="128" t="n"/>
      <c r="E485" s="21" t="n"/>
      <c r="F485" s="22" t="n"/>
      <c r="G485" s="22" t="n"/>
      <c r="H485" s="22" t="n"/>
      <c r="I485" s="26">
        <f>G485-H485</f>
        <v/>
      </c>
      <c r="J485" s="21" t="n"/>
      <c r="K485" s="21" t="n"/>
      <c r="L485" s="27">
        <f>SUM(J485:K485)</f>
        <v/>
      </c>
      <c r="M485" s="28" t="n"/>
      <c r="N485" s="28" t="n"/>
      <c r="O485" s="29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1" t="n"/>
      <c r="Q485" s="21" t="n"/>
      <c r="R485" s="27">
        <f>SUM(P485:Q485)</f>
        <v/>
      </c>
      <c r="S485" s="28" t="n"/>
      <c r="T485" s="28" t="n"/>
      <c r="U485" s="29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1" t="n"/>
      <c r="W485" s="21" t="n"/>
      <c r="X485" s="27">
        <f>SUM(V485:W485)</f>
        <v/>
      </c>
      <c r="Y485" s="28" t="n"/>
      <c r="Z485" s="28" t="n"/>
      <c r="AA485" s="29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1" t="n"/>
      <c r="AC485" s="21" t="n"/>
      <c r="AD485" s="27">
        <f>SUM(AB485:AC485)</f>
        <v/>
      </c>
      <c r="AE485" s="28" t="n"/>
      <c r="AF485" s="28" t="n"/>
      <c r="AG485" s="29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1" t="n"/>
      <c r="AI485" s="21" t="n"/>
      <c r="AJ485" s="27">
        <f>SUM(AH485:AI485)</f>
        <v/>
      </c>
      <c r="AK485" s="28" t="n"/>
      <c r="AL485" s="28" t="n"/>
      <c r="AM485" s="29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1" t="n"/>
      <c r="AO485" s="21" t="n"/>
      <c r="AP485" s="27">
        <f>SUM(AN485:AO485)</f>
        <v/>
      </c>
      <c r="AQ485" s="28" t="n"/>
      <c r="AR485" s="30" t="n"/>
      <c r="AS485" s="29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1" t="n"/>
      <c r="AU485" s="21" t="n"/>
      <c r="AV485" s="27">
        <f>SUM(AT485:AU485)</f>
        <v/>
      </c>
      <c r="AW485" s="28" t="n"/>
      <c r="AX485" s="30" t="n"/>
      <c r="AY485" s="29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1" t="n"/>
      <c r="BA485" s="21" t="n"/>
      <c r="BB485" s="27">
        <f>SUM(AZ485:BA485)</f>
        <v/>
      </c>
      <c r="BC485" s="28" t="n"/>
      <c r="BD485" s="28" t="n"/>
      <c r="BE485" s="29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1" t="n"/>
      <c r="BG485" s="21" t="n"/>
      <c r="BH485" s="27">
        <f>SUM(BF485:BG485)</f>
        <v/>
      </c>
      <c r="BI485" s="28" t="n"/>
      <c r="BJ485" s="28" t="n"/>
      <c r="BK485" s="29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1" t="n"/>
      <c r="BM485" s="21" t="n"/>
      <c r="BN485" s="27">
        <f>SUM(BL485:BM485)</f>
        <v/>
      </c>
      <c r="BO485" s="28" t="n"/>
      <c r="BP485" s="31" t="n"/>
      <c r="BQ485" s="29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1" t="n"/>
      <c r="BS485" s="21" t="n"/>
      <c r="BT485" s="27">
        <f>SUM(BR485:BS485)</f>
        <v/>
      </c>
      <c r="BU485" s="28" t="n"/>
      <c r="BV485" s="31" t="n"/>
      <c r="BW485" s="29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1" t="n"/>
      <c r="BY485" s="21" t="n"/>
      <c r="BZ485" s="27">
        <f>SUM(BX485:BY485)</f>
        <v/>
      </c>
      <c r="CA485" s="28" t="n"/>
      <c r="CB485" s="31" t="n"/>
      <c r="CC485" s="29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1" t="n"/>
      <c r="CE485" s="21" t="n"/>
      <c r="CF485" s="27">
        <f>SUM(CD485:CE485)</f>
        <v/>
      </c>
      <c r="CG485" s="28" t="n"/>
      <c r="CH485" s="31" t="n"/>
      <c r="CI485" s="29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1" t="n"/>
      <c r="CK485" s="21" t="n"/>
      <c r="CL485" s="27">
        <f>SUM(CJ485:CK485)</f>
        <v/>
      </c>
      <c r="CM485" s="28" t="n"/>
      <c r="CN485" s="31" t="n"/>
      <c r="CO485" s="29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1" t="n"/>
      <c r="CQ485" s="21" t="n"/>
      <c r="CR485" s="27">
        <f>SUM(CP485:CQ485)</f>
        <v/>
      </c>
      <c r="CS485" s="28" t="n"/>
      <c r="CT485" s="31" t="n"/>
      <c r="CU485" s="29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1" t="n"/>
      <c r="CW485" s="21" t="n"/>
      <c r="CX485" s="27">
        <f>SUM(CV485:CW485)</f>
        <v/>
      </c>
      <c r="CY485" s="28" t="n"/>
      <c r="CZ485" s="31" t="n"/>
      <c r="DA485" s="29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1" t="n"/>
      <c r="DC485" s="21" t="n"/>
      <c r="DD485" s="27">
        <f>SUM(DB485:DC485)</f>
        <v/>
      </c>
      <c r="DE485" s="28" t="n"/>
      <c r="DF485" s="31" t="n"/>
      <c r="DG485" s="29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34">
        <f>SUM(O485,U485,AA485,AG485,AM485,AS485,AY485,BE485,BK485,BQ485,BW485,CC485,CI485,CO485,CU485,DA485,DG485)</f>
        <v/>
      </c>
      <c r="DI485" s="39">
        <f>RANK(DH485,DH$4:DH$503)</f>
        <v/>
      </c>
      <c r="DJ485" s="40" t="inlineStr">
        <is>
          <t>CHOOSE RATING</t>
        </is>
      </c>
      <c r="DK485" s="40" t="inlineStr">
        <is>
          <t>CHOOSE RATING</t>
        </is>
      </c>
      <c r="DL485" s="40" t="inlineStr">
        <is>
          <t>CHOOSE RATING</t>
        </is>
      </c>
      <c r="DM485" s="40" t="inlineStr">
        <is>
          <t>CHOOSE RATING</t>
        </is>
      </c>
      <c r="DN485" s="40" t="inlineStr">
        <is>
          <t>CHOOSE RATING</t>
        </is>
      </c>
      <c r="DO485" s="40" t="inlineStr">
        <is>
          <t>CHOOSE RATING</t>
        </is>
      </c>
      <c r="DP485" s="40" t="inlineStr">
        <is>
          <t>CHOOSE RATING</t>
        </is>
      </c>
      <c r="DQ485" s="40" t="inlineStr">
        <is>
          <t>CHOOSE RATING</t>
        </is>
      </c>
      <c r="DR485" s="43" t="inlineStr">
        <is>
          <t>2024/2025</t>
        </is>
      </c>
      <c r="DS485" s="45" t="inlineStr">
        <is>
          <t>THIRD</t>
        </is>
      </c>
      <c r="DT485" s="40" t="inlineStr">
        <is>
          <t>CHOOSE RATING</t>
        </is>
      </c>
      <c r="DU485" s="40" t="inlineStr">
        <is>
          <t>CHOOSE RATING</t>
        </is>
      </c>
      <c r="DV485" s="40" t="inlineStr">
        <is>
          <t>CHOOSE RATING</t>
        </is>
      </c>
      <c r="DW485" s="40" t="inlineStr">
        <is>
          <t>CHOOSE RATING</t>
        </is>
      </c>
      <c r="DX485" s="40" t="inlineStr">
        <is>
          <t>CHOOSE RATING</t>
        </is>
      </c>
      <c r="DY485" s="40" t="inlineStr">
        <is>
          <t>CHOOSE RATING</t>
        </is>
      </c>
      <c r="DZ485" s="53" t="inlineStr">
        <is>
          <t>CHOOSE RATING</t>
        </is>
      </c>
      <c r="EA485" s="54" t="inlineStr">
        <is>
          <t>Add the Tutor's Comment . . .</t>
        </is>
      </c>
      <c r="EB485" s="55" t="inlineStr">
        <is>
          <t>Choose Principals comment</t>
        </is>
      </c>
      <c r="EC485" s="56" t="n"/>
      <c r="ED485" s="57" t="inlineStr">
        <is>
          <t>Next Term Begins on Monday, 22nd September, 2025</t>
        </is>
      </c>
    </row>
    <row r="486" ht="30.6" customHeight="1" s="6">
      <c r="A486" s="18" t="n">
        <v>483</v>
      </c>
      <c r="B486" s="19" t="n"/>
      <c r="C486" s="20" t="n"/>
      <c r="D486" s="128" t="n"/>
      <c r="E486" s="21" t="n"/>
      <c r="F486" s="22" t="n"/>
      <c r="G486" s="22" t="n"/>
      <c r="H486" s="22" t="n"/>
      <c r="I486" s="26">
        <f>G486-H486</f>
        <v/>
      </c>
      <c r="J486" s="21" t="n"/>
      <c r="K486" s="21" t="n"/>
      <c r="L486" s="27">
        <f>SUM(J486:K486)</f>
        <v/>
      </c>
      <c r="M486" s="28" t="n"/>
      <c r="N486" s="28" t="n"/>
      <c r="O486" s="29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1" t="n"/>
      <c r="Q486" s="21" t="n"/>
      <c r="R486" s="27">
        <f>SUM(P486:Q486)</f>
        <v/>
      </c>
      <c r="S486" s="28" t="n"/>
      <c r="T486" s="28" t="n"/>
      <c r="U486" s="29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1" t="n"/>
      <c r="W486" s="21" t="n"/>
      <c r="X486" s="27">
        <f>SUM(V486:W486)</f>
        <v/>
      </c>
      <c r="Y486" s="28" t="n"/>
      <c r="Z486" s="28" t="n"/>
      <c r="AA486" s="29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1" t="n"/>
      <c r="AC486" s="21" t="n"/>
      <c r="AD486" s="27">
        <f>SUM(AB486:AC486)</f>
        <v/>
      </c>
      <c r="AE486" s="28" t="n"/>
      <c r="AF486" s="28" t="n"/>
      <c r="AG486" s="29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1" t="n"/>
      <c r="AI486" s="21" t="n"/>
      <c r="AJ486" s="27">
        <f>SUM(AH486:AI486)</f>
        <v/>
      </c>
      <c r="AK486" s="28" t="n"/>
      <c r="AL486" s="28" t="n"/>
      <c r="AM486" s="29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1" t="n"/>
      <c r="AO486" s="21" t="n"/>
      <c r="AP486" s="27">
        <f>SUM(AN486:AO486)</f>
        <v/>
      </c>
      <c r="AQ486" s="28" t="n"/>
      <c r="AR486" s="30" t="n"/>
      <c r="AS486" s="29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1" t="n"/>
      <c r="AU486" s="21" t="n"/>
      <c r="AV486" s="27">
        <f>SUM(AT486:AU486)</f>
        <v/>
      </c>
      <c r="AW486" s="28" t="n"/>
      <c r="AX486" s="30" t="n"/>
      <c r="AY486" s="29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1" t="n"/>
      <c r="BA486" s="21" t="n"/>
      <c r="BB486" s="27">
        <f>SUM(AZ486:BA486)</f>
        <v/>
      </c>
      <c r="BC486" s="28" t="n"/>
      <c r="BD486" s="28" t="n"/>
      <c r="BE486" s="29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1" t="n"/>
      <c r="BG486" s="21" t="n"/>
      <c r="BH486" s="27">
        <f>SUM(BF486:BG486)</f>
        <v/>
      </c>
      <c r="BI486" s="28" t="n"/>
      <c r="BJ486" s="28" t="n"/>
      <c r="BK486" s="29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1" t="n"/>
      <c r="BM486" s="21" t="n"/>
      <c r="BN486" s="27">
        <f>SUM(BL486:BM486)</f>
        <v/>
      </c>
      <c r="BO486" s="28" t="n"/>
      <c r="BP486" s="31" t="n"/>
      <c r="BQ486" s="29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1" t="n"/>
      <c r="BS486" s="21" t="n"/>
      <c r="BT486" s="27">
        <f>SUM(BR486:BS486)</f>
        <v/>
      </c>
      <c r="BU486" s="28" t="n"/>
      <c r="BV486" s="31" t="n"/>
      <c r="BW486" s="29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1" t="n"/>
      <c r="BY486" s="21" t="n"/>
      <c r="BZ486" s="27">
        <f>SUM(BX486:BY486)</f>
        <v/>
      </c>
      <c r="CA486" s="28" t="n"/>
      <c r="CB486" s="31" t="n"/>
      <c r="CC486" s="29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1" t="n"/>
      <c r="CE486" s="21" t="n"/>
      <c r="CF486" s="27">
        <f>SUM(CD486:CE486)</f>
        <v/>
      </c>
      <c r="CG486" s="28" t="n"/>
      <c r="CH486" s="31" t="n"/>
      <c r="CI486" s="29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1" t="n"/>
      <c r="CK486" s="21" t="n"/>
      <c r="CL486" s="27">
        <f>SUM(CJ486:CK486)</f>
        <v/>
      </c>
      <c r="CM486" s="28" t="n"/>
      <c r="CN486" s="31" t="n"/>
      <c r="CO486" s="29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1" t="n"/>
      <c r="CQ486" s="21" t="n"/>
      <c r="CR486" s="27">
        <f>SUM(CP486:CQ486)</f>
        <v/>
      </c>
      <c r="CS486" s="28" t="n"/>
      <c r="CT486" s="31" t="n"/>
      <c r="CU486" s="29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1" t="n"/>
      <c r="CW486" s="21" t="n"/>
      <c r="CX486" s="27">
        <f>SUM(CV486:CW486)</f>
        <v/>
      </c>
      <c r="CY486" s="28" t="n"/>
      <c r="CZ486" s="31" t="n"/>
      <c r="DA486" s="29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1" t="n"/>
      <c r="DC486" s="21" t="n"/>
      <c r="DD486" s="27">
        <f>SUM(DB486:DC486)</f>
        <v/>
      </c>
      <c r="DE486" s="28" t="n"/>
      <c r="DF486" s="31" t="n"/>
      <c r="DG486" s="29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34">
        <f>SUM(O486,U486,AA486,AG486,AM486,AS486,AY486,BE486,BK486,BQ486,BW486,CC486,CI486,CO486,CU486,DA486,DG486)</f>
        <v/>
      </c>
      <c r="DI486" s="39">
        <f>RANK(DH486,DH$4:DH$503)</f>
        <v/>
      </c>
      <c r="DJ486" s="40" t="inlineStr">
        <is>
          <t>CHOOSE RATING</t>
        </is>
      </c>
      <c r="DK486" s="40" t="inlineStr">
        <is>
          <t>CHOOSE RATING</t>
        </is>
      </c>
      <c r="DL486" s="40" t="inlineStr">
        <is>
          <t>CHOOSE RATING</t>
        </is>
      </c>
      <c r="DM486" s="40" t="inlineStr">
        <is>
          <t>CHOOSE RATING</t>
        </is>
      </c>
      <c r="DN486" s="40" t="inlineStr">
        <is>
          <t>CHOOSE RATING</t>
        </is>
      </c>
      <c r="DO486" s="40" t="inlineStr">
        <is>
          <t>CHOOSE RATING</t>
        </is>
      </c>
      <c r="DP486" s="40" t="inlineStr">
        <is>
          <t>CHOOSE RATING</t>
        </is>
      </c>
      <c r="DQ486" s="40" t="inlineStr">
        <is>
          <t>CHOOSE RATING</t>
        </is>
      </c>
      <c r="DR486" s="43" t="inlineStr">
        <is>
          <t>2024/2025</t>
        </is>
      </c>
      <c r="DS486" s="45" t="inlineStr">
        <is>
          <t>THIRD</t>
        </is>
      </c>
      <c r="DT486" s="40" t="inlineStr">
        <is>
          <t>CHOOSE RATING</t>
        </is>
      </c>
      <c r="DU486" s="40" t="inlineStr">
        <is>
          <t>CHOOSE RATING</t>
        </is>
      </c>
      <c r="DV486" s="40" t="inlineStr">
        <is>
          <t>CHOOSE RATING</t>
        </is>
      </c>
      <c r="DW486" s="40" t="inlineStr">
        <is>
          <t>CHOOSE RATING</t>
        </is>
      </c>
      <c r="DX486" s="40" t="inlineStr">
        <is>
          <t>CHOOSE RATING</t>
        </is>
      </c>
      <c r="DY486" s="40" t="inlineStr">
        <is>
          <t>CHOOSE RATING</t>
        </is>
      </c>
      <c r="DZ486" s="53" t="inlineStr">
        <is>
          <t>CHOOSE RATING</t>
        </is>
      </c>
      <c r="EA486" s="54" t="inlineStr">
        <is>
          <t>Add the Tutor's Comment . . .</t>
        </is>
      </c>
      <c r="EB486" s="55" t="inlineStr">
        <is>
          <t>Choose Principals comment</t>
        </is>
      </c>
      <c r="EC486" s="56" t="n"/>
      <c r="ED486" s="57" t="inlineStr">
        <is>
          <t>Next Term Begins on Monday, 22nd September, 2025</t>
        </is>
      </c>
    </row>
    <row r="487" ht="30.6" customHeight="1" s="6">
      <c r="A487" s="18" t="n">
        <v>484</v>
      </c>
      <c r="B487" s="19" t="n"/>
      <c r="C487" s="20" t="n"/>
      <c r="D487" s="128" t="n"/>
      <c r="E487" s="21" t="n"/>
      <c r="F487" s="22" t="n"/>
      <c r="G487" s="22" t="n"/>
      <c r="H487" s="22" t="n"/>
      <c r="I487" s="26">
        <f>G487-H487</f>
        <v/>
      </c>
      <c r="J487" s="21" t="n"/>
      <c r="K487" s="21" t="n"/>
      <c r="L487" s="27">
        <f>SUM(J487:K487)</f>
        <v/>
      </c>
      <c r="M487" s="28" t="n"/>
      <c r="N487" s="28" t="n"/>
      <c r="O487" s="29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1" t="n"/>
      <c r="Q487" s="21" t="n"/>
      <c r="R487" s="27">
        <f>SUM(P487:Q487)</f>
        <v/>
      </c>
      <c r="S487" s="28" t="n"/>
      <c r="T487" s="28" t="n"/>
      <c r="U487" s="29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1" t="n"/>
      <c r="W487" s="21" t="n"/>
      <c r="X487" s="27">
        <f>SUM(V487:W487)</f>
        <v/>
      </c>
      <c r="Y487" s="28" t="n"/>
      <c r="Z487" s="28" t="n"/>
      <c r="AA487" s="29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1" t="n"/>
      <c r="AC487" s="21" t="n"/>
      <c r="AD487" s="27">
        <f>SUM(AB487:AC487)</f>
        <v/>
      </c>
      <c r="AE487" s="28" t="n"/>
      <c r="AF487" s="28" t="n"/>
      <c r="AG487" s="29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1" t="n"/>
      <c r="AI487" s="21" t="n"/>
      <c r="AJ487" s="27">
        <f>SUM(AH487:AI487)</f>
        <v/>
      </c>
      <c r="AK487" s="28" t="n"/>
      <c r="AL487" s="28" t="n"/>
      <c r="AM487" s="29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1" t="n"/>
      <c r="AO487" s="21" t="n"/>
      <c r="AP487" s="27">
        <f>SUM(AN487:AO487)</f>
        <v/>
      </c>
      <c r="AQ487" s="28" t="n"/>
      <c r="AR487" s="30" t="n"/>
      <c r="AS487" s="29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1" t="n"/>
      <c r="AU487" s="21" t="n"/>
      <c r="AV487" s="27">
        <f>SUM(AT487:AU487)</f>
        <v/>
      </c>
      <c r="AW487" s="28" t="n"/>
      <c r="AX487" s="30" t="n"/>
      <c r="AY487" s="29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1" t="n"/>
      <c r="BA487" s="21" t="n"/>
      <c r="BB487" s="27">
        <f>SUM(AZ487:BA487)</f>
        <v/>
      </c>
      <c r="BC487" s="28" t="n"/>
      <c r="BD487" s="28" t="n"/>
      <c r="BE487" s="29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1" t="n"/>
      <c r="BG487" s="21" t="n"/>
      <c r="BH487" s="27">
        <f>SUM(BF487:BG487)</f>
        <v/>
      </c>
      <c r="BI487" s="28" t="n"/>
      <c r="BJ487" s="28" t="n"/>
      <c r="BK487" s="29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1" t="n"/>
      <c r="BM487" s="21" t="n"/>
      <c r="BN487" s="27">
        <f>SUM(BL487:BM487)</f>
        <v/>
      </c>
      <c r="BO487" s="28" t="n"/>
      <c r="BP487" s="31" t="n"/>
      <c r="BQ487" s="29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1" t="n"/>
      <c r="BS487" s="21" t="n"/>
      <c r="BT487" s="27">
        <f>SUM(BR487:BS487)</f>
        <v/>
      </c>
      <c r="BU487" s="28" t="n"/>
      <c r="BV487" s="31" t="n"/>
      <c r="BW487" s="29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1" t="n"/>
      <c r="BY487" s="21" t="n"/>
      <c r="BZ487" s="27">
        <f>SUM(BX487:BY487)</f>
        <v/>
      </c>
      <c r="CA487" s="28" t="n"/>
      <c r="CB487" s="31" t="n"/>
      <c r="CC487" s="29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1" t="n"/>
      <c r="CE487" s="21" t="n"/>
      <c r="CF487" s="27">
        <f>SUM(CD487:CE487)</f>
        <v/>
      </c>
      <c r="CG487" s="28" t="n"/>
      <c r="CH487" s="31" t="n"/>
      <c r="CI487" s="29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1" t="n"/>
      <c r="CK487" s="21" t="n"/>
      <c r="CL487" s="27">
        <f>SUM(CJ487:CK487)</f>
        <v/>
      </c>
      <c r="CM487" s="28" t="n"/>
      <c r="CN487" s="31" t="n"/>
      <c r="CO487" s="29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1" t="n"/>
      <c r="CQ487" s="21" t="n"/>
      <c r="CR487" s="27">
        <f>SUM(CP487:CQ487)</f>
        <v/>
      </c>
      <c r="CS487" s="28" t="n"/>
      <c r="CT487" s="31" t="n"/>
      <c r="CU487" s="29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1" t="n"/>
      <c r="CW487" s="21" t="n"/>
      <c r="CX487" s="27">
        <f>SUM(CV487:CW487)</f>
        <v/>
      </c>
      <c r="CY487" s="28" t="n"/>
      <c r="CZ487" s="31" t="n"/>
      <c r="DA487" s="29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1" t="n"/>
      <c r="DC487" s="21" t="n"/>
      <c r="DD487" s="27">
        <f>SUM(DB487:DC487)</f>
        <v/>
      </c>
      <c r="DE487" s="28" t="n"/>
      <c r="DF487" s="31" t="n"/>
      <c r="DG487" s="29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34">
        <f>SUM(O487,U487,AA487,AG487,AM487,AS487,AY487,BE487,BK487,BQ487,BW487,CC487,CI487,CO487,CU487,DA487,DG487)</f>
        <v/>
      </c>
      <c r="DI487" s="39">
        <f>RANK(DH487,DH$4:DH$503)</f>
        <v/>
      </c>
      <c r="DJ487" s="40" t="inlineStr">
        <is>
          <t>CHOOSE RATING</t>
        </is>
      </c>
      <c r="DK487" s="40" t="inlineStr">
        <is>
          <t>CHOOSE RATING</t>
        </is>
      </c>
      <c r="DL487" s="40" t="inlineStr">
        <is>
          <t>CHOOSE RATING</t>
        </is>
      </c>
      <c r="DM487" s="40" t="inlineStr">
        <is>
          <t>CHOOSE RATING</t>
        </is>
      </c>
      <c r="DN487" s="40" t="inlineStr">
        <is>
          <t>CHOOSE RATING</t>
        </is>
      </c>
      <c r="DO487" s="40" t="inlineStr">
        <is>
          <t>CHOOSE RATING</t>
        </is>
      </c>
      <c r="DP487" s="40" t="inlineStr">
        <is>
          <t>CHOOSE RATING</t>
        </is>
      </c>
      <c r="DQ487" s="40" t="inlineStr">
        <is>
          <t>CHOOSE RATING</t>
        </is>
      </c>
      <c r="DR487" s="43" t="inlineStr">
        <is>
          <t>2024/2025</t>
        </is>
      </c>
      <c r="DS487" s="45" t="inlineStr">
        <is>
          <t>THIRD</t>
        </is>
      </c>
      <c r="DT487" s="40" t="inlineStr">
        <is>
          <t>CHOOSE RATING</t>
        </is>
      </c>
      <c r="DU487" s="40" t="inlineStr">
        <is>
          <t>CHOOSE RATING</t>
        </is>
      </c>
      <c r="DV487" s="40" t="inlineStr">
        <is>
          <t>CHOOSE RATING</t>
        </is>
      </c>
      <c r="DW487" s="40" t="inlineStr">
        <is>
          <t>CHOOSE RATING</t>
        </is>
      </c>
      <c r="DX487" s="40" t="inlineStr">
        <is>
          <t>CHOOSE RATING</t>
        </is>
      </c>
      <c r="DY487" s="40" t="inlineStr">
        <is>
          <t>CHOOSE RATING</t>
        </is>
      </c>
      <c r="DZ487" s="53" t="inlineStr">
        <is>
          <t>CHOOSE RATING</t>
        </is>
      </c>
      <c r="EA487" s="54" t="inlineStr">
        <is>
          <t>Add the Tutor's Comment . . .</t>
        </is>
      </c>
      <c r="EB487" s="55" t="inlineStr">
        <is>
          <t>Choose Principals comment</t>
        </is>
      </c>
      <c r="EC487" s="56" t="n"/>
      <c r="ED487" s="57" t="inlineStr">
        <is>
          <t>Next Term Begins on Monday, 22nd September, 2025</t>
        </is>
      </c>
    </row>
    <row r="488" ht="30.6" customHeight="1" s="6">
      <c r="A488" s="18" t="n">
        <v>485</v>
      </c>
      <c r="B488" s="19" t="n"/>
      <c r="C488" s="20" t="n"/>
      <c r="D488" s="128" t="n"/>
      <c r="E488" s="21" t="n"/>
      <c r="F488" s="22" t="n"/>
      <c r="G488" s="22" t="n"/>
      <c r="H488" s="22" t="n"/>
      <c r="I488" s="26">
        <f>G488-H488</f>
        <v/>
      </c>
      <c r="J488" s="21" t="n"/>
      <c r="K488" s="21" t="n"/>
      <c r="L488" s="27">
        <f>SUM(J488:K488)</f>
        <v/>
      </c>
      <c r="M488" s="28" t="n"/>
      <c r="N488" s="28" t="n"/>
      <c r="O488" s="29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1" t="n"/>
      <c r="Q488" s="21" t="n"/>
      <c r="R488" s="27">
        <f>SUM(P488:Q488)</f>
        <v/>
      </c>
      <c r="S488" s="28" t="n"/>
      <c r="T488" s="28" t="n"/>
      <c r="U488" s="29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1" t="n"/>
      <c r="W488" s="21" t="n"/>
      <c r="X488" s="27">
        <f>SUM(V488:W488)</f>
        <v/>
      </c>
      <c r="Y488" s="28" t="n"/>
      <c r="Z488" s="28" t="n"/>
      <c r="AA488" s="29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1" t="n"/>
      <c r="AC488" s="21" t="n"/>
      <c r="AD488" s="27">
        <f>SUM(AB488:AC488)</f>
        <v/>
      </c>
      <c r="AE488" s="28" t="n"/>
      <c r="AF488" s="28" t="n"/>
      <c r="AG488" s="29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1" t="n"/>
      <c r="AI488" s="21" t="n"/>
      <c r="AJ488" s="27">
        <f>SUM(AH488:AI488)</f>
        <v/>
      </c>
      <c r="AK488" s="28" t="n"/>
      <c r="AL488" s="28" t="n"/>
      <c r="AM488" s="29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1" t="n"/>
      <c r="AO488" s="21" t="n"/>
      <c r="AP488" s="27">
        <f>SUM(AN488:AO488)</f>
        <v/>
      </c>
      <c r="AQ488" s="28" t="n"/>
      <c r="AR488" s="30" t="n"/>
      <c r="AS488" s="29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1" t="n"/>
      <c r="AU488" s="21" t="n"/>
      <c r="AV488" s="27">
        <f>SUM(AT488:AU488)</f>
        <v/>
      </c>
      <c r="AW488" s="28" t="n"/>
      <c r="AX488" s="30" t="n"/>
      <c r="AY488" s="29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1" t="n"/>
      <c r="BA488" s="21" t="n"/>
      <c r="BB488" s="27">
        <f>SUM(AZ488:BA488)</f>
        <v/>
      </c>
      <c r="BC488" s="28" t="n"/>
      <c r="BD488" s="28" t="n"/>
      <c r="BE488" s="29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1" t="n"/>
      <c r="BG488" s="21" t="n"/>
      <c r="BH488" s="27">
        <f>SUM(BF488:BG488)</f>
        <v/>
      </c>
      <c r="BI488" s="28" t="n"/>
      <c r="BJ488" s="28" t="n"/>
      <c r="BK488" s="29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1" t="n"/>
      <c r="BM488" s="21" t="n"/>
      <c r="BN488" s="27">
        <f>SUM(BL488:BM488)</f>
        <v/>
      </c>
      <c r="BO488" s="28" t="n"/>
      <c r="BP488" s="31" t="n"/>
      <c r="BQ488" s="29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1" t="n"/>
      <c r="BS488" s="21" t="n"/>
      <c r="BT488" s="27">
        <f>SUM(BR488:BS488)</f>
        <v/>
      </c>
      <c r="BU488" s="28" t="n"/>
      <c r="BV488" s="31" t="n"/>
      <c r="BW488" s="29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1" t="n"/>
      <c r="BY488" s="21" t="n"/>
      <c r="BZ488" s="27">
        <f>SUM(BX488:BY488)</f>
        <v/>
      </c>
      <c r="CA488" s="28" t="n"/>
      <c r="CB488" s="31" t="n"/>
      <c r="CC488" s="29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1" t="n"/>
      <c r="CE488" s="21" t="n"/>
      <c r="CF488" s="27">
        <f>SUM(CD488:CE488)</f>
        <v/>
      </c>
      <c r="CG488" s="28" t="n"/>
      <c r="CH488" s="31" t="n"/>
      <c r="CI488" s="29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1" t="n"/>
      <c r="CK488" s="21" t="n"/>
      <c r="CL488" s="27">
        <f>SUM(CJ488:CK488)</f>
        <v/>
      </c>
      <c r="CM488" s="28" t="n"/>
      <c r="CN488" s="31" t="n"/>
      <c r="CO488" s="29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1" t="n"/>
      <c r="CQ488" s="21" t="n"/>
      <c r="CR488" s="27">
        <f>SUM(CP488:CQ488)</f>
        <v/>
      </c>
      <c r="CS488" s="28" t="n"/>
      <c r="CT488" s="31" t="n"/>
      <c r="CU488" s="29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1" t="n"/>
      <c r="CW488" s="21" t="n"/>
      <c r="CX488" s="27">
        <f>SUM(CV488:CW488)</f>
        <v/>
      </c>
      <c r="CY488" s="28" t="n"/>
      <c r="CZ488" s="31" t="n"/>
      <c r="DA488" s="29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1" t="n"/>
      <c r="DC488" s="21" t="n"/>
      <c r="DD488" s="27">
        <f>SUM(DB488:DC488)</f>
        <v/>
      </c>
      <c r="DE488" s="28" t="n"/>
      <c r="DF488" s="31" t="n"/>
      <c r="DG488" s="29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34">
        <f>SUM(O488,U488,AA488,AG488,AM488,AS488,AY488,BE488,BK488,BQ488,BW488,CC488,CI488,CO488,CU488,DA488,DG488)</f>
        <v/>
      </c>
      <c r="DI488" s="39">
        <f>RANK(DH488,DH$4:DH$503)</f>
        <v/>
      </c>
      <c r="DJ488" s="40" t="inlineStr">
        <is>
          <t>CHOOSE RATING</t>
        </is>
      </c>
      <c r="DK488" s="40" t="inlineStr">
        <is>
          <t>CHOOSE RATING</t>
        </is>
      </c>
      <c r="DL488" s="40" t="inlineStr">
        <is>
          <t>CHOOSE RATING</t>
        </is>
      </c>
      <c r="DM488" s="40" t="inlineStr">
        <is>
          <t>CHOOSE RATING</t>
        </is>
      </c>
      <c r="DN488" s="40" t="inlineStr">
        <is>
          <t>CHOOSE RATING</t>
        </is>
      </c>
      <c r="DO488" s="40" t="inlineStr">
        <is>
          <t>CHOOSE RATING</t>
        </is>
      </c>
      <c r="DP488" s="40" t="inlineStr">
        <is>
          <t>CHOOSE RATING</t>
        </is>
      </c>
      <c r="DQ488" s="40" t="inlineStr">
        <is>
          <t>CHOOSE RATING</t>
        </is>
      </c>
      <c r="DR488" s="43" t="inlineStr">
        <is>
          <t>2024/2025</t>
        </is>
      </c>
      <c r="DS488" s="45" t="inlineStr">
        <is>
          <t>THIRD</t>
        </is>
      </c>
      <c r="DT488" s="40" t="inlineStr">
        <is>
          <t>CHOOSE RATING</t>
        </is>
      </c>
      <c r="DU488" s="40" t="inlineStr">
        <is>
          <t>CHOOSE RATING</t>
        </is>
      </c>
      <c r="DV488" s="40" t="inlineStr">
        <is>
          <t>CHOOSE RATING</t>
        </is>
      </c>
      <c r="DW488" s="40" t="inlineStr">
        <is>
          <t>CHOOSE RATING</t>
        </is>
      </c>
      <c r="DX488" s="40" t="inlineStr">
        <is>
          <t>CHOOSE RATING</t>
        </is>
      </c>
      <c r="DY488" s="40" t="inlineStr">
        <is>
          <t>CHOOSE RATING</t>
        </is>
      </c>
      <c r="DZ488" s="53" t="inlineStr">
        <is>
          <t>CHOOSE RATING</t>
        </is>
      </c>
      <c r="EA488" s="54" t="inlineStr">
        <is>
          <t>Add the Tutor's Comment . . .</t>
        </is>
      </c>
      <c r="EB488" s="55" t="inlineStr">
        <is>
          <t>Choose Principals comment</t>
        </is>
      </c>
      <c r="EC488" s="56" t="n"/>
      <c r="ED488" s="57" t="inlineStr">
        <is>
          <t>Next Term Begins on Monday, 22nd September, 2025</t>
        </is>
      </c>
    </row>
    <row r="489" ht="30.6" customHeight="1" s="6">
      <c r="A489" s="18" t="n">
        <v>486</v>
      </c>
      <c r="B489" s="19" t="n"/>
      <c r="C489" s="20" t="n"/>
      <c r="D489" s="128" t="n"/>
      <c r="E489" s="21" t="n"/>
      <c r="F489" s="22" t="n"/>
      <c r="G489" s="22" t="n"/>
      <c r="H489" s="22" t="n"/>
      <c r="I489" s="26">
        <f>G489-H489</f>
        <v/>
      </c>
      <c r="J489" s="21" t="n"/>
      <c r="K489" s="21" t="n"/>
      <c r="L489" s="27">
        <f>SUM(J489:K489)</f>
        <v/>
      </c>
      <c r="M489" s="28" t="n"/>
      <c r="N489" s="28" t="n"/>
      <c r="O489" s="29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1" t="n"/>
      <c r="Q489" s="21" t="n"/>
      <c r="R489" s="27">
        <f>SUM(P489:Q489)</f>
        <v/>
      </c>
      <c r="S489" s="28" t="n"/>
      <c r="T489" s="28" t="n"/>
      <c r="U489" s="29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1" t="n"/>
      <c r="W489" s="21" t="n"/>
      <c r="X489" s="27">
        <f>SUM(V489:W489)</f>
        <v/>
      </c>
      <c r="Y489" s="28" t="n"/>
      <c r="Z489" s="28" t="n"/>
      <c r="AA489" s="29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1" t="n"/>
      <c r="AC489" s="21" t="n"/>
      <c r="AD489" s="27">
        <f>SUM(AB489:AC489)</f>
        <v/>
      </c>
      <c r="AE489" s="28" t="n"/>
      <c r="AF489" s="28" t="n"/>
      <c r="AG489" s="29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1" t="n"/>
      <c r="AI489" s="21" t="n"/>
      <c r="AJ489" s="27">
        <f>SUM(AH489:AI489)</f>
        <v/>
      </c>
      <c r="AK489" s="28" t="n"/>
      <c r="AL489" s="28" t="n"/>
      <c r="AM489" s="29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1" t="n"/>
      <c r="AO489" s="21" t="n"/>
      <c r="AP489" s="27">
        <f>SUM(AN489:AO489)</f>
        <v/>
      </c>
      <c r="AQ489" s="28" t="n"/>
      <c r="AR489" s="30" t="n"/>
      <c r="AS489" s="29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1" t="n"/>
      <c r="AU489" s="21" t="n"/>
      <c r="AV489" s="27">
        <f>SUM(AT489:AU489)</f>
        <v/>
      </c>
      <c r="AW489" s="28" t="n"/>
      <c r="AX489" s="30" t="n"/>
      <c r="AY489" s="29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1" t="n"/>
      <c r="BA489" s="21" t="n"/>
      <c r="BB489" s="27">
        <f>SUM(AZ489:BA489)</f>
        <v/>
      </c>
      <c r="BC489" s="28" t="n"/>
      <c r="BD489" s="28" t="n"/>
      <c r="BE489" s="29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1" t="n"/>
      <c r="BG489" s="21" t="n"/>
      <c r="BH489" s="27">
        <f>SUM(BF489:BG489)</f>
        <v/>
      </c>
      <c r="BI489" s="28" t="n"/>
      <c r="BJ489" s="28" t="n"/>
      <c r="BK489" s="29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1" t="n"/>
      <c r="BM489" s="21" t="n"/>
      <c r="BN489" s="27">
        <f>SUM(BL489:BM489)</f>
        <v/>
      </c>
      <c r="BO489" s="28" t="n"/>
      <c r="BP489" s="31" t="n"/>
      <c r="BQ489" s="29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1" t="n"/>
      <c r="BS489" s="21" t="n"/>
      <c r="BT489" s="27">
        <f>SUM(BR489:BS489)</f>
        <v/>
      </c>
      <c r="BU489" s="28" t="n"/>
      <c r="BV489" s="31" t="n"/>
      <c r="BW489" s="29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1" t="n"/>
      <c r="BY489" s="21" t="n"/>
      <c r="BZ489" s="27">
        <f>SUM(BX489:BY489)</f>
        <v/>
      </c>
      <c r="CA489" s="28" t="n"/>
      <c r="CB489" s="31" t="n"/>
      <c r="CC489" s="29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1" t="n"/>
      <c r="CE489" s="21" t="n"/>
      <c r="CF489" s="27">
        <f>SUM(CD489:CE489)</f>
        <v/>
      </c>
      <c r="CG489" s="28" t="n"/>
      <c r="CH489" s="31" t="n"/>
      <c r="CI489" s="29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1" t="n"/>
      <c r="CK489" s="21" t="n"/>
      <c r="CL489" s="27">
        <f>SUM(CJ489:CK489)</f>
        <v/>
      </c>
      <c r="CM489" s="28" t="n"/>
      <c r="CN489" s="31" t="n"/>
      <c r="CO489" s="29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1" t="n"/>
      <c r="CQ489" s="21" t="n"/>
      <c r="CR489" s="27">
        <f>SUM(CP489:CQ489)</f>
        <v/>
      </c>
      <c r="CS489" s="28" t="n"/>
      <c r="CT489" s="31" t="n"/>
      <c r="CU489" s="29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1" t="n"/>
      <c r="CW489" s="21" t="n"/>
      <c r="CX489" s="27">
        <f>SUM(CV489:CW489)</f>
        <v/>
      </c>
      <c r="CY489" s="28" t="n"/>
      <c r="CZ489" s="31" t="n"/>
      <c r="DA489" s="29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1" t="n"/>
      <c r="DC489" s="21" t="n"/>
      <c r="DD489" s="27">
        <f>SUM(DB489:DC489)</f>
        <v/>
      </c>
      <c r="DE489" s="28" t="n"/>
      <c r="DF489" s="31" t="n"/>
      <c r="DG489" s="29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34">
        <f>SUM(O489,U489,AA489,AG489,AM489,AS489,AY489,BE489,BK489,BQ489,BW489,CC489,CI489,CO489,CU489,DA489,DG489)</f>
        <v/>
      </c>
      <c r="DI489" s="39">
        <f>RANK(DH489,DH$4:DH$503)</f>
        <v/>
      </c>
      <c r="DJ489" s="40" t="inlineStr">
        <is>
          <t>CHOOSE RATING</t>
        </is>
      </c>
      <c r="DK489" s="40" t="inlineStr">
        <is>
          <t>CHOOSE RATING</t>
        </is>
      </c>
      <c r="DL489" s="40" t="inlineStr">
        <is>
          <t>CHOOSE RATING</t>
        </is>
      </c>
      <c r="DM489" s="40" t="inlineStr">
        <is>
          <t>CHOOSE RATING</t>
        </is>
      </c>
      <c r="DN489" s="40" t="inlineStr">
        <is>
          <t>CHOOSE RATING</t>
        </is>
      </c>
      <c r="DO489" s="40" t="inlineStr">
        <is>
          <t>CHOOSE RATING</t>
        </is>
      </c>
      <c r="DP489" s="40" t="inlineStr">
        <is>
          <t>CHOOSE RATING</t>
        </is>
      </c>
      <c r="DQ489" s="40" t="inlineStr">
        <is>
          <t>CHOOSE RATING</t>
        </is>
      </c>
      <c r="DR489" s="43" t="inlineStr">
        <is>
          <t>2024/2025</t>
        </is>
      </c>
      <c r="DS489" s="45" t="inlineStr">
        <is>
          <t>THIRD</t>
        </is>
      </c>
      <c r="DT489" s="40" t="inlineStr">
        <is>
          <t>CHOOSE RATING</t>
        </is>
      </c>
      <c r="DU489" s="40" t="inlineStr">
        <is>
          <t>CHOOSE RATING</t>
        </is>
      </c>
      <c r="DV489" s="40" t="inlineStr">
        <is>
          <t>CHOOSE RATING</t>
        </is>
      </c>
      <c r="DW489" s="40" t="inlineStr">
        <is>
          <t>CHOOSE RATING</t>
        </is>
      </c>
      <c r="DX489" s="40" t="inlineStr">
        <is>
          <t>CHOOSE RATING</t>
        </is>
      </c>
      <c r="DY489" s="40" t="inlineStr">
        <is>
          <t>CHOOSE RATING</t>
        </is>
      </c>
      <c r="DZ489" s="53" t="inlineStr">
        <is>
          <t>CHOOSE RATING</t>
        </is>
      </c>
      <c r="EA489" s="54" t="inlineStr">
        <is>
          <t>Add the Tutor's Comment . . .</t>
        </is>
      </c>
      <c r="EB489" s="55" t="inlineStr">
        <is>
          <t>Choose Principals comment</t>
        </is>
      </c>
      <c r="EC489" s="56" t="n"/>
      <c r="ED489" s="57" t="inlineStr">
        <is>
          <t>Next Term Begins on Monday, 22nd September, 2025</t>
        </is>
      </c>
    </row>
    <row r="490" ht="30.6" customHeight="1" s="6">
      <c r="A490" s="18" t="n">
        <v>487</v>
      </c>
      <c r="B490" s="19" t="n"/>
      <c r="C490" s="20" t="n"/>
      <c r="D490" s="128" t="n"/>
      <c r="E490" s="21" t="n"/>
      <c r="F490" s="22" t="n"/>
      <c r="G490" s="22" t="n"/>
      <c r="H490" s="22" t="n"/>
      <c r="I490" s="26">
        <f>G490-H490</f>
        <v/>
      </c>
      <c r="J490" s="21" t="n"/>
      <c r="K490" s="21" t="n"/>
      <c r="L490" s="27">
        <f>SUM(J490:K490)</f>
        <v/>
      </c>
      <c r="M490" s="28" t="n"/>
      <c r="N490" s="28" t="n"/>
      <c r="O490" s="29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1" t="n"/>
      <c r="Q490" s="21" t="n"/>
      <c r="R490" s="27">
        <f>SUM(P490:Q490)</f>
        <v/>
      </c>
      <c r="S490" s="28" t="n"/>
      <c r="T490" s="28" t="n"/>
      <c r="U490" s="29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1" t="n"/>
      <c r="W490" s="21" t="n"/>
      <c r="X490" s="27">
        <f>SUM(V490:W490)</f>
        <v/>
      </c>
      <c r="Y490" s="28" t="n"/>
      <c r="Z490" s="28" t="n"/>
      <c r="AA490" s="29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1" t="n"/>
      <c r="AC490" s="21" t="n"/>
      <c r="AD490" s="27">
        <f>SUM(AB490:AC490)</f>
        <v/>
      </c>
      <c r="AE490" s="28" t="n"/>
      <c r="AF490" s="28" t="n"/>
      <c r="AG490" s="29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1" t="n"/>
      <c r="AI490" s="21" t="n"/>
      <c r="AJ490" s="27">
        <f>SUM(AH490:AI490)</f>
        <v/>
      </c>
      <c r="AK490" s="28" t="n"/>
      <c r="AL490" s="28" t="n"/>
      <c r="AM490" s="29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1" t="n"/>
      <c r="AO490" s="21" t="n"/>
      <c r="AP490" s="27">
        <f>SUM(AN490:AO490)</f>
        <v/>
      </c>
      <c r="AQ490" s="28" t="n"/>
      <c r="AR490" s="30" t="n"/>
      <c r="AS490" s="29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1" t="n"/>
      <c r="AU490" s="21" t="n"/>
      <c r="AV490" s="27">
        <f>SUM(AT490:AU490)</f>
        <v/>
      </c>
      <c r="AW490" s="28" t="n"/>
      <c r="AX490" s="30" t="n"/>
      <c r="AY490" s="29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1" t="n"/>
      <c r="BA490" s="21" t="n"/>
      <c r="BB490" s="27">
        <f>SUM(AZ490:BA490)</f>
        <v/>
      </c>
      <c r="BC490" s="28" t="n"/>
      <c r="BD490" s="28" t="n"/>
      <c r="BE490" s="29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1" t="n"/>
      <c r="BG490" s="21" t="n"/>
      <c r="BH490" s="27">
        <f>SUM(BF490:BG490)</f>
        <v/>
      </c>
      <c r="BI490" s="28" t="n"/>
      <c r="BJ490" s="28" t="n"/>
      <c r="BK490" s="29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1" t="n"/>
      <c r="BM490" s="21" t="n"/>
      <c r="BN490" s="27">
        <f>SUM(BL490:BM490)</f>
        <v/>
      </c>
      <c r="BO490" s="28" t="n"/>
      <c r="BP490" s="31" t="n"/>
      <c r="BQ490" s="29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1" t="n"/>
      <c r="BS490" s="21" t="n"/>
      <c r="BT490" s="27">
        <f>SUM(BR490:BS490)</f>
        <v/>
      </c>
      <c r="BU490" s="28" t="n"/>
      <c r="BV490" s="31" t="n"/>
      <c r="BW490" s="29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1" t="n"/>
      <c r="BY490" s="21" t="n"/>
      <c r="BZ490" s="27">
        <f>SUM(BX490:BY490)</f>
        <v/>
      </c>
      <c r="CA490" s="28" t="n"/>
      <c r="CB490" s="31" t="n"/>
      <c r="CC490" s="29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1" t="n"/>
      <c r="CE490" s="21" t="n"/>
      <c r="CF490" s="27">
        <f>SUM(CD490:CE490)</f>
        <v/>
      </c>
      <c r="CG490" s="28" t="n"/>
      <c r="CH490" s="31" t="n"/>
      <c r="CI490" s="29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1" t="n"/>
      <c r="CK490" s="21" t="n"/>
      <c r="CL490" s="27">
        <f>SUM(CJ490:CK490)</f>
        <v/>
      </c>
      <c r="CM490" s="28" t="n"/>
      <c r="CN490" s="31" t="n"/>
      <c r="CO490" s="29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1" t="n"/>
      <c r="CQ490" s="21" t="n"/>
      <c r="CR490" s="27">
        <f>SUM(CP490:CQ490)</f>
        <v/>
      </c>
      <c r="CS490" s="28" t="n"/>
      <c r="CT490" s="31" t="n"/>
      <c r="CU490" s="29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1" t="n"/>
      <c r="CW490" s="21" t="n"/>
      <c r="CX490" s="27">
        <f>SUM(CV490:CW490)</f>
        <v/>
      </c>
      <c r="CY490" s="28" t="n"/>
      <c r="CZ490" s="31" t="n"/>
      <c r="DA490" s="29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1" t="n"/>
      <c r="DC490" s="21" t="n"/>
      <c r="DD490" s="27">
        <f>SUM(DB490:DC490)</f>
        <v/>
      </c>
      <c r="DE490" s="28" t="n"/>
      <c r="DF490" s="31" t="n"/>
      <c r="DG490" s="29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34">
        <f>SUM(O490,U490,AA490,AG490,AM490,AS490,AY490,BE490,BK490,BQ490,BW490,CC490,CI490,CO490,CU490,DA490,DG490)</f>
        <v/>
      </c>
      <c r="DI490" s="39">
        <f>RANK(DH490,DH$4:DH$503)</f>
        <v/>
      </c>
      <c r="DJ490" s="40" t="inlineStr">
        <is>
          <t>CHOOSE RATING</t>
        </is>
      </c>
      <c r="DK490" s="40" t="inlineStr">
        <is>
          <t>CHOOSE RATING</t>
        </is>
      </c>
      <c r="DL490" s="40" t="inlineStr">
        <is>
          <t>CHOOSE RATING</t>
        </is>
      </c>
      <c r="DM490" s="40" t="inlineStr">
        <is>
          <t>CHOOSE RATING</t>
        </is>
      </c>
      <c r="DN490" s="40" t="inlineStr">
        <is>
          <t>CHOOSE RATING</t>
        </is>
      </c>
      <c r="DO490" s="40" t="inlineStr">
        <is>
          <t>CHOOSE RATING</t>
        </is>
      </c>
      <c r="DP490" s="40" t="inlineStr">
        <is>
          <t>CHOOSE RATING</t>
        </is>
      </c>
      <c r="DQ490" s="40" t="inlineStr">
        <is>
          <t>CHOOSE RATING</t>
        </is>
      </c>
      <c r="DR490" s="43" t="inlineStr">
        <is>
          <t>2024/2025</t>
        </is>
      </c>
      <c r="DS490" s="45" t="inlineStr">
        <is>
          <t>THIRD</t>
        </is>
      </c>
      <c r="DT490" s="40" t="inlineStr">
        <is>
          <t>CHOOSE RATING</t>
        </is>
      </c>
      <c r="DU490" s="40" t="inlineStr">
        <is>
          <t>CHOOSE RATING</t>
        </is>
      </c>
      <c r="DV490" s="40" t="inlineStr">
        <is>
          <t>CHOOSE RATING</t>
        </is>
      </c>
      <c r="DW490" s="40" t="inlineStr">
        <is>
          <t>CHOOSE RATING</t>
        </is>
      </c>
      <c r="DX490" s="40" t="inlineStr">
        <is>
          <t>CHOOSE RATING</t>
        </is>
      </c>
      <c r="DY490" s="40" t="inlineStr">
        <is>
          <t>CHOOSE RATING</t>
        </is>
      </c>
      <c r="DZ490" s="53" t="inlineStr">
        <is>
          <t>CHOOSE RATING</t>
        </is>
      </c>
      <c r="EA490" s="54" t="inlineStr">
        <is>
          <t>Add the Tutor's Comment . . .</t>
        </is>
      </c>
      <c r="EB490" s="55" t="inlineStr">
        <is>
          <t>Choose Principals comment</t>
        </is>
      </c>
      <c r="EC490" s="56" t="n"/>
      <c r="ED490" s="57" t="inlineStr">
        <is>
          <t>Next Term Begins on Monday, 22nd September, 2025</t>
        </is>
      </c>
    </row>
    <row r="491" ht="30.6" customHeight="1" s="6">
      <c r="A491" s="18" t="n">
        <v>488</v>
      </c>
      <c r="B491" s="19" t="n"/>
      <c r="C491" s="20" t="n"/>
      <c r="D491" s="128" t="n"/>
      <c r="E491" s="21" t="n"/>
      <c r="F491" s="22" t="n"/>
      <c r="G491" s="22" t="n"/>
      <c r="H491" s="22" t="n"/>
      <c r="I491" s="26">
        <f>G491-H491</f>
        <v/>
      </c>
      <c r="J491" s="21" t="n"/>
      <c r="K491" s="21" t="n"/>
      <c r="L491" s="27">
        <f>SUM(J491:K491)</f>
        <v/>
      </c>
      <c r="M491" s="28" t="n"/>
      <c r="N491" s="28" t="n"/>
      <c r="O491" s="29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1" t="n"/>
      <c r="Q491" s="21" t="n"/>
      <c r="R491" s="27">
        <f>SUM(P491:Q491)</f>
        <v/>
      </c>
      <c r="S491" s="28" t="n"/>
      <c r="T491" s="28" t="n"/>
      <c r="U491" s="29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1" t="n"/>
      <c r="W491" s="21" t="n"/>
      <c r="X491" s="27">
        <f>SUM(V491:W491)</f>
        <v/>
      </c>
      <c r="Y491" s="28" t="n"/>
      <c r="Z491" s="28" t="n"/>
      <c r="AA491" s="29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1" t="n"/>
      <c r="AC491" s="21" t="n"/>
      <c r="AD491" s="27">
        <f>SUM(AB491:AC491)</f>
        <v/>
      </c>
      <c r="AE491" s="28" t="n"/>
      <c r="AF491" s="28" t="n"/>
      <c r="AG491" s="29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1" t="n"/>
      <c r="AI491" s="21" t="n"/>
      <c r="AJ491" s="27">
        <f>SUM(AH491:AI491)</f>
        <v/>
      </c>
      <c r="AK491" s="28" t="n"/>
      <c r="AL491" s="28" t="n"/>
      <c r="AM491" s="29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1" t="n"/>
      <c r="AO491" s="21" t="n"/>
      <c r="AP491" s="27">
        <f>SUM(AN491:AO491)</f>
        <v/>
      </c>
      <c r="AQ491" s="28" t="n"/>
      <c r="AR491" s="30" t="n"/>
      <c r="AS491" s="29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1" t="n"/>
      <c r="AU491" s="21" t="n"/>
      <c r="AV491" s="27">
        <f>SUM(AT491:AU491)</f>
        <v/>
      </c>
      <c r="AW491" s="28" t="n"/>
      <c r="AX491" s="30" t="n"/>
      <c r="AY491" s="29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1" t="n"/>
      <c r="BA491" s="21" t="n"/>
      <c r="BB491" s="27">
        <f>SUM(AZ491:BA491)</f>
        <v/>
      </c>
      <c r="BC491" s="28" t="n"/>
      <c r="BD491" s="28" t="n"/>
      <c r="BE491" s="29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1" t="n"/>
      <c r="BG491" s="21" t="n"/>
      <c r="BH491" s="27">
        <f>SUM(BF491:BG491)</f>
        <v/>
      </c>
      <c r="BI491" s="28" t="n"/>
      <c r="BJ491" s="28" t="n"/>
      <c r="BK491" s="29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1" t="n"/>
      <c r="BM491" s="21" t="n"/>
      <c r="BN491" s="27">
        <f>SUM(BL491:BM491)</f>
        <v/>
      </c>
      <c r="BO491" s="28" t="n"/>
      <c r="BP491" s="31" t="n"/>
      <c r="BQ491" s="29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1" t="n"/>
      <c r="BS491" s="21" t="n"/>
      <c r="BT491" s="27">
        <f>SUM(BR491:BS491)</f>
        <v/>
      </c>
      <c r="BU491" s="28" t="n"/>
      <c r="BV491" s="31" t="n"/>
      <c r="BW491" s="29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1" t="n"/>
      <c r="BY491" s="21" t="n"/>
      <c r="BZ491" s="27">
        <f>SUM(BX491:BY491)</f>
        <v/>
      </c>
      <c r="CA491" s="28" t="n"/>
      <c r="CB491" s="31" t="n"/>
      <c r="CC491" s="29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1" t="n"/>
      <c r="CE491" s="21" t="n"/>
      <c r="CF491" s="27">
        <f>SUM(CD491:CE491)</f>
        <v/>
      </c>
      <c r="CG491" s="28" t="n"/>
      <c r="CH491" s="31" t="n"/>
      <c r="CI491" s="29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1" t="n"/>
      <c r="CK491" s="21" t="n"/>
      <c r="CL491" s="27">
        <f>SUM(CJ491:CK491)</f>
        <v/>
      </c>
      <c r="CM491" s="28" t="n"/>
      <c r="CN491" s="31" t="n"/>
      <c r="CO491" s="29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1" t="n"/>
      <c r="CQ491" s="21" t="n"/>
      <c r="CR491" s="27">
        <f>SUM(CP491:CQ491)</f>
        <v/>
      </c>
      <c r="CS491" s="28" t="n"/>
      <c r="CT491" s="31" t="n"/>
      <c r="CU491" s="29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1" t="n"/>
      <c r="CW491" s="21" t="n"/>
      <c r="CX491" s="27">
        <f>SUM(CV491:CW491)</f>
        <v/>
      </c>
      <c r="CY491" s="28" t="n"/>
      <c r="CZ491" s="31" t="n"/>
      <c r="DA491" s="29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1" t="n"/>
      <c r="DC491" s="21" t="n"/>
      <c r="DD491" s="27">
        <f>SUM(DB491:DC491)</f>
        <v/>
      </c>
      <c r="DE491" s="28" t="n"/>
      <c r="DF491" s="31" t="n"/>
      <c r="DG491" s="29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34">
        <f>SUM(O491,U491,AA491,AG491,AM491,AS491,AY491,BE491,BK491,BQ491,BW491,CC491,CI491,CO491,CU491,DA491,DG491)</f>
        <v/>
      </c>
      <c r="DI491" s="39">
        <f>RANK(DH491,DH$4:DH$503)</f>
        <v/>
      </c>
      <c r="DJ491" s="40" t="inlineStr">
        <is>
          <t>CHOOSE RATING</t>
        </is>
      </c>
      <c r="DK491" s="40" t="inlineStr">
        <is>
          <t>CHOOSE RATING</t>
        </is>
      </c>
      <c r="DL491" s="40" t="inlineStr">
        <is>
          <t>CHOOSE RATING</t>
        </is>
      </c>
      <c r="DM491" s="40" t="inlineStr">
        <is>
          <t>CHOOSE RATING</t>
        </is>
      </c>
      <c r="DN491" s="40" t="inlineStr">
        <is>
          <t>CHOOSE RATING</t>
        </is>
      </c>
      <c r="DO491" s="40" t="inlineStr">
        <is>
          <t>CHOOSE RATING</t>
        </is>
      </c>
      <c r="DP491" s="40" t="inlineStr">
        <is>
          <t>CHOOSE RATING</t>
        </is>
      </c>
      <c r="DQ491" s="40" t="inlineStr">
        <is>
          <t>CHOOSE RATING</t>
        </is>
      </c>
      <c r="DR491" s="43" t="inlineStr">
        <is>
          <t>2024/2025</t>
        </is>
      </c>
      <c r="DS491" s="45" t="inlineStr">
        <is>
          <t>THIRD</t>
        </is>
      </c>
      <c r="DT491" s="40" t="inlineStr">
        <is>
          <t>CHOOSE RATING</t>
        </is>
      </c>
      <c r="DU491" s="40" t="inlineStr">
        <is>
          <t>CHOOSE RATING</t>
        </is>
      </c>
      <c r="DV491" s="40" t="inlineStr">
        <is>
          <t>CHOOSE RATING</t>
        </is>
      </c>
      <c r="DW491" s="40" t="inlineStr">
        <is>
          <t>CHOOSE RATING</t>
        </is>
      </c>
      <c r="DX491" s="40" t="inlineStr">
        <is>
          <t>CHOOSE RATING</t>
        </is>
      </c>
      <c r="DY491" s="40" t="inlineStr">
        <is>
          <t>CHOOSE RATING</t>
        </is>
      </c>
      <c r="DZ491" s="53" t="inlineStr">
        <is>
          <t>CHOOSE RATING</t>
        </is>
      </c>
      <c r="EA491" s="54" t="inlineStr">
        <is>
          <t>Add the Tutor's Comment . . .</t>
        </is>
      </c>
      <c r="EB491" s="55" t="inlineStr">
        <is>
          <t>Choose Principals comment</t>
        </is>
      </c>
      <c r="EC491" s="56" t="n"/>
      <c r="ED491" s="57" t="inlineStr">
        <is>
          <t>Next Term Begins on Monday, 22nd September, 2025</t>
        </is>
      </c>
    </row>
    <row r="492" ht="30.6" customHeight="1" s="6">
      <c r="A492" s="18" t="n">
        <v>489</v>
      </c>
      <c r="B492" s="19" t="n"/>
      <c r="C492" s="20" t="n"/>
      <c r="D492" s="128" t="n"/>
      <c r="E492" s="21" t="n"/>
      <c r="F492" s="22" t="n"/>
      <c r="G492" s="22" t="n"/>
      <c r="H492" s="22" t="n"/>
      <c r="I492" s="26">
        <f>G492-H492</f>
        <v/>
      </c>
      <c r="J492" s="21" t="n"/>
      <c r="K492" s="21" t="n"/>
      <c r="L492" s="27">
        <f>SUM(J492:K492)</f>
        <v/>
      </c>
      <c r="M492" s="28" t="n"/>
      <c r="N492" s="28" t="n"/>
      <c r="O492" s="29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1" t="n"/>
      <c r="Q492" s="21" t="n"/>
      <c r="R492" s="27">
        <f>SUM(P492:Q492)</f>
        <v/>
      </c>
      <c r="S492" s="28" t="n"/>
      <c r="T492" s="28" t="n"/>
      <c r="U492" s="29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1" t="n"/>
      <c r="W492" s="21" t="n"/>
      <c r="X492" s="27">
        <f>SUM(V492:W492)</f>
        <v/>
      </c>
      <c r="Y492" s="28" t="n"/>
      <c r="Z492" s="28" t="n"/>
      <c r="AA492" s="29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1" t="n"/>
      <c r="AC492" s="21" t="n"/>
      <c r="AD492" s="27">
        <f>SUM(AB492:AC492)</f>
        <v/>
      </c>
      <c r="AE492" s="28" t="n"/>
      <c r="AF492" s="28" t="n"/>
      <c r="AG492" s="29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1" t="n"/>
      <c r="AI492" s="21" t="n"/>
      <c r="AJ492" s="27">
        <f>SUM(AH492:AI492)</f>
        <v/>
      </c>
      <c r="AK492" s="28" t="n"/>
      <c r="AL492" s="28" t="n"/>
      <c r="AM492" s="29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1" t="n"/>
      <c r="AO492" s="21" t="n"/>
      <c r="AP492" s="27">
        <f>SUM(AN492:AO492)</f>
        <v/>
      </c>
      <c r="AQ492" s="28" t="n"/>
      <c r="AR492" s="30" t="n"/>
      <c r="AS492" s="29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1" t="n"/>
      <c r="AU492" s="21" t="n"/>
      <c r="AV492" s="27">
        <f>SUM(AT492:AU492)</f>
        <v/>
      </c>
      <c r="AW492" s="28" t="n"/>
      <c r="AX492" s="30" t="n"/>
      <c r="AY492" s="29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1" t="n"/>
      <c r="BA492" s="21" t="n"/>
      <c r="BB492" s="27">
        <f>SUM(AZ492:BA492)</f>
        <v/>
      </c>
      <c r="BC492" s="28" t="n"/>
      <c r="BD492" s="28" t="n"/>
      <c r="BE492" s="29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1" t="n"/>
      <c r="BG492" s="21" t="n"/>
      <c r="BH492" s="27">
        <f>SUM(BF492:BG492)</f>
        <v/>
      </c>
      <c r="BI492" s="28" t="n"/>
      <c r="BJ492" s="28" t="n"/>
      <c r="BK492" s="29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1" t="n"/>
      <c r="BM492" s="21" t="n"/>
      <c r="BN492" s="27">
        <f>SUM(BL492:BM492)</f>
        <v/>
      </c>
      <c r="BO492" s="28" t="n"/>
      <c r="BP492" s="31" t="n"/>
      <c r="BQ492" s="29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1" t="n"/>
      <c r="BS492" s="21" t="n"/>
      <c r="BT492" s="27">
        <f>SUM(BR492:BS492)</f>
        <v/>
      </c>
      <c r="BU492" s="28" t="n"/>
      <c r="BV492" s="31" t="n"/>
      <c r="BW492" s="29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1" t="n"/>
      <c r="BY492" s="21" t="n"/>
      <c r="BZ492" s="27">
        <f>SUM(BX492:BY492)</f>
        <v/>
      </c>
      <c r="CA492" s="28" t="n"/>
      <c r="CB492" s="31" t="n"/>
      <c r="CC492" s="29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1" t="n"/>
      <c r="CE492" s="21" t="n"/>
      <c r="CF492" s="27">
        <f>SUM(CD492:CE492)</f>
        <v/>
      </c>
      <c r="CG492" s="28" t="n"/>
      <c r="CH492" s="31" t="n"/>
      <c r="CI492" s="29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1" t="n"/>
      <c r="CK492" s="21" t="n"/>
      <c r="CL492" s="27">
        <f>SUM(CJ492:CK492)</f>
        <v/>
      </c>
      <c r="CM492" s="28" t="n"/>
      <c r="CN492" s="31" t="n"/>
      <c r="CO492" s="29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1" t="n"/>
      <c r="CQ492" s="21" t="n"/>
      <c r="CR492" s="27">
        <f>SUM(CP492:CQ492)</f>
        <v/>
      </c>
      <c r="CS492" s="28" t="n"/>
      <c r="CT492" s="31" t="n"/>
      <c r="CU492" s="29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1" t="n"/>
      <c r="CW492" s="21" t="n"/>
      <c r="CX492" s="27">
        <f>SUM(CV492:CW492)</f>
        <v/>
      </c>
      <c r="CY492" s="28" t="n"/>
      <c r="CZ492" s="31" t="n"/>
      <c r="DA492" s="29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1" t="n"/>
      <c r="DC492" s="21" t="n"/>
      <c r="DD492" s="27">
        <f>SUM(DB492:DC492)</f>
        <v/>
      </c>
      <c r="DE492" s="28" t="n"/>
      <c r="DF492" s="31" t="n"/>
      <c r="DG492" s="29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34">
        <f>SUM(O492,U492,AA492,AG492,AM492,AS492,AY492,BE492,BK492,BQ492,BW492,CC492,CI492,CO492,CU492,DA492,DG492)</f>
        <v/>
      </c>
      <c r="DI492" s="39">
        <f>RANK(DH492,DH$4:DH$503)</f>
        <v/>
      </c>
      <c r="DJ492" s="40" t="inlineStr">
        <is>
          <t>CHOOSE RATING</t>
        </is>
      </c>
      <c r="DK492" s="40" t="inlineStr">
        <is>
          <t>CHOOSE RATING</t>
        </is>
      </c>
      <c r="DL492" s="40" t="inlineStr">
        <is>
          <t>CHOOSE RATING</t>
        </is>
      </c>
      <c r="DM492" s="40" t="inlineStr">
        <is>
          <t>CHOOSE RATING</t>
        </is>
      </c>
      <c r="DN492" s="40" t="inlineStr">
        <is>
          <t>CHOOSE RATING</t>
        </is>
      </c>
      <c r="DO492" s="40" t="inlineStr">
        <is>
          <t>CHOOSE RATING</t>
        </is>
      </c>
      <c r="DP492" s="40" t="inlineStr">
        <is>
          <t>CHOOSE RATING</t>
        </is>
      </c>
      <c r="DQ492" s="40" t="inlineStr">
        <is>
          <t>CHOOSE RATING</t>
        </is>
      </c>
      <c r="DR492" s="43" t="inlineStr">
        <is>
          <t>2024/2025</t>
        </is>
      </c>
      <c r="DS492" s="45" t="inlineStr">
        <is>
          <t>THIRD</t>
        </is>
      </c>
      <c r="DT492" s="40" t="inlineStr">
        <is>
          <t>CHOOSE RATING</t>
        </is>
      </c>
      <c r="DU492" s="40" t="inlineStr">
        <is>
          <t>CHOOSE RATING</t>
        </is>
      </c>
      <c r="DV492" s="40" t="inlineStr">
        <is>
          <t>CHOOSE RATING</t>
        </is>
      </c>
      <c r="DW492" s="40" t="inlineStr">
        <is>
          <t>CHOOSE RATING</t>
        </is>
      </c>
      <c r="DX492" s="40" t="inlineStr">
        <is>
          <t>CHOOSE RATING</t>
        </is>
      </c>
      <c r="DY492" s="40" t="inlineStr">
        <is>
          <t>CHOOSE RATING</t>
        </is>
      </c>
      <c r="DZ492" s="53" t="inlineStr">
        <is>
          <t>CHOOSE RATING</t>
        </is>
      </c>
      <c r="EA492" s="54" t="inlineStr">
        <is>
          <t>Add the Tutor's Comment . . .</t>
        </is>
      </c>
      <c r="EB492" s="55" t="inlineStr">
        <is>
          <t>Choose Principals comment</t>
        </is>
      </c>
      <c r="EC492" s="56" t="n"/>
      <c r="ED492" s="57" t="inlineStr">
        <is>
          <t>Next Term Begins on Monday, 22nd September, 2025</t>
        </is>
      </c>
    </row>
    <row r="493" ht="30.6" customHeight="1" s="6">
      <c r="A493" s="18" t="n">
        <v>490</v>
      </c>
      <c r="B493" s="19" t="n"/>
      <c r="C493" s="20" t="n"/>
      <c r="D493" s="128" t="n"/>
      <c r="E493" s="21" t="n"/>
      <c r="F493" s="22" t="n"/>
      <c r="G493" s="22" t="n"/>
      <c r="H493" s="22" t="n"/>
      <c r="I493" s="26">
        <f>G493-H493</f>
        <v/>
      </c>
      <c r="J493" s="21" t="n"/>
      <c r="K493" s="21" t="n"/>
      <c r="L493" s="27">
        <f>SUM(J493:K493)</f>
        <v/>
      </c>
      <c r="M493" s="28" t="n"/>
      <c r="N493" s="28" t="n"/>
      <c r="O493" s="29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1" t="n"/>
      <c r="Q493" s="21" t="n"/>
      <c r="R493" s="27">
        <f>SUM(P493:Q493)</f>
        <v/>
      </c>
      <c r="S493" s="28" t="n"/>
      <c r="T493" s="28" t="n"/>
      <c r="U493" s="29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1" t="n"/>
      <c r="W493" s="21" t="n"/>
      <c r="X493" s="27">
        <f>SUM(V493:W493)</f>
        <v/>
      </c>
      <c r="Y493" s="28" t="n"/>
      <c r="Z493" s="28" t="n"/>
      <c r="AA493" s="29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1" t="n"/>
      <c r="AC493" s="21" t="n"/>
      <c r="AD493" s="27">
        <f>SUM(AB493:AC493)</f>
        <v/>
      </c>
      <c r="AE493" s="28" t="n"/>
      <c r="AF493" s="28" t="n"/>
      <c r="AG493" s="29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1" t="n"/>
      <c r="AI493" s="21" t="n"/>
      <c r="AJ493" s="27">
        <f>SUM(AH493:AI493)</f>
        <v/>
      </c>
      <c r="AK493" s="28" t="n"/>
      <c r="AL493" s="28" t="n"/>
      <c r="AM493" s="29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1" t="n"/>
      <c r="AO493" s="21" t="n"/>
      <c r="AP493" s="27">
        <f>SUM(AN493:AO493)</f>
        <v/>
      </c>
      <c r="AQ493" s="28" t="n"/>
      <c r="AR493" s="30" t="n"/>
      <c r="AS493" s="29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1" t="n"/>
      <c r="AU493" s="21" t="n"/>
      <c r="AV493" s="27">
        <f>SUM(AT493:AU493)</f>
        <v/>
      </c>
      <c r="AW493" s="28" t="n"/>
      <c r="AX493" s="30" t="n"/>
      <c r="AY493" s="29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1" t="n"/>
      <c r="BA493" s="21" t="n"/>
      <c r="BB493" s="27">
        <f>SUM(AZ493:BA493)</f>
        <v/>
      </c>
      <c r="BC493" s="28" t="n"/>
      <c r="BD493" s="28" t="n"/>
      <c r="BE493" s="29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1" t="n"/>
      <c r="BG493" s="21" t="n"/>
      <c r="BH493" s="27">
        <f>SUM(BF493:BG493)</f>
        <v/>
      </c>
      <c r="BI493" s="28" t="n"/>
      <c r="BJ493" s="28" t="n"/>
      <c r="BK493" s="29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1" t="n"/>
      <c r="BM493" s="21" t="n"/>
      <c r="BN493" s="27">
        <f>SUM(BL493:BM493)</f>
        <v/>
      </c>
      <c r="BO493" s="28" t="n"/>
      <c r="BP493" s="31" t="n"/>
      <c r="BQ493" s="29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1" t="n"/>
      <c r="BS493" s="21" t="n"/>
      <c r="BT493" s="27">
        <f>SUM(BR493:BS493)</f>
        <v/>
      </c>
      <c r="BU493" s="28" t="n"/>
      <c r="BV493" s="31" t="n"/>
      <c r="BW493" s="29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1" t="n"/>
      <c r="BY493" s="21" t="n"/>
      <c r="BZ493" s="27">
        <f>SUM(BX493:BY493)</f>
        <v/>
      </c>
      <c r="CA493" s="28" t="n"/>
      <c r="CB493" s="31" t="n"/>
      <c r="CC493" s="29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1" t="n"/>
      <c r="CE493" s="21" t="n"/>
      <c r="CF493" s="27">
        <f>SUM(CD493:CE493)</f>
        <v/>
      </c>
      <c r="CG493" s="28" t="n"/>
      <c r="CH493" s="31" t="n"/>
      <c r="CI493" s="29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1" t="n"/>
      <c r="CK493" s="21" t="n"/>
      <c r="CL493" s="27">
        <f>SUM(CJ493:CK493)</f>
        <v/>
      </c>
      <c r="CM493" s="28" t="n"/>
      <c r="CN493" s="31" t="n"/>
      <c r="CO493" s="29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1" t="n"/>
      <c r="CQ493" s="21" t="n"/>
      <c r="CR493" s="27">
        <f>SUM(CP493:CQ493)</f>
        <v/>
      </c>
      <c r="CS493" s="28" t="n"/>
      <c r="CT493" s="31" t="n"/>
      <c r="CU493" s="29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1" t="n"/>
      <c r="CW493" s="21" t="n"/>
      <c r="CX493" s="27">
        <f>SUM(CV493:CW493)</f>
        <v/>
      </c>
      <c r="CY493" s="28" t="n"/>
      <c r="CZ493" s="31" t="n"/>
      <c r="DA493" s="29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1" t="n"/>
      <c r="DC493" s="21" t="n"/>
      <c r="DD493" s="27">
        <f>SUM(DB493:DC493)</f>
        <v/>
      </c>
      <c r="DE493" s="28" t="n"/>
      <c r="DF493" s="31" t="n"/>
      <c r="DG493" s="29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34">
        <f>SUM(O493,U493,AA493,AG493,AM493,AS493,AY493,BE493,BK493,BQ493,BW493,CC493,CI493,CO493,CU493,DA493,DG493)</f>
        <v/>
      </c>
      <c r="DI493" s="39">
        <f>RANK(DH493,DH$4:DH$503)</f>
        <v/>
      </c>
      <c r="DJ493" s="40" t="inlineStr">
        <is>
          <t>CHOOSE RATING</t>
        </is>
      </c>
      <c r="DK493" s="40" t="inlineStr">
        <is>
          <t>CHOOSE RATING</t>
        </is>
      </c>
      <c r="DL493" s="40" t="inlineStr">
        <is>
          <t>CHOOSE RATING</t>
        </is>
      </c>
      <c r="DM493" s="40" t="inlineStr">
        <is>
          <t>CHOOSE RATING</t>
        </is>
      </c>
      <c r="DN493" s="40" t="inlineStr">
        <is>
          <t>CHOOSE RATING</t>
        </is>
      </c>
      <c r="DO493" s="40" t="inlineStr">
        <is>
          <t>CHOOSE RATING</t>
        </is>
      </c>
      <c r="DP493" s="40" t="inlineStr">
        <is>
          <t>CHOOSE RATING</t>
        </is>
      </c>
      <c r="DQ493" s="40" t="inlineStr">
        <is>
          <t>CHOOSE RATING</t>
        </is>
      </c>
      <c r="DR493" s="43" t="inlineStr">
        <is>
          <t>2024/2025</t>
        </is>
      </c>
      <c r="DS493" s="45" t="inlineStr">
        <is>
          <t>THIRD</t>
        </is>
      </c>
      <c r="DT493" s="40" t="inlineStr">
        <is>
          <t>CHOOSE RATING</t>
        </is>
      </c>
      <c r="DU493" s="40" t="inlineStr">
        <is>
          <t>CHOOSE RATING</t>
        </is>
      </c>
      <c r="DV493" s="40" t="inlineStr">
        <is>
          <t>CHOOSE RATING</t>
        </is>
      </c>
      <c r="DW493" s="40" t="inlineStr">
        <is>
          <t>CHOOSE RATING</t>
        </is>
      </c>
      <c r="DX493" s="40" t="inlineStr">
        <is>
          <t>CHOOSE RATING</t>
        </is>
      </c>
      <c r="DY493" s="40" t="inlineStr">
        <is>
          <t>CHOOSE RATING</t>
        </is>
      </c>
      <c r="DZ493" s="53" t="inlineStr">
        <is>
          <t>CHOOSE RATING</t>
        </is>
      </c>
      <c r="EA493" s="54" t="inlineStr">
        <is>
          <t>Add the Tutor's Comment . . .</t>
        </is>
      </c>
      <c r="EB493" s="55" t="inlineStr">
        <is>
          <t>Choose Principals comment</t>
        </is>
      </c>
      <c r="EC493" s="56" t="n"/>
      <c r="ED493" s="57" t="inlineStr">
        <is>
          <t>Next Term Begins on Monday, 22nd September, 2025</t>
        </is>
      </c>
    </row>
    <row r="494" ht="30.6" customHeight="1" s="6">
      <c r="A494" s="18" t="n">
        <v>491</v>
      </c>
      <c r="B494" s="19" t="n"/>
      <c r="C494" s="20" t="n"/>
      <c r="D494" s="128" t="n"/>
      <c r="E494" s="21" t="n"/>
      <c r="F494" s="22" t="n"/>
      <c r="G494" s="22" t="n"/>
      <c r="H494" s="22" t="n"/>
      <c r="I494" s="26">
        <f>G494-H494</f>
        <v/>
      </c>
      <c r="J494" s="21" t="n"/>
      <c r="K494" s="21" t="n"/>
      <c r="L494" s="27">
        <f>SUM(J494:K494)</f>
        <v/>
      </c>
      <c r="M494" s="28" t="n"/>
      <c r="N494" s="28" t="n"/>
      <c r="O494" s="29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1" t="n"/>
      <c r="Q494" s="21" t="n"/>
      <c r="R494" s="27">
        <f>SUM(P494:Q494)</f>
        <v/>
      </c>
      <c r="S494" s="28" t="n"/>
      <c r="T494" s="28" t="n"/>
      <c r="U494" s="29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1" t="n"/>
      <c r="W494" s="21" t="n"/>
      <c r="X494" s="27">
        <f>SUM(V494:W494)</f>
        <v/>
      </c>
      <c r="Y494" s="28" t="n"/>
      <c r="Z494" s="28" t="n"/>
      <c r="AA494" s="29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1" t="n"/>
      <c r="AC494" s="21" t="n"/>
      <c r="AD494" s="27">
        <f>SUM(AB494:AC494)</f>
        <v/>
      </c>
      <c r="AE494" s="28" t="n"/>
      <c r="AF494" s="28" t="n"/>
      <c r="AG494" s="29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1" t="n"/>
      <c r="AI494" s="21" t="n"/>
      <c r="AJ494" s="27">
        <f>SUM(AH494:AI494)</f>
        <v/>
      </c>
      <c r="AK494" s="28" t="n"/>
      <c r="AL494" s="28" t="n"/>
      <c r="AM494" s="29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1" t="n"/>
      <c r="AO494" s="21" t="n"/>
      <c r="AP494" s="27">
        <f>SUM(AN494:AO494)</f>
        <v/>
      </c>
      <c r="AQ494" s="28" t="n"/>
      <c r="AR494" s="30" t="n"/>
      <c r="AS494" s="29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1" t="n"/>
      <c r="AU494" s="21" t="n"/>
      <c r="AV494" s="27">
        <f>SUM(AT494:AU494)</f>
        <v/>
      </c>
      <c r="AW494" s="28" t="n"/>
      <c r="AX494" s="30" t="n"/>
      <c r="AY494" s="29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1" t="n"/>
      <c r="BA494" s="21" t="n"/>
      <c r="BB494" s="27">
        <f>SUM(AZ494:BA494)</f>
        <v/>
      </c>
      <c r="BC494" s="28" t="n"/>
      <c r="BD494" s="28" t="n"/>
      <c r="BE494" s="29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1" t="n"/>
      <c r="BG494" s="21" t="n"/>
      <c r="BH494" s="27">
        <f>SUM(BF494:BG494)</f>
        <v/>
      </c>
      <c r="BI494" s="28" t="n"/>
      <c r="BJ494" s="28" t="n"/>
      <c r="BK494" s="29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1" t="n"/>
      <c r="BM494" s="21" t="n"/>
      <c r="BN494" s="27">
        <f>SUM(BL494:BM494)</f>
        <v/>
      </c>
      <c r="BO494" s="28" t="n"/>
      <c r="BP494" s="31" t="n"/>
      <c r="BQ494" s="29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1" t="n"/>
      <c r="BS494" s="21" t="n"/>
      <c r="BT494" s="27">
        <f>SUM(BR494:BS494)</f>
        <v/>
      </c>
      <c r="BU494" s="28" t="n"/>
      <c r="BV494" s="31" t="n"/>
      <c r="BW494" s="29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1" t="n"/>
      <c r="BY494" s="21" t="n"/>
      <c r="BZ494" s="27">
        <f>SUM(BX494:BY494)</f>
        <v/>
      </c>
      <c r="CA494" s="28" t="n"/>
      <c r="CB494" s="31" t="n"/>
      <c r="CC494" s="29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1" t="n"/>
      <c r="CE494" s="21" t="n"/>
      <c r="CF494" s="27">
        <f>SUM(CD494:CE494)</f>
        <v/>
      </c>
      <c r="CG494" s="28" t="n"/>
      <c r="CH494" s="31" t="n"/>
      <c r="CI494" s="29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1" t="n"/>
      <c r="CK494" s="21" t="n"/>
      <c r="CL494" s="27">
        <f>SUM(CJ494:CK494)</f>
        <v/>
      </c>
      <c r="CM494" s="28" t="n"/>
      <c r="CN494" s="31" t="n"/>
      <c r="CO494" s="29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1" t="n"/>
      <c r="CQ494" s="21" t="n"/>
      <c r="CR494" s="27">
        <f>SUM(CP494:CQ494)</f>
        <v/>
      </c>
      <c r="CS494" s="28" t="n"/>
      <c r="CT494" s="31" t="n"/>
      <c r="CU494" s="29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1" t="n"/>
      <c r="CW494" s="21" t="n"/>
      <c r="CX494" s="27">
        <f>SUM(CV494:CW494)</f>
        <v/>
      </c>
      <c r="CY494" s="28" t="n"/>
      <c r="CZ494" s="31" t="n"/>
      <c r="DA494" s="29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1" t="n"/>
      <c r="DC494" s="21" t="n"/>
      <c r="DD494" s="27">
        <f>SUM(DB494:DC494)</f>
        <v/>
      </c>
      <c r="DE494" s="28" t="n"/>
      <c r="DF494" s="31" t="n"/>
      <c r="DG494" s="29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34">
        <f>SUM(O494,U494,AA494,AG494,AM494,AS494,AY494,BE494,BK494,BQ494,BW494,CC494,CI494,CO494,CU494,DA494,DG494)</f>
        <v/>
      </c>
      <c r="DI494" s="39">
        <f>RANK(DH494,DH$4:DH$503)</f>
        <v/>
      </c>
      <c r="DJ494" s="40" t="inlineStr">
        <is>
          <t>CHOOSE RATING</t>
        </is>
      </c>
      <c r="DK494" s="40" t="inlineStr">
        <is>
          <t>CHOOSE RATING</t>
        </is>
      </c>
      <c r="DL494" s="40" t="inlineStr">
        <is>
          <t>CHOOSE RATING</t>
        </is>
      </c>
      <c r="DM494" s="40" t="inlineStr">
        <is>
          <t>CHOOSE RATING</t>
        </is>
      </c>
      <c r="DN494" s="40" t="inlineStr">
        <is>
          <t>CHOOSE RATING</t>
        </is>
      </c>
      <c r="DO494" s="40" t="inlineStr">
        <is>
          <t>CHOOSE RATING</t>
        </is>
      </c>
      <c r="DP494" s="40" t="inlineStr">
        <is>
          <t>CHOOSE RATING</t>
        </is>
      </c>
      <c r="DQ494" s="40" t="inlineStr">
        <is>
          <t>CHOOSE RATING</t>
        </is>
      </c>
      <c r="DR494" s="43" t="inlineStr">
        <is>
          <t>2024/2025</t>
        </is>
      </c>
      <c r="DS494" s="45" t="inlineStr">
        <is>
          <t>THIRD</t>
        </is>
      </c>
      <c r="DT494" s="40" t="inlineStr">
        <is>
          <t>CHOOSE RATING</t>
        </is>
      </c>
      <c r="DU494" s="40" t="inlineStr">
        <is>
          <t>CHOOSE RATING</t>
        </is>
      </c>
      <c r="DV494" s="40" t="inlineStr">
        <is>
          <t>CHOOSE RATING</t>
        </is>
      </c>
      <c r="DW494" s="40" t="inlineStr">
        <is>
          <t>CHOOSE RATING</t>
        </is>
      </c>
      <c r="DX494" s="40" t="inlineStr">
        <is>
          <t>CHOOSE RATING</t>
        </is>
      </c>
      <c r="DY494" s="40" t="inlineStr">
        <is>
          <t>CHOOSE RATING</t>
        </is>
      </c>
      <c r="DZ494" s="53" t="inlineStr">
        <is>
          <t>CHOOSE RATING</t>
        </is>
      </c>
      <c r="EA494" s="54" t="inlineStr">
        <is>
          <t>Add the Tutor's Comment . . .</t>
        </is>
      </c>
      <c r="EB494" s="55" t="inlineStr">
        <is>
          <t>Choose Principals comment</t>
        </is>
      </c>
      <c r="EC494" s="56" t="n"/>
      <c r="ED494" s="57" t="inlineStr">
        <is>
          <t>Next Term Begins on Monday, 22nd September, 2025</t>
        </is>
      </c>
    </row>
    <row r="495" ht="30.6" customHeight="1" s="6">
      <c r="A495" s="18" t="n">
        <v>492</v>
      </c>
      <c r="B495" s="19" t="n"/>
      <c r="C495" s="20" t="n"/>
      <c r="D495" s="128" t="n"/>
      <c r="E495" s="21" t="n"/>
      <c r="F495" s="22" t="n"/>
      <c r="G495" s="22" t="n"/>
      <c r="H495" s="22" t="n"/>
      <c r="I495" s="26">
        <f>G495-H495</f>
        <v/>
      </c>
      <c r="J495" s="21" t="n"/>
      <c r="K495" s="21" t="n"/>
      <c r="L495" s="27">
        <f>SUM(J495:K495)</f>
        <v/>
      </c>
      <c r="M495" s="28" t="n"/>
      <c r="N495" s="28" t="n"/>
      <c r="O495" s="29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1" t="n"/>
      <c r="Q495" s="21" t="n"/>
      <c r="R495" s="27">
        <f>SUM(P495:Q495)</f>
        <v/>
      </c>
      <c r="S495" s="28" t="n"/>
      <c r="T495" s="28" t="n"/>
      <c r="U495" s="29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1" t="n"/>
      <c r="W495" s="21" t="n"/>
      <c r="X495" s="27">
        <f>SUM(V495:W495)</f>
        <v/>
      </c>
      <c r="Y495" s="28" t="n"/>
      <c r="Z495" s="28" t="n"/>
      <c r="AA495" s="29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1" t="n"/>
      <c r="AC495" s="21" t="n"/>
      <c r="AD495" s="27">
        <f>SUM(AB495:AC495)</f>
        <v/>
      </c>
      <c r="AE495" s="28" t="n"/>
      <c r="AF495" s="28" t="n"/>
      <c r="AG495" s="29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1" t="n"/>
      <c r="AI495" s="21" t="n"/>
      <c r="AJ495" s="27">
        <f>SUM(AH495:AI495)</f>
        <v/>
      </c>
      <c r="AK495" s="28" t="n"/>
      <c r="AL495" s="28" t="n"/>
      <c r="AM495" s="29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1" t="n"/>
      <c r="AO495" s="21" t="n"/>
      <c r="AP495" s="27">
        <f>SUM(AN495:AO495)</f>
        <v/>
      </c>
      <c r="AQ495" s="28" t="n"/>
      <c r="AR495" s="30" t="n"/>
      <c r="AS495" s="29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1" t="n"/>
      <c r="AU495" s="21" t="n"/>
      <c r="AV495" s="27">
        <f>SUM(AT495:AU495)</f>
        <v/>
      </c>
      <c r="AW495" s="28" t="n"/>
      <c r="AX495" s="30" t="n"/>
      <c r="AY495" s="29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1" t="n"/>
      <c r="BA495" s="21" t="n"/>
      <c r="BB495" s="27">
        <f>SUM(AZ495:BA495)</f>
        <v/>
      </c>
      <c r="BC495" s="28" t="n"/>
      <c r="BD495" s="28" t="n"/>
      <c r="BE495" s="29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1" t="n"/>
      <c r="BG495" s="21" t="n"/>
      <c r="BH495" s="27">
        <f>SUM(BF495:BG495)</f>
        <v/>
      </c>
      <c r="BI495" s="28" t="n"/>
      <c r="BJ495" s="28" t="n"/>
      <c r="BK495" s="29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1" t="n"/>
      <c r="BM495" s="21" t="n"/>
      <c r="BN495" s="27">
        <f>SUM(BL495:BM495)</f>
        <v/>
      </c>
      <c r="BO495" s="28" t="n"/>
      <c r="BP495" s="31" t="n"/>
      <c r="BQ495" s="29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1" t="n"/>
      <c r="BS495" s="21" t="n"/>
      <c r="BT495" s="27">
        <f>SUM(BR495:BS495)</f>
        <v/>
      </c>
      <c r="BU495" s="28" t="n"/>
      <c r="BV495" s="31" t="n"/>
      <c r="BW495" s="29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1" t="n"/>
      <c r="BY495" s="21" t="n"/>
      <c r="BZ495" s="27">
        <f>SUM(BX495:BY495)</f>
        <v/>
      </c>
      <c r="CA495" s="28" t="n"/>
      <c r="CB495" s="31" t="n"/>
      <c r="CC495" s="29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1" t="n"/>
      <c r="CE495" s="21" t="n"/>
      <c r="CF495" s="27">
        <f>SUM(CD495:CE495)</f>
        <v/>
      </c>
      <c r="CG495" s="28" t="n"/>
      <c r="CH495" s="31" t="n"/>
      <c r="CI495" s="29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1" t="n"/>
      <c r="CK495" s="21" t="n"/>
      <c r="CL495" s="27">
        <f>SUM(CJ495:CK495)</f>
        <v/>
      </c>
      <c r="CM495" s="28" t="n"/>
      <c r="CN495" s="31" t="n"/>
      <c r="CO495" s="29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1" t="n"/>
      <c r="CQ495" s="21" t="n"/>
      <c r="CR495" s="27">
        <f>SUM(CP495:CQ495)</f>
        <v/>
      </c>
      <c r="CS495" s="28" t="n"/>
      <c r="CT495" s="31" t="n"/>
      <c r="CU495" s="29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1" t="n"/>
      <c r="CW495" s="21" t="n"/>
      <c r="CX495" s="27">
        <f>SUM(CV495:CW495)</f>
        <v/>
      </c>
      <c r="CY495" s="28" t="n"/>
      <c r="CZ495" s="31" t="n"/>
      <c r="DA495" s="29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1" t="n"/>
      <c r="DC495" s="21" t="n"/>
      <c r="DD495" s="27">
        <f>SUM(DB495:DC495)</f>
        <v/>
      </c>
      <c r="DE495" s="28" t="n"/>
      <c r="DF495" s="31" t="n"/>
      <c r="DG495" s="29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34">
        <f>SUM(O495,U495,AA495,AG495,AM495,AS495,AY495,BE495,BK495,BQ495,BW495,CC495,CI495,CO495,CU495,DA495,DG495)</f>
        <v/>
      </c>
      <c r="DI495" s="39">
        <f>RANK(DH495,DH$4:DH$503)</f>
        <v/>
      </c>
      <c r="DJ495" s="40" t="inlineStr">
        <is>
          <t>CHOOSE RATING</t>
        </is>
      </c>
      <c r="DK495" s="40" t="inlineStr">
        <is>
          <t>CHOOSE RATING</t>
        </is>
      </c>
      <c r="DL495" s="40" t="inlineStr">
        <is>
          <t>CHOOSE RATING</t>
        </is>
      </c>
      <c r="DM495" s="40" t="inlineStr">
        <is>
          <t>CHOOSE RATING</t>
        </is>
      </c>
      <c r="DN495" s="40" t="inlineStr">
        <is>
          <t>CHOOSE RATING</t>
        </is>
      </c>
      <c r="DO495" s="40" t="inlineStr">
        <is>
          <t>CHOOSE RATING</t>
        </is>
      </c>
      <c r="DP495" s="40" t="inlineStr">
        <is>
          <t>CHOOSE RATING</t>
        </is>
      </c>
      <c r="DQ495" s="40" t="inlineStr">
        <is>
          <t>CHOOSE RATING</t>
        </is>
      </c>
      <c r="DR495" s="43" t="inlineStr">
        <is>
          <t>2024/2025</t>
        </is>
      </c>
      <c r="DS495" s="45" t="inlineStr">
        <is>
          <t>THIRD</t>
        </is>
      </c>
      <c r="DT495" s="40" t="inlineStr">
        <is>
          <t>CHOOSE RATING</t>
        </is>
      </c>
      <c r="DU495" s="40" t="inlineStr">
        <is>
          <t>CHOOSE RATING</t>
        </is>
      </c>
      <c r="DV495" s="40" t="inlineStr">
        <is>
          <t>CHOOSE RATING</t>
        </is>
      </c>
      <c r="DW495" s="40" t="inlineStr">
        <is>
          <t>CHOOSE RATING</t>
        </is>
      </c>
      <c r="DX495" s="40" t="inlineStr">
        <is>
          <t>CHOOSE RATING</t>
        </is>
      </c>
      <c r="DY495" s="40" t="inlineStr">
        <is>
          <t>CHOOSE RATING</t>
        </is>
      </c>
      <c r="DZ495" s="53" t="inlineStr">
        <is>
          <t>CHOOSE RATING</t>
        </is>
      </c>
      <c r="EA495" s="54" t="inlineStr">
        <is>
          <t>Add the Tutor's Comment . . .</t>
        </is>
      </c>
      <c r="EB495" s="55" t="inlineStr">
        <is>
          <t>Choose Principals comment</t>
        </is>
      </c>
      <c r="EC495" s="56" t="n"/>
      <c r="ED495" s="57" t="inlineStr">
        <is>
          <t>Next Term Begins on Monday, 22nd September, 2025</t>
        </is>
      </c>
    </row>
    <row r="496" ht="30.6" customHeight="1" s="6">
      <c r="A496" s="18" t="n">
        <v>493</v>
      </c>
      <c r="B496" s="19" t="n"/>
      <c r="C496" s="20" t="n"/>
      <c r="D496" s="128" t="n"/>
      <c r="E496" s="21" t="n"/>
      <c r="F496" s="22" t="n"/>
      <c r="G496" s="22" t="n"/>
      <c r="H496" s="22" t="n"/>
      <c r="I496" s="26">
        <f>G496-H496</f>
        <v/>
      </c>
      <c r="J496" s="21" t="n"/>
      <c r="K496" s="21" t="n"/>
      <c r="L496" s="27">
        <f>SUM(J496:K496)</f>
        <v/>
      </c>
      <c r="M496" s="28" t="n"/>
      <c r="N496" s="28" t="n"/>
      <c r="O496" s="29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1" t="n"/>
      <c r="Q496" s="21" t="n"/>
      <c r="R496" s="27">
        <f>SUM(P496:Q496)</f>
        <v/>
      </c>
      <c r="S496" s="28" t="n"/>
      <c r="T496" s="28" t="n"/>
      <c r="U496" s="29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1" t="n"/>
      <c r="W496" s="21" t="n"/>
      <c r="X496" s="27">
        <f>SUM(V496:W496)</f>
        <v/>
      </c>
      <c r="Y496" s="28" t="n"/>
      <c r="Z496" s="28" t="n"/>
      <c r="AA496" s="29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1" t="n"/>
      <c r="AC496" s="21" t="n"/>
      <c r="AD496" s="27">
        <f>SUM(AB496:AC496)</f>
        <v/>
      </c>
      <c r="AE496" s="28" t="n"/>
      <c r="AF496" s="28" t="n"/>
      <c r="AG496" s="29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1" t="n"/>
      <c r="AI496" s="21" t="n"/>
      <c r="AJ496" s="27">
        <f>SUM(AH496:AI496)</f>
        <v/>
      </c>
      <c r="AK496" s="28" t="n"/>
      <c r="AL496" s="28" t="n"/>
      <c r="AM496" s="29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1" t="n"/>
      <c r="AO496" s="21" t="n"/>
      <c r="AP496" s="27">
        <f>SUM(AN496:AO496)</f>
        <v/>
      </c>
      <c r="AQ496" s="28" t="n"/>
      <c r="AR496" s="30" t="n"/>
      <c r="AS496" s="29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1" t="n"/>
      <c r="AU496" s="21" t="n"/>
      <c r="AV496" s="27">
        <f>SUM(AT496:AU496)</f>
        <v/>
      </c>
      <c r="AW496" s="28" t="n"/>
      <c r="AX496" s="30" t="n"/>
      <c r="AY496" s="29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1" t="n"/>
      <c r="BA496" s="21" t="n"/>
      <c r="BB496" s="27">
        <f>SUM(AZ496:BA496)</f>
        <v/>
      </c>
      <c r="BC496" s="28" t="n"/>
      <c r="BD496" s="28" t="n"/>
      <c r="BE496" s="29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1" t="n"/>
      <c r="BG496" s="21" t="n"/>
      <c r="BH496" s="27">
        <f>SUM(BF496:BG496)</f>
        <v/>
      </c>
      <c r="BI496" s="28" t="n"/>
      <c r="BJ496" s="28" t="n"/>
      <c r="BK496" s="29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1" t="n"/>
      <c r="BM496" s="21" t="n"/>
      <c r="BN496" s="27">
        <f>SUM(BL496:BM496)</f>
        <v/>
      </c>
      <c r="BO496" s="28" t="n"/>
      <c r="BP496" s="31" t="n"/>
      <c r="BQ496" s="29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1" t="n"/>
      <c r="BS496" s="21" t="n"/>
      <c r="BT496" s="27">
        <f>SUM(BR496:BS496)</f>
        <v/>
      </c>
      <c r="BU496" s="28" t="n"/>
      <c r="BV496" s="31" t="n"/>
      <c r="BW496" s="29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1" t="n"/>
      <c r="BY496" s="21" t="n"/>
      <c r="BZ496" s="27">
        <f>SUM(BX496:BY496)</f>
        <v/>
      </c>
      <c r="CA496" s="28" t="n"/>
      <c r="CB496" s="31" t="n"/>
      <c r="CC496" s="29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1" t="n"/>
      <c r="CE496" s="21" t="n"/>
      <c r="CF496" s="27">
        <f>SUM(CD496:CE496)</f>
        <v/>
      </c>
      <c r="CG496" s="28" t="n"/>
      <c r="CH496" s="31" t="n"/>
      <c r="CI496" s="29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1" t="n"/>
      <c r="CK496" s="21" t="n"/>
      <c r="CL496" s="27">
        <f>SUM(CJ496:CK496)</f>
        <v/>
      </c>
      <c r="CM496" s="28" t="n"/>
      <c r="CN496" s="31" t="n"/>
      <c r="CO496" s="29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1" t="n"/>
      <c r="CQ496" s="21" t="n"/>
      <c r="CR496" s="27">
        <f>SUM(CP496:CQ496)</f>
        <v/>
      </c>
      <c r="CS496" s="28" t="n"/>
      <c r="CT496" s="31" t="n"/>
      <c r="CU496" s="29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1" t="n"/>
      <c r="CW496" s="21" t="n"/>
      <c r="CX496" s="27">
        <f>SUM(CV496:CW496)</f>
        <v/>
      </c>
      <c r="CY496" s="28" t="n"/>
      <c r="CZ496" s="31" t="n"/>
      <c r="DA496" s="29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1" t="n"/>
      <c r="DC496" s="21" t="n"/>
      <c r="DD496" s="27">
        <f>SUM(DB496:DC496)</f>
        <v/>
      </c>
      <c r="DE496" s="28" t="n"/>
      <c r="DF496" s="31" t="n"/>
      <c r="DG496" s="29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34">
        <f>SUM(O496,U496,AA496,AG496,AM496,AS496,AY496,BE496,BK496,BQ496,BW496,CC496,CI496,CO496,CU496,DA496,DG496)</f>
        <v/>
      </c>
      <c r="DI496" s="39">
        <f>RANK(DH496,DH$4:DH$503)</f>
        <v/>
      </c>
      <c r="DJ496" s="40" t="inlineStr">
        <is>
          <t>CHOOSE RATING</t>
        </is>
      </c>
      <c r="DK496" s="40" t="inlineStr">
        <is>
          <t>CHOOSE RATING</t>
        </is>
      </c>
      <c r="DL496" s="40" t="inlineStr">
        <is>
          <t>CHOOSE RATING</t>
        </is>
      </c>
      <c r="DM496" s="40" t="inlineStr">
        <is>
          <t>CHOOSE RATING</t>
        </is>
      </c>
      <c r="DN496" s="40" t="inlineStr">
        <is>
          <t>CHOOSE RATING</t>
        </is>
      </c>
      <c r="DO496" s="40" t="inlineStr">
        <is>
          <t>CHOOSE RATING</t>
        </is>
      </c>
      <c r="DP496" s="40" t="inlineStr">
        <is>
          <t>CHOOSE RATING</t>
        </is>
      </c>
      <c r="DQ496" s="40" t="inlineStr">
        <is>
          <t>CHOOSE RATING</t>
        </is>
      </c>
      <c r="DR496" s="43" t="inlineStr">
        <is>
          <t>2024/2025</t>
        </is>
      </c>
      <c r="DS496" s="45" t="inlineStr">
        <is>
          <t>THIRD</t>
        </is>
      </c>
      <c r="DT496" s="40" t="inlineStr">
        <is>
          <t>CHOOSE RATING</t>
        </is>
      </c>
      <c r="DU496" s="40" t="inlineStr">
        <is>
          <t>CHOOSE RATING</t>
        </is>
      </c>
      <c r="DV496" s="40" t="inlineStr">
        <is>
          <t>CHOOSE RATING</t>
        </is>
      </c>
      <c r="DW496" s="40" t="inlineStr">
        <is>
          <t>CHOOSE RATING</t>
        </is>
      </c>
      <c r="DX496" s="40" t="inlineStr">
        <is>
          <t>CHOOSE RATING</t>
        </is>
      </c>
      <c r="DY496" s="40" t="inlineStr">
        <is>
          <t>CHOOSE RATING</t>
        </is>
      </c>
      <c r="DZ496" s="53" t="inlineStr">
        <is>
          <t>CHOOSE RATING</t>
        </is>
      </c>
      <c r="EA496" s="54" t="inlineStr">
        <is>
          <t>Add the Tutor's Comment . . .</t>
        </is>
      </c>
      <c r="EB496" s="55" t="inlineStr">
        <is>
          <t>Choose Principals comment</t>
        </is>
      </c>
      <c r="EC496" s="56" t="n"/>
      <c r="ED496" s="57" t="inlineStr">
        <is>
          <t>Next Term Begins on Monday, 22nd September, 2025</t>
        </is>
      </c>
    </row>
    <row r="497" ht="30.6" customHeight="1" s="6">
      <c r="A497" s="18" t="n">
        <v>494</v>
      </c>
      <c r="B497" s="19" t="n"/>
      <c r="C497" s="20" t="n"/>
      <c r="D497" s="128" t="n"/>
      <c r="E497" s="21" t="n"/>
      <c r="F497" s="22" t="n"/>
      <c r="G497" s="22" t="n"/>
      <c r="H497" s="22" t="n"/>
      <c r="I497" s="26">
        <f>G497-H497</f>
        <v/>
      </c>
      <c r="J497" s="21" t="n"/>
      <c r="K497" s="21" t="n"/>
      <c r="L497" s="27">
        <f>SUM(J497:K497)</f>
        <v/>
      </c>
      <c r="M497" s="28" t="n"/>
      <c r="N497" s="28" t="n"/>
      <c r="O497" s="29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1" t="n"/>
      <c r="Q497" s="21" t="n"/>
      <c r="R497" s="27">
        <f>SUM(P497:Q497)</f>
        <v/>
      </c>
      <c r="S497" s="28" t="n"/>
      <c r="T497" s="28" t="n"/>
      <c r="U497" s="29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1" t="n"/>
      <c r="W497" s="21" t="n"/>
      <c r="X497" s="27">
        <f>SUM(V497:W497)</f>
        <v/>
      </c>
      <c r="Y497" s="28" t="n"/>
      <c r="Z497" s="28" t="n"/>
      <c r="AA497" s="29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1" t="n"/>
      <c r="AC497" s="21" t="n"/>
      <c r="AD497" s="27">
        <f>SUM(AB497:AC497)</f>
        <v/>
      </c>
      <c r="AE497" s="28" t="n"/>
      <c r="AF497" s="28" t="n"/>
      <c r="AG497" s="29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1" t="n"/>
      <c r="AI497" s="21" t="n"/>
      <c r="AJ497" s="27">
        <f>SUM(AH497:AI497)</f>
        <v/>
      </c>
      <c r="AK497" s="28" t="n"/>
      <c r="AL497" s="28" t="n"/>
      <c r="AM497" s="29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1" t="n"/>
      <c r="AO497" s="21" t="n"/>
      <c r="AP497" s="27">
        <f>SUM(AN497:AO497)</f>
        <v/>
      </c>
      <c r="AQ497" s="28" t="n"/>
      <c r="AR497" s="30" t="n"/>
      <c r="AS497" s="29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1" t="n"/>
      <c r="AU497" s="21" t="n"/>
      <c r="AV497" s="27">
        <f>SUM(AT497:AU497)</f>
        <v/>
      </c>
      <c r="AW497" s="28" t="n"/>
      <c r="AX497" s="30" t="n"/>
      <c r="AY497" s="29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1" t="n"/>
      <c r="BA497" s="21" t="n"/>
      <c r="BB497" s="27">
        <f>SUM(AZ497:BA497)</f>
        <v/>
      </c>
      <c r="BC497" s="28" t="n"/>
      <c r="BD497" s="28" t="n"/>
      <c r="BE497" s="29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1" t="n"/>
      <c r="BG497" s="21" t="n"/>
      <c r="BH497" s="27">
        <f>SUM(BF497:BG497)</f>
        <v/>
      </c>
      <c r="BI497" s="28" t="n"/>
      <c r="BJ497" s="28" t="n"/>
      <c r="BK497" s="29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1" t="n"/>
      <c r="BM497" s="21" t="n"/>
      <c r="BN497" s="27">
        <f>SUM(BL497:BM497)</f>
        <v/>
      </c>
      <c r="BO497" s="28" t="n"/>
      <c r="BP497" s="31" t="n"/>
      <c r="BQ497" s="29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1" t="n"/>
      <c r="BS497" s="21" t="n"/>
      <c r="BT497" s="27">
        <f>SUM(BR497:BS497)</f>
        <v/>
      </c>
      <c r="BU497" s="28" t="n"/>
      <c r="BV497" s="31" t="n"/>
      <c r="BW497" s="29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1" t="n"/>
      <c r="BY497" s="21" t="n"/>
      <c r="BZ497" s="27">
        <f>SUM(BX497:BY497)</f>
        <v/>
      </c>
      <c r="CA497" s="28" t="n"/>
      <c r="CB497" s="31" t="n"/>
      <c r="CC497" s="29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1" t="n"/>
      <c r="CE497" s="21" t="n"/>
      <c r="CF497" s="27">
        <f>SUM(CD497:CE497)</f>
        <v/>
      </c>
      <c r="CG497" s="28" t="n"/>
      <c r="CH497" s="31" t="n"/>
      <c r="CI497" s="29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1" t="n"/>
      <c r="CK497" s="21" t="n"/>
      <c r="CL497" s="27">
        <f>SUM(CJ497:CK497)</f>
        <v/>
      </c>
      <c r="CM497" s="28" t="n"/>
      <c r="CN497" s="31" t="n"/>
      <c r="CO497" s="29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1" t="n"/>
      <c r="CQ497" s="21" t="n"/>
      <c r="CR497" s="27">
        <f>SUM(CP497:CQ497)</f>
        <v/>
      </c>
      <c r="CS497" s="28" t="n"/>
      <c r="CT497" s="31" t="n"/>
      <c r="CU497" s="29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1" t="n"/>
      <c r="CW497" s="21" t="n"/>
      <c r="CX497" s="27">
        <f>SUM(CV497:CW497)</f>
        <v/>
      </c>
      <c r="CY497" s="28" t="n"/>
      <c r="CZ497" s="31" t="n"/>
      <c r="DA497" s="29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1" t="n"/>
      <c r="DC497" s="21" t="n"/>
      <c r="DD497" s="27">
        <f>SUM(DB497:DC497)</f>
        <v/>
      </c>
      <c r="DE497" s="28" t="n"/>
      <c r="DF497" s="31" t="n"/>
      <c r="DG497" s="29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34">
        <f>SUM(O497,U497,AA497,AG497,AM497,AS497,AY497,BE497,BK497,BQ497,BW497,CC497,CI497,CO497,CU497,DA497,DG497)</f>
        <v/>
      </c>
      <c r="DI497" s="39">
        <f>RANK(DH497,DH$4:DH$503)</f>
        <v/>
      </c>
      <c r="DJ497" s="40" t="inlineStr">
        <is>
          <t>CHOOSE RATING</t>
        </is>
      </c>
      <c r="DK497" s="40" t="inlineStr">
        <is>
          <t>CHOOSE RATING</t>
        </is>
      </c>
      <c r="DL497" s="40" t="inlineStr">
        <is>
          <t>CHOOSE RATING</t>
        </is>
      </c>
      <c r="DM497" s="40" t="inlineStr">
        <is>
          <t>CHOOSE RATING</t>
        </is>
      </c>
      <c r="DN497" s="40" t="inlineStr">
        <is>
          <t>CHOOSE RATING</t>
        </is>
      </c>
      <c r="DO497" s="40" t="inlineStr">
        <is>
          <t>CHOOSE RATING</t>
        </is>
      </c>
      <c r="DP497" s="40" t="inlineStr">
        <is>
          <t>CHOOSE RATING</t>
        </is>
      </c>
      <c r="DQ497" s="40" t="inlineStr">
        <is>
          <t>CHOOSE RATING</t>
        </is>
      </c>
      <c r="DR497" s="43" t="inlineStr">
        <is>
          <t>2024/2025</t>
        </is>
      </c>
      <c r="DS497" s="45" t="inlineStr">
        <is>
          <t>THIRD</t>
        </is>
      </c>
      <c r="DT497" s="40" t="inlineStr">
        <is>
          <t>CHOOSE RATING</t>
        </is>
      </c>
      <c r="DU497" s="40" t="inlineStr">
        <is>
          <t>CHOOSE RATING</t>
        </is>
      </c>
      <c r="DV497" s="40" t="inlineStr">
        <is>
          <t>CHOOSE RATING</t>
        </is>
      </c>
      <c r="DW497" s="40" t="inlineStr">
        <is>
          <t>CHOOSE RATING</t>
        </is>
      </c>
      <c r="DX497" s="40" t="inlineStr">
        <is>
          <t>CHOOSE RATING</t>
        </is>
      </c>
      <c r="DY497" s="40" t="inlineStr">
        <is>
          <t>CHOOSE RATING</t>
        </is>
      </c>
      <c r="DZ497" s="53" t="inlineStr">
        <is>
          <t>CHOOSE RATING</t>
        </is>
      </c>
      <c r="EA497" s="54" t="inlineStr">
        <is>
          <t>Add the Tutor's Comment . . .</t>
        </is>
      </c>
      <c r="EB497" s="55" t="inlineStr">
        <is>
          <t>Choose Principals comment</t>
        </is>
      </c>
      <c r="EC497" s="56" t="n"/>
      <c r="ED497" s="57" t="inlineStr">
        <is>
          <t>Next Term Begins on Monday, 22nd September, 2025</t>
        </is>
      </c>
    </row>
    <row r="498" ht="30.6" customHeight="1" s="6">
      <c r="A498" s="18" t="n">
        <v>495</v>
      </c>
      <c r="B498" s="19" t="n"/>
      <c r="C498" s="20" t="n"/>
      <c r="D498" s="128" t="n"/>
      <c r="E498" s="21" t="n"/>
      <c r="F498" s="22" t="n"/>
      <c r="G498" s="22" t="n"/>
      <c r="H498" s="22" t="n"/>
      <c r="I498" s="26">
        <f>G498-H498</f>
        <v/>
      </c>
      <c r="J498" s="21" t="n"/>
      <c r="K498" s="21" t="n"/>
      <c r="L498" s="27">
        <f>SUM(J498:K498)</f>
        <v/>
      </c>
      <c r="M498" s="28" t="n"/>
      <c r="N498" s="28" t="n"/>
      <c r="O498" s="29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1" t="n"/>
      <c r="Q498" s="21" t="n"/>
      <c r="R498" s="27">
        <f>SUM(P498:Q498)</f>
        <v/>
      </c>
      <c r="S498" s="28" t="n"/>
      <c r="T498" s="28" t="n"/>
      <c r="U498" s="29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1" t="n"/>
      <c r="W498" s="21" t="n"/>
      <c r="X498" s="27">
        <f>SUM(V498:W498)</f>
        <v/>
      </c>
      <c r="Y498" s="28" t="n"/>
      <c r="Z498" s="28" t="n"/>
      <c r="AA498" s="29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1" t="n"/>
      <c r="AC498" s="21" t="n"/>
      <c r="AD498" s="27">
        <f>SUM(AB498:AC498)</f>
        <v/>
      </c>
      <c r="AE498" s="28" t="n"/>
      <c r="AF498" s="28" t="n"/>
      <c r="AG498" s="29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1" t="n"/>
      <c r="AI498" s="21" t="n"/>
      <c r="AJ498" s="27">
        <f>SUM(AH498:AI498)</f>
        <v/>
      </c>
      <c r="AK498" s="28" t="n"/>
      <c r="AL498" s="28" t="n"/>
      <c r="AM498" s="29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1" t="n"/>
      <c r="AO498" s="21" t="n"/>
      <c r="AP498" s="27">
        <f>SUM(AN498:AO498)</f>
        <v/>
      </c>
      <c r="AQ498" s="28" t="n"/>
      <c r="AR498" s="30" t="n"/>
      <c r="AS498" s="29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1" t="n"/>
      <c r="AU498" s="21" t="n"/>
      <c r="AV498" s="27">
        <f>SUM(AT498:AU498)</f>
        <v/>
      </c>
      <c r="AW498" s="28" t="n"/>
      <c r="AX498" s="30" t="n"/>
      <c r="AY498" s="29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1" t="n"/>
      <c r="BA498" s="21" t="n"/>
      <c r="BB498" s="27">
        <f>SUM(AZ498:BA498)</f>
        <v/>
      </c>
      <c r="BC498" s="28" t="n"/>
      <c r="BD498" s="28" t="n"/>
      <c r="BE498" s="29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1" t="n"/>
      <c r="BG498" s="21" t="n"/>
      <c r="BH498" s="27">
        <f>SUM(BF498:BG498)</f>
        <v/>
      </c>
      <c r="BI498" s="28" t="n"/>
      <c r="BJ498" s="28" t="n"/>
      <c r="BK498" s="29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1" t="n"/>
      <c r="BM498" s="21" t="n"/>
      <c r="BN498" s="27">
        <f>SUM(BL498:BM498)</f>
        <v/>
      </c>
      <c r="BO498" s="28" t="n"/>
      <c r="BP498" s="31" t="n"/>
      <c r="BQ498" s="29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1" t="n"/>
      <c r="BS498" s="21" t="n"/>
      <c r="BT498" s="27">
        <f>SUM(BR498:BS498)</f>
        <v/>
      </c>
      <c r="BU498" s="28" t="n"/>
      <c r="BV498" s="31" t="n"/>
      <c r="BW498" s="29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1" t="n"/>
      <c r="BY498" s="21" t="n"/>
      <c r="BZ498" s="27">
        <f>SUM(BX498:BY498)</f>
        <v/>
      </c>
      <c r="CA498" s="28" t="n"/>
      <c r="CB498" s="31" t="n"/>
      <c r="CC498" s="29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1" t="n"/>
      <c r="CE498" s="21" t="n"/>
      <c r="CF498" s="27">
        <f>SUM(CD498:CE498)</f>
        <v/>
      </c>
      <c r="CG498" s="28" t="n"/>
      <c r="CH498" s="31" t="n"/>
      <c r="CI498" s="29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1" t="n"/>
      <c r="CK498" s="21" t="n"/>
      <c r="CL498" s="27">
        <f>SUM(CJ498:CK498)</f>
        <v/>
      </c>
      <c r="CM498" s="28" t="n"/>
      <c r="CN498" s="31" t="n"/>
      <c r="CO498" s="29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1" t="n"/>
      <c r="CQ498" s="21" t="n"/>
      <c r="CR498" s="27">
        <f>SUM(CP498:CQ498)</f>
        <v/>
      </c>
      <c r="CS498" s="28" t="n"/>
      <c r="CT498" s="31" t="n"/>
      <c r="CU498" s="29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1" t="n"/>
      <c r="CW498" s="21" t="n"/>
      <c r="CX498" s="27">
        <f>SUM(CV498:CW498)</f>
        <v/>
      </c>
      <c r="CY498" s="28" t="n"/>
      <c r="CZ498" s="31" t="n"/>
      <c r="DA498" s="29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1" t="n"/>
      <c r="DC498" s="21" t="n"/>
      <c r="DD498" s="27">
        <f>SUM(DB498:DC498)</f>
        <v/>
      </c>
      <c r="DE498" s="28" t="n"/>
      <c r="DF498" s="31" t="n"/>
      <c r="DG498" s="29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34">
        <f>SUM(O498,U498,AA498,AG498,AM498,AS498,AY498,BE498,BK498,BQ498,BW498,CC498,CI498,CO498,CU498,DA498,DG498)</f>
        <v/>
      </c>
      <c r="DI498" s="39">
        <f>RANK(DH498,DH$4:DH$503)</f>
        <v/>
      </c>
      <c r="DJ498" s="40" t="inlineStr">
        <is>
          <t>CHOOSE RATING</t>
        </is>
      </c>
      <c r="DK498" s="40" t="inlineStr">
        <is>
          <t>CHOOSE RATING</t>
        </is>
      </c>
      <c r="DL498" s="40" t="inlineStr">
        <is>
          <t>CHOOSE RATING</t>
        </is>
      </c>
      <c r="DM498" s="40" t="inlineStr">
        <is>
          <t>CHOOSE RATING</t>
        </is>
      </c>
      <c r="DN498" s="40" t="inlineStr">
        <is>
          <t>CHOOSE RATING</t>
        </is>
      </c>
      <c r="DO498" s="40" t="inlineStr">
        <is>
          <t>CHOOSE RATING</t>
        </is>
      </c>
      <c r="DP498" s="40" t="inlineStr">
        <is>
          <t>CHOOSE RATING</t>
        </is>
      </c>
      <c r="DQ498" s="40" t="inlineStr">
        <is>
          <t>CHOOSE RATING</t>
        </is>
      </c>
      <c r="DR498" s="43" t="inlineStr">
        <is>
          <t>2024/2025</t>
        </is>
      </c>
      <c r="DS498" s="45" t="inlineStr">
        <is>
          <t>THIRD</t>
        </is>
      </c>
      <c r="DT498" s="40" t="inlineStr">
        <is>
          <t>CHOOSE RATING</t>
        </is>
      </c>
      <c r="DU498" s="40" t="inlineStr">
        <is>
          <t>CHOOSE RATING</t>
        </is>
      </c>
      <c r="DV498" s="40" t="inlineStr">
        <is>
          <t>CHOOSE RATING</t>
        </is>
      </c>
      <c r="DW498" s="40" t="inlineStr">
        <is>
          <t>CHOOSE RATING</t>
        </is>
      </c>
      <c r="DX498" s="40" t="inlineStr">
        <is>
          <t>CHOOSE RATING</t>
        </is>
      </c>
      <c r="DY498" s="40" t="inlineStr">
        <is>
          <t>CHOOSE RATING</t>
        </is>
      </c>
      <c r="DZ498" s="53" t="inlineStr">
        <is>
          <t>CHOOSE RATING</t>
        </is>
      </c>
      <c r="EA498" s="54" t="inlineStr">
        <is>
          <t>Add the Tutor's Comment . . .</t>
        </is>
      </c>
      <c r="EB498" s="55" t="inlineStr">
        <is>
          <t>Choose Principals comment</t>
        </is>
      </c>
      <c r="EC498" s="56" t="n"/>
      <c r="ED498" s="57" t="inlineStr">
        <is>
          <t>Next Term Begins on Monday, 22nd September, 2025</t>
        </is>
      </c>
    </row>
    <row r="499" ht="30.6" customHeight="1" s="6">
      <c r="A499" s="18" t="n">
        <v>496</v>
      </c>
      <c r="B499" s="19" t="n"/>
      <c r="C499" s="20" t="n"/>
      <c r="D499" s="128" t="n"/>
      <c r="E499" s="21" t="n"/>
      <c r="F499" s="22" t="n"/>
      <c r="G499" s="22" t="n"/>
      <c r="H499" s="22" t="n"/>
      <c r="I499" s="26">
        <f>G499-H499</f>
        <v/>
      </c>
      <c r="J499" s="21" t="n"/>
      <c r="K499" s="21" t="n"/>
      <c r="L499" s="27">
        <f>SUM(J499:K499)</f>
        <v/>
      </c>
      <c r="M499" s="28" t="n"/>
      <c r="N499" s="28" t="n"/>
      <c r="O499" s="29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1" t="n"/>
      <c r="Q499" s="21" t="n"/>
      <c r="R499" s="27">
        <f>SUM(P499:Q499)</f>
        <v/>
      </c>
      <c r="S499" s="28" t="n"/>
      <c r="T499" s="28" t="n"/>
      <c r="U499" s="29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1" t="n"/>
      <c r="W499" s="21" t="n"/>
      <c r="X499" s="27">
        <f>SUM(V499:W499)</f>
        <v/>
      </c>
      <c r="Y499" s="28" t="n"/>
      <c r="Z499" s="28" t="n"/>
      <c r="AA499" s="29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1" t="n"/>
      <c r="AC499" s="21" t="n"/>
      <c r="AD499" s="27">
        <f>SUM(AB499:AC499)</f>
        <v/>
      </c>
      <c r="AE499" s="28" t="n"/>
      <c r="AF499" s="28" t="n"/>
      <c r="AG499" s="29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1" t="n"/>
      <c r="AI499" s="21" t="n"/>
      <c r="AJ499" s="27">
        <f>SUM(AH499:AI499)</f>
        <v/>
      </c>
      <c r="AK499" s="28" t="n"/>
      <c r="AL499" s="28" t="n"/>
      <c r="AM499" s="29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1" t="n"/>
      <c r="AO499" s="21" t="n"/>
      <c r="AP499" s="27">
        <f>SUM(AN499:AO499)</f>
        <v/>
      </c>
      <c r="AQ499" s="28" t="n"/>
      <c r="AR499" s="30" t="n"/>
      <c r="AS499" s="29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1" t="n"/>
      <c r="AU499" s="21" t="n"/>
      <c r="AV499" s="27">
        <f>SUM(AT499:AU499)</f>
        <v/>
      </c>
      <c r="AW499" s="28" t="n"/>
      <c r="AX499" s="30" t="n"/>
      <c r="AY499" s="29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1" t="n"/>
      <c r="BA499" s="21" t="n"/>
      <c r="BB499" s="27">
        <f>SUM(AZ499:BA499)</f>
        <v/>
      </c>
      <c r="BC499" s="28" t="n"/>
      <c r="BD499" s="28" t="n"/>
      <c r="BE499" s="29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1" t="n"/>
      <c r="BG499" s="21" t="n"/>
      <c r="BH499" s="27">
        <f>SUM(BF499:BG499)</f>
        <v/>
      </c>
      <c r="BI499" s="28" t="n"/>
      <c r="BJ499" s="28" t="n"/>
      <c r="BK499" s="29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1" t="n"/>
      <c r="BM499" s="21" t="n"/>
      <c r="BN499" s="27">
        <f>SUM(BL499:BM499)</f>
        <v/>
      </c>
      <c r="BO499" s="28" t="n"/>
      <c r="BP499" s="31" t="n"/>
      <c r="BQ499" s="29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1" t="n"/>
      <c r="BS499" s="21" t="n"/>
      <c r="BT499" s="27">
        <f>SUM(BR499:BS499)</f>
        <v/>
      </c>
      <c r="BU499" s="28" t="n"/>
      <c r="BV499" s="31" t="n"/>
      <c r="BW499" s="29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1" t="n"/>
      <c r="BY499" s="21" t="n"/>
      <c r="BZ499" s="27">
        <f>SUM(BX499:BY499)</f>
        <v/>
      </c>
      <c r="CA499" s="28" t="n"/>
      <c r="CB499" s="31" t="n"/>
      <c r="CC499" s="29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1" t="n"/>
      <c r="CE499" s="21" t="n"/>
      <c r="CF499" s="27">
        <f>SUM(CD499:CE499)</f>
        <v/>
      </c>
      <c r="CG499" s="28" t="n"/>
      <c r="CH499" s="31" t="n"/>
      <c r="CI499" s="29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1" t="n"/>
      <c r="CK499" s="21" t="n"/>
      <c r="CL499" s="27">
        <f>SUM(CJ499:CK499)</f>
        <v/>
      </c>
      <c r="CM499" s="28" t="n"/>
      <c r="CN499" s="31" t="n"/>
      <c r="CO499" s="29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1" t="n"/>
      <c r="CQ499" s="21" t="n"/>
      <c r="CR499" s="27">
        <f>SUM(CP499:CQ499)</f>
        <v/>
      </c>
      <c r="CS499" s="28" t="n"/>
      <c r="CT499" s="31" t="n"/>
      <c r="CU499" s="29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1" t="n"/>
      <c r="CW499" s="21" t="n"/>
      <c r="CX499" s="27">
        <f>SUM(CV499:CW499)</f>
        <v/>
      </c>
      <c r="CY499" s="28" t="n"/>
      <c r="CZ499" s="31" t="n"/>
      <c r="DA499" s="29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1" t="n"/>
      <c r="DC499" s="21" t="n"/>
      <c r="DD499" s="27">
        <f>SUM(DB499:DC499)</f>
        <v/>
      </c>
      <c r="DE499" s="28" t="n"/>
      <c r="DF499" s="31" t="n"/>
      <c r="DG499" s="29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34">
        <f>SUM(O499,U499,AA499,AG499,AM499,AS499,AY499,BE499,BK499,BQ499,BW499,CC499,CI499,CO499,CU499,DA499,DG499)</f>
        <v/>
      </c>
      <c r="DI499" s="39">
        <f>RANK(DH499,DH$4:DH$503)</f>
        <v/>
      </c>
      <c r="DJ499" s="40" t="inlineStr">
        <is>
          <t>CHOOSE RATING</t>
        </is>
      </c>
      <c r="DK499" s="40" t="inlineStr">
        <is>
          <t>CHOOSE RATING</t>
        </is>
      </c>
      <c r="DL499" s="40" t="inlineStr">
        <is>
          <t>CHOOSE RATING</t>
        </is>
      </c>
      <c r="DM499" s="40" t="inlineStr">
        <is>
          <t>CHOOSE RATING</t>
        </is>
      </c>
      <c r="DN499" s="40" t="inlineStr">
        <is>
          <t>CHOOSE RATING</t>
        </is>
      </c>
      <c r="DO499" s="40" t="inlineStr">
        <is>
          <t>CHOOSE RATING</t>
        </is>
      </c>
      <c r="DP499" s="40" t="inlineStr">
        <is>
          <t>CHOOSE RATING</t>
        </is>
      </c>
      <c r="DQ499" s="40" t="inlineStr">
        <is>
          <t>CHOOSE RATING</t>
        </is>
      </c>
      <c r="DR499" s="43" t="inlineStr">
        <is>
          <t>2024/2025</t>
        </is>
      </c>
      <c r="DS499" s="45" t="inlineStr">
        <is>
          <t>THIRD</t>
        </is>
      </c>
      <c r="DT499" s="40" t="inlineStr">
        <is>
          <t>CHOOSE RATING</t>
        </is>
      </c>
      <c r="DU499" s="40" t="inlineStr">
        <is>
          <t>CHOOSE RATING</t>
        </is>
      </c>
      <c r="DV499" s="40" t="inlineStr">
        <is>
          <t>CHOOSE RATING</t>
        </is>
      </c>
      <c r="DW499" s="40" t="inlineStr">
        <is>
          <t>CHOOSE RATING</t>
        </is>
      </c>
      <c r="DX499" s="40" t="inlineStr">
        <is>
          <t>CHOOSE RATING</t>
        </is>
      </c>
      <c r="DY499" s="40" t="inlineStr">
        <is>
          <t>CHOOSE RATING</t>
        </is>
      </c>
      <c r="DZ499" s="53" t="inlineStr">
        <is>
          <t>CHOOSE RATING</t>
        </is>
      </c>
      <c r="EA499" s="54" t="inlineStr">
        <is>
          <t>Add the Tutor's Comment . . .</t>
        </is>
      </c>
      <c r="EB499" s="55" t="inlineStr">
        <is>
          <t>Choose Principals comment</t>
        </is>
      </c>
      <c r="EC499" s="56" t="n"/>
      <c r="ED499" s="57" t="inlineStr">
        <is>
          <t>Next Term Begins on Monday, 22nd September, 2025</t>
        </is>
      </c>
    </row>
    <row r="500" ht="30.6" customHeight="1" s="6">
      <c r="A500" s="18" t="n">
        <v>497</v>
      </c>
      <c r="B500" s="19" t="n"/>
      <c r="C500" s="20" t="n"/>
      <c r="D500" s="128" t="n"/>
      <c r="E500" s="21" t="n"/>
      <c r="F500" s="22" t="n"/>
      <c r="G500" s="22" t="n"/>
      <c r="H500" s="22" t="n"/>
      <c r="I500" s="26">
        <f>G500-H500</f>
        <v/>
      </c>
      <c r="J500" s="21" t="n"/>
      <c r="K500" s="21" t="n"/>
      <c r="L500" s="27">
        <f>SUM(J500:K500)</f>
        <v/>
      </c>
      <c r="M500" s="28" t="n"/>
      <c r="N500" s="28" t="n"/>
      <c r="O500" s="29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1" t="n"/>
      <c r="Q500" s="21" t="n"/>
      <c r="R500" s="27">
        <f>SUM(P500:Q500)</f>
        <v/>
      </c>
      <c r="S500" s="28" t="n"/>
      <c r="T500" s="28" t="n"/>
      <c r="U500" s="29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1" t="n"/>
      <c r="W500" s="21" t="n"/>
      <c r="X500" s="27">
        <f>SUM(V500:W500)</f>
        <v/>
      </c>
      <c r="Y500" s="28" t="n"/>
      <c r="Z500" s="28" t="n"/>
      <c r="AA500" s="29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1" t="n"/>
      <c r="AC500" s="21" t="n"/>
      <c r="AD500" s="27">
        <f>SUM(AB500:AC500)</f>
        <v/>
      </c>
      <c r="AE500" s="28" t="n"/>
      <c r="AF500" s="28" t="n"/>
      <c r="AG500" s="29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1" t="n"/>
      <c r="AI500" s="21" t="n"/>
      <c r="AJ500" s="27">
        <f>SUM(AH500:AI500)</f>
        <v/>
      </c>
      <c r="AK500" s="28" t="n"/>
      <c r="AL500" s="28" t="n"/>
      <c r="AM500" s="29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1" t="n"/>
      <c r="AO500" s="21" t="n"/>
      <c r="AP500" s="27">
        <f>SUM(AN500:AO500)</f>
        <v/>
      </c>
      <c r="AQ500" s="28" t="n"/>
      <c r="AR500" s="30" t="n"/>
      <c r="AS500" s="29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1" t="n"/>
      <c r="AU500" s="21" t="n"/>
      <c r="AV500" s="27">
        <f>SUM(AT500:AU500)</f>
        <v/>
      </c>
      <c r="AW500" s="28" t="n"/>
      <c r="AX500" s="30" t="n"/>
      <c r="AY500" s="29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1" t="n"/>
      <c r="BA500" s="21" t="n"/>
      <c r="BB500" s="27">
        <f>SUM(AZ500:BA500)</f>
        <v/>
      </c>
      <c r="BC500" s="28" t="n"/>
      <c r="BD500" s="28" t="n"/>
      <c r="BE500" s="29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1" t="n"/>
      <c r="BG500" s="21" t="n"/>
      <c r="BH500" s="27">
        <f>SUM(BF500:BG500)</f>
        <v/>
      </c>
      <c r="BI500" s="28" t="n"/>
      <c r="BJ500" s="28" t="n"/>
      <c r="BK500" s="29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1" t="n"/>
      <c r="BM500" s="21" t="n"/>
      <c r="BN500" s="27">
        <f>SUM(BL500:BM500)</f>
        <v/>
      </c>
      <c r="BO500" s="28" t="n"/>
      <c r="BP500" s="31" t="n"/>
      <c r="BQ500" s="29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1" t="n"/>
      <c r="BS500" s="21" t="n"/>
      <c r="BT500" s="27">
        <f>SUM(BR500:BS500)</f>
        <v/>
      </c>
      <c r="BU500" s="28" t="n"/>
      <c r="BV500" s="31" t="n"/>
      <c r="BW500" s="29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1" t="n"/>
      <c r="BY500" s="21" t="n"/>
      <c r="BZ500" s="27">
        <f>SUM(BX500:BY500)</f>
        <v/>
      </c>
      <c r="CA500" s="28" t="n"/>
      <c r="CB500" s="31" t="n"/>
      <c r="CC500" s="29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1" t="n"/>
      <c r="CE500" s="21" t="n"/>
      <c r="CF500" s="27">
        <f>SUM(CD500:CE500)</f>
        <v/>
      </c>
      <c r="CG500" s="28" t="n"/>
      <c r="CH500" s="31" t="n"/>
      <c r="CI500" s="29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1" t="n"/>
      <c r="CK500" s="21" t="n"/>
      <c r="CL500" s="27">
        <f>SUM(CJ500:CK500)</f>
        <v/>
      </c>
      <c r="CM500" s="28" t="n"/>
      <c r="CN500" s="31" t="n"/>
      <c r="CO500" s="29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1" t="n"/>
      <c r="CQ500" s="21" t="n"/>
      <c r="CR500" s="27">
        <f>SUM(CP500:CQ500)</f>
        <v/>
      </c>
      <c r="CS500" s="28" t="n"/>
      <c r="CT500" s="31" t="n"/>
      <c r="CU500" s="29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1" t="n"/>
      <c r="CW500" s="21" t="n"/>
      <c r="CX500" s="27">
        <f>SUM(CV500:CW500)</f>
        <v/>
      </c>
      <c r="CY500" s="28" t="n"/>
      <c r="CZ500" s="31" t="n"/>
      <c r="DA500" s="29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1" t="n"/>
      <c r="DC500" s="21" t="n"/>
      <c r="DD500" s="27">
        <f>SUM(DB500:DC500)</f>
        <v/>
      </c>
      <c r="DE500" s="28" t="n"/>
      <c r="DF500" s="31" t="n"/>
      <c r="DG500" s="29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34">
        <f>SUM(O500,U500,AA500,AG500,AM500,AS500,AY500,BE500,BK500,BQ500,BW500,CC500,CI500,CO500,CU500,DA500,DG500)</f>
        <v/>
      </c>
      <c r="DI500" s="39">
        <f>RANK(DH500,DH$4:DH$503)</f>
        <v/>
      </c>
      <c r="DJ500" s="40" t="inlineStr">
        <is>
          <t>CHOOSE RATING</t>
        </is>
      </c>
      <c r="DK500" s="40" t="inlineStr">
        <is>
          <t>CHOOSE RATING</t>
        </is>
      </c>
      <c r="DL500" s="40" t="inlineStr">
        <is>
          <t>CHOOSE RATING</t>
        </is>
      </c>
      <c r="DM500" s="40" t="inlineStr">
        <is>
          <t>CHOOSE RATING</t>
        </is>
      </c>
      <c r="DN500" s="40" t="inlineStr">
        <is>
          <t>CHOOSE RATING</t>
        </is>
      </c>
      <c r="DO500" s="40" t="inlineStr">
        <is>
          <t>CHOOSE RATING</t>
        </is>
      </c>
      <c r="DP500" s="40" t="inlineStr">
        <is>
          <t>CHOOSE RATING</t>
        </is>
      </c>
      <c r="DQ500" s="40" t="inlineStr">
        <is>
          <t>CHOOSE RATING</t>
        </is>
      </c>
      <c r="DR500" s="43" t="inlineStr">
        <is>
          <t>2024/2025</t>
        </is>
      </c>
      <c r="DS500" s="45" t="inlineStr">
        <is>
          <t>THIRD</t>
        </is>
      </c>
      <c r="DT500" s="40" t="inlineStr">
        <is>
          <t>CHOOSE RATING</t>
        </is>
      </c>
      <c r="DU500" s="40" t="inlineStr">
        <is>
          <t>CHOOSE RATING</t>
        </is>
      </c>
      <c r="DV500" s="40" t="inlineStr">
        <is>
          <t>CHOOSE RATING</t>
        </is>
      </c>
      <c r="DW500" s="40" t="inlineStr">
        <is>
          <t>CHOOSE RATING</t>
        </is>
      </c>
      <c r="DX500" s="40" t="inlineStr">
        <is>
          <t>CHOOSE RATING</t>
        </is>
      </c>
      <c r="DY500" s="40" t="inlineStr">
        <is>
          <t>CHOOSE RATING</t>
        </is>
      </c>
      <c r="DZ500" s="53" t="inlineStr">
        <is>
          <t>CHOOSE RATING</t>
        </is>
      </c>
      <c r="EA500" s="54" t="inlineStr">
        <is>
          <t>Add the Tutor's Comment . . .</t>
        </is>
      </c>
      <c r="EB500" s="55" t="inlineStr">
        <is>
          <t>Choose Principals comment</t>
        </is>
      </c>
      <c r="EC500" s="56" t="n"/>
      <c r="ED500" s="57" t="inlineStr">
        <is>
          <t>Next Term Begins on Monday, 22nd September, 2025</t>
        </is>
      </c>
    </row>
    <row r="501" ht="30.6" customHeight="1" s="6">
      <c r="A501" s="18" t="n">
        <v>498</v>
      </c>
      <c r="B501" s="19" t="n"/>
      <c r="C501" s="20" t="n"/>
      <c r="D501" s="128" t="n"/>
      <c r="E501" s="21" t="n"/>
      <c r="F501" s="22" t="n"/>
      <c r="G501" s="22" t="n"/>
      <c r="H501" s="22" t="n"/>
      <c r="I501" s="26">
        <f>G501-H501</f>
        <v/>
      </c>
      <c r="J501" s="21" t="n"/>
      <c r="K501" s="21" t="n"/>
      <c r="L501" s="27">
        <f>SUM(J501:K501)</f>
        <v/>
      </c>
      <c r="M501" s="28" t="n"/>
      <c r="N501" s="28" t="n"/>
      <c r="O501" s="29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1" t="n"/>
      <c r="Q501" s="21" t="n"/>
      <c r="R501" s="27">
        <f>SUM(P501:Q501)</f>
        <v/>
      </c>
      <c r="S501" s="28" t="n"/>
      <c r="T501" s="28" t="n"/>
      <c r="U501" s="29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1" t="n"/>
      <c r="W501" s="21" t="n"/>
      <c r="X501" s="27">
        <f>SUM(V501:W501)</f>
        <v/>
      </c>
      <c r="Y501" s="28" t="n"/>
      <c r="Z501" s="28" t="n"/>
      <c r="AA501" s="29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1" t="n"/>
      <c r="AC501" s="21" t="n"/>
      <c r="AD501" s="27">
        <f>SUM(AB501:AC501)</f>
        <v/>
      </c>
      <c r="AE501" s="28" t="n"/>
      <c r="AF501" s="28" t="n"/>
      <c r="AG501" s="29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1" t="n"/>
      <c r="AI501" s="21" t="n"/>
      <c r="AJ501" s="27">
        <f>SUM(AH501:AI501)</f>
        <v/>
      </c>
      <c r="AK501" s="28" t="n"/>
      <c r="AL501" s="28" t="n"/>
      <c r="AM501" s="29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1" t="n"/>
      <c r="AO501" s="21" t="n"/>
      <c r="AP501" s="27">
        <f>SUM(AN501:AO501)</f>
        <v/>
      </c>
      <c r="AQ501" s="28" t="n"/>
      <c r="AR501" s="30" t="n"/>
      <c r="AS501" s="29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1" t="n"/>
      <c r="AU501" s="21" t="n"/>
      <c r="AV501" s="27">
        <f>SUM(AT501:AU501)</f>
        <v/>
      </c>
      <c r="AW501" s="28" t="n"/>
      <c r="AX501" s="30" t="n"/>
      <c r="AY501" s="29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1" t="n"/>
      <c r="BA501" s="21" t="n"/>
      <c r="BB501" s="27">
        <f>SUM(AZ501:BA501)</f>
        <v/>
      </c>
      <c r="BC501" s="28" t="n"/>
      <c r="BD501" s="28" t="n"/>
      <c r="BE501" s="29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1" t="n"/>
      <c r="BG501" s="21" t="n"/>
      <c r="BH501" s="27">
        <f>SUM(BF501:BG501)</f>
        <v/>
      </c>
      <c r="BI501" s="28" t="n"/>
      <c r="BJ501" s="28" t="n"/>
      <c r="BK501" s="29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1" t="n"/>
      <c r="BM501" s="21" t="n"/>
      <c r="BN501" s="27">
        <f>SUM(BL501:BM501)</f>
        <v/>
      </c>
      <c r="BO501" s="28" t="n"/>
      <c r="BP501" s="31" t="n"/>
      <c r="BQ501" s="29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1" t="n"/>
      <c r="BS501" s="21" t="n"/>
      <c r="BT501" s="27">
        <f>SUM(BR501:BS501)</f>
        <v/>
      </c>
      <c r="BU501" s="28" t="n"/>
      <c r="BV501" s="31" t="n"/>
      <c r="BW501" s="29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1" t="n"/>
      <c r="BY501" s="21" t="n"/>
      <c r="BZ501" s="27">
        <f>SUM(BX501:BY501)</f>
        <v/>
      </c>
      <c r="CA501" s="28" t="n"/>
      <c r="CB501" s="31" t="n"/>
      <c r="CC501" s="29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1" t="n"/>
      <c r="CE501" s="21" t="n"/>
      <c r="CF501" s="27">
        <f>SUM(CD501:CE501)</f>
        <v/>
      </c>
      <c r="CG501" s="28" t="n"/>
      <c r="CH501" s="31" t="n"/>
      <c r="CI501" s="29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1" t="n"/>
      <c r="CK501" s="21" t="n"/>
      <c r="CL501" s="27">
        <f>SUM(CJ501:CK501)</f>
        <v/>
      </c>
      <c r="CM501" s="28" t="n"/>
      <c r="CN501" s="31" t="n"/>
      <c r="CO501" s="29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1" t="n"/>
      <c r="CQ501" s="21" t="n"/>
      <c r="CR501" s="27">
        <f>SUM(CP501:CQ501)</f>
        <v/>
      </c>
      <c r="CS501" s="28" t="n"/>
      <c r="CT501" s="31" t="n"/>
      <c r="CU501" s="29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1" t="n"/>
      <c r="CW501" s="21" t="n"/>
      <c r="CX501" s="27">
        <f>SUM(CV501:CW501)</f>
        <v/>
      </c>
      <c r="CY501" s="28" t="n"/>
      <c r="CZ501" s="31" t="n"/>
      <c r="DA501" s="29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1" t="n"/>
      <c r="DC501" s="21" t="n"/>
      <c r="DD501" s="27">
        <f>SUM(DB501:DC501)</f>
        <v/>
      </c>
      <c r="DE501" s="28" t="n"/>
      <c r="DF501" s="31" t="n"/>
      <c r="DG501" s="29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34">
        <f>SUM(O501,U501,AA501,AG501,AM501,AS501,AY501,BE501,BK501,BQ501,BW501,CC501,CI501,CO501,CU501,DA501,DG501)</f>
        <v/>
      </c>
      <c r="DI501" s="39">
        <f>RANK(DH501,DH$4:DH$503)</f>
        <v/>
      </c>
      <c r="DJ501" s="40" t="inlineStr">
        <is>
          <t>CHOOSE RATING</t>
        </is>
      </c>
      <c r="DK501" s="40" t="inlineStr">
        <is>
          <t>CHOOSE RATING</t>
        </is>
      </c>
      <c r="DL501" s="40" t="inlineStr">
        <is>
          <t>CHOOSE RATING</t>
        </is>
      </c>
      <c r="DM501" s="40" t="inlineStr">
        <is>
          <t>CHOOSE RATING</t>
        </is>
      </c>
      <c r="DN501" s="40" t="inlineStr">
        <is>
          <t>CHOOSE RATING</t>
        </is>
      </c>
      <c r="DO501" s="40" t="inlineStr">
        <is>
          <t>CHOOSE RATING</t>
        </is>
      </c>
      <c r="DP501" s="40" t="inlineStr">
        <is>
          <t>CHOOSE RATING</t>
        </is>
      </c>
      <c r="DQ501" s="40" t="inlineStr">
        <is>
          <t>CHOOSE RATING</t>
        </is>
      </c>
      <c r="DR501" s="43" t="inlineStr">
        <is>
          <t>2024/2025</t>
        </is>
      </c>
      <c r="DS501" s="45" t="inlineStr">
        <is>
          <t>THIRD</t>
        </is>
      </c>
      <c r="DT501" s="40" t="inlineStr">
        <is>
          <t>CHOOSE RATING</t>
        </is>
      </c>
      <c r="DU501" s="40" t="inlineStr">
        <is>
          <t>CHOOSE RATING</t>
        </is>
      </c>
      <c r="DV501" s="40" t="inlineStr">
        <is>
          <t>CHOOSE RATING</t>
        </is>
      </c>
      <c r="DW501" s="40" t="inlineStr">
        <is>
          <t>CHOOSE RATING</t>
        </is>
      </c>
      <c r="DX501" s="40" t="inlineStr">
        <is>
          <t>CHOOSE RATING</t>
        </is>
      </c>
      <c r="DY501" s="40" t="inlineStr">
        <is>
          <t>CHOOSE RATING</t>
        </is>
      </c>
      <c r="DZ501" s="53" t="inlineStr">
        <is>
          <t>CHOOSE RATING</t>
        </is>
      </c>
      <c r="EA501" s="54" t="inlineStr">
        <is>
          <t>Add the Tutor's Comment . . .</t>
        </is>
      </c>
      <c r="EB501" s="55" t="inlineStr">
        <is>
          <t>Choose Principals comment</t>
        </is>
      </c>
      <c r="EC501" s="56" t="n"/>
      <c r="ED501" s="57" t="inlineStr">
        <is>
          <t>Next Term Begins on Monday, 22nd September, 2025</t>
        </is>
      </c>
    </row>
    <row r="502" ht="30.6" customHeight="1" s="6">
      <c r="A502" s="18" t="n">
        <v>499</v>
      </c>
      <c r="B502" s="19" t="n"/>
      <c r="C502" s="20" t="n"/>
      <c r="D502" s="128" t="n"/>
      <c r="E502" s="21" t="n"/>
      <c r="F502" s="22" t="n"/>
      <c r="G502" s="22" t="n"/>
      <c r="H502" s="22" t="n"/>
      <c r="I502" s="26">
        <f>G502-H502</f>
        <v/>
      </c>
      <c r="J502" s="21" t="n"/>
      <c r="K502" s="21" t="n"/>
      <c r="L502" s="27">
        <f>SUM(J502:K502)</f>
        <v/>
      </c>
      <c r="M502" s="28" t="n"/>
      <c r="N502" s="28" t="n"/>
      <c r="O502" s="29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1" t="n"/>
      <c r="Q502" s="21" t="n"/>
      <c r="R502" s="27">
        <f>SUM(P502:Q502)</f>
        <v/>
      </c>
      <c r="S502" s="28" t="n"/>
      <c r="T502" s="28" t="n"/>
      <c r="U502" s="29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1" t="n"/>
      <c r="W502" s="21" t="n"/>
      <c r="X502" s="27">
        <f>SUM(V502:W502)</f>
        <v/>
      </c>
      <c r="Y502" s="28" t="n"/>
      <c r="Z502" s="28" t="n"/>
      <c r="AA502" s="29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1" t="n"/>
      <c r="AC502" s="21" t="n"/>
      <c r="AD502" s="27">
        <f>SUM(AB502:AC502)</f>
        <v/>
      </c>
      <c r="AE502" s="28" t="n"/>
      <c r="AF502" s="28" t="n"/>
      <c r="AG502" s="29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1" t="n"/>
      <c r="AI502" s="21" t="n"/>
      <c r="AJ502" s="27">
        <f>SUM(AH502:AI502)</f>
        <v/>
      </c>
      <c r="AK502" s="28" t="n"/>
      <c r="AL502" s="28" t="n"/>
      <c r="AM502" s="29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1" t="n"/>
      <c r="AO502" s="21" t="n"/>
      <c r="AP502" s="27">
        <f>SUM(AN502:AO502)</f>
        <v/>
      </c>
      <c r="AQ502" s="28" t="n"/>
      <c r="AR502" s="30" t="n"/>
      <c r="AS502" s="29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1" t="n"/>
      <c r="AU502" s="21" t="n"/>
      <c r="AV502" s="27">
        <f>SUM(AT502:AU502)</f>
        <v/>
      </c>
      <c r="AW502" s="28" t="n"/>
      <c r="AX502" s="30" t="n"/>
      <c r="AY502" s="29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1" t="n"/>
      <c r="BA502" s="21" t="n"/>
      <c r="BB502" s="27">
        <f>SUM(AZ502:BA502)</f>
        <v/>
      </c>
      <c r="BC502" s="28" t="n"/>
      <c r="BD502" s="28" t="n"/>
      <c r="BE502" s="29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1" t="n"/>
      <c r="BG502" s="21" t="n"/>
      <c r="BH502" s="27">
        <f>SUM(BF502:BG502)</f>
        <v/>
      </c>
      <c r="BI502" s="28" t="n"/>
      <c r="BJ502" s="28" t="n"/>
      <c r="BK502" s="29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1" t="n"/>
      <c r="BM502" s="21" t="n"/>
      <c r="BN502" s="27">
        <f>SUM(BL502:BM502)</f>
        <v/>
      </c>
      <c r="BO502" s="28" t="n"/>
      <c r="BP502" s="31" t="n"/>
      <c r="BQ502" s="29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1" t="n"/>
      <c r="BS502" s="21" t="n"/>
      <c r="BT502" s="27">
        <f>SUM(BR502:BS502)</f>
        <v/>
      </c>
      <c r="BU502" s="28" t="n"/>
      <c r="BV502" s="31" t="n"/>
      <c r="BW502" s="29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1" t="n"/>
      <c r="BY502" s="21" t="n"/>
      <c r="BZ502" s="27">
        <f>SUM(BX502:BY502)</f>
        <v/>
      </c>
      <c r="CA502" s="28" t="n"/>
      <c r="CB502" s="31" t="n"/>
      <c r="CC502" s="29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1" t="n"/>
      <c r="CE502" s="21" t="n"/>
      <c r="CF502" s="27">
        <f>SUM(CD502:CE502)</f>
        <v/>
      </c>
      <c r="CG502" s="28" t="n"/>
      <c r="CH502" s="31" t="n"/>
      <c r="CI502" s="29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1" t="n"/>
      <c r="CK502" s="21" t="n"/>
      <c r="CL502" s="27">
        <f>SUM(CJ502:CK502)</f>
        <v/>
      </c>
      <c r="CM502" s="28" t="n"/>
      <c r="CN502" s="31" t="n"/>
      <c r="CO502" s="29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1" t="n"/>
      <c r="CQ502" s="21" t="n"/>
      <c r="CR502" s="27">
        <f>SUM(CP502:CQ502)</f>
        <v/>
      </c>
      <c r="CS502" s="28" t="n"/>
      <c r="CT502" s="31" t="n"/>
      <c r="CU502" s="29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1" t="n"/>
      <c r="CW502" s="21" t="n"/>
      <c r="CX502" s="27">
        <f>SUM(CV502:CW502)</f>
        <v/>
      </c>
      <c r="CY502" s="28" t="n"/>
      <c r="CZ502" s="31" t="n"/>
      <c r="DA502" s="29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1" t="n"/>
      <c r="DC502" s="21" t="n"/>
      <c r="DD502" s="27">
        <f>SUM(DB502:DC502)</f>
        <v/>
      </c>
      <c r="DE502" s="28" t="n"/>
      <c r="DF502" s="31" t="n"/>
      <c r="DG502" s="29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34">
        <f>SUM(O502,U502,AA502,AG502,AM502,AS502,AY502,BE502,BK502,BQ502,BW502,CC502,CI502,CO502,CU502,DA502,DG502)</f>
        <v/>
      </c>
      <c r="DI502" s="39">
        <f>RANK(DH502,DH$4:DH$503)</f>
        <v/>
      </c>
      <c r="DJ502" s="40" t="inlineStr">
        <is>
          <t>CHOOSE RATING</t>
        </is>
      </c>
      <c r="DK502" s="40" t="inlineStr">
        <is>
          <t>CHOOSE RATING</t>
        </is>
      </c>
      <c r="DL502" s="40" t="inlineStr">
        <is>
          <t>CHOOSE RATING</t>
        </is>
      </c>
      <c r="DM502" s="40" t="inlineStr">
        <is>
          <t>CHOOSE RATING</t>
        </is>
      </c>
      <c r="DN502" s="40" t="inlineStr">
        <is>
          <t>CHOOSE RATING</t>
        </is>
      </c>
      <c r="DO502" s="40" t="inlineStr">
        <is>
          <t>CHOOSE RATING</t>
        </is>
      </c>
      <c r="DP502" s="40" t="inlineStr">
        <is>
          <t>CHOOSE RATING</t>
        </is>
      </c>
      <c r="DQ502" s="40" t="inlineStr">
        <is>
          <t>CHOOSE RATING</t>
        </is>
      </c>
      <c r="DR502" s="43" t="inlineStr">
        <is>
          <t>2024/2025</t>
        </is>
      </c>
      <c r="DS502" s="45" t="inlineStr">
        <is>
          <t>THIRD</t>
        </is>
      </c>
      <c r="DT502" s="40" t="inlineStr">
        <is>
          <t>CHOOSE RATING</t>
        </is>
      </c>
      <c r="DU502" s="40" t="inlineStr">
        <is>
          <t>CHOOSE RATING</t>
        </is>
      </c>
      <c r="DV502" s="40" t="inlineStr">
        <is>
          <t>CHOOSE RATING</t>
        </is>
      </c>
      <c r="DW502" s="40" t="inlineStr">
        <is>
          <t>CHOOSE RATING</t>
        </is>
      </c>
      <c r="DX502" s="40" t="inlineStr">
        <is>
          <t>CHOOSE RATING</t>
        </is>
      </c>
      <c r="DY502" s="40" t="inlineStr">
        <is>
          <t>CHOOSE RATING</t>
        </is>
      </c>
      <c r="DZ502" s="53" t="inlineStr">
        <is>
          <t>CHOOSE RATING</t>
        </is>
      </c>
      <c r="EA502" s="54" t="inlineStr">
        <is>
          <t>Add the Tutor's Comment . . .</t>
        </is>
      </c>
      <c r="EB502" s="55" t="inlineStr">
        <is>
          <t>Choose Principals comment</t>
        </is>
      </c>
      <c r="EC502" s="56" t="n"/>
      <c r="ED502" s="57" t="inlineStr">
        <is>
          <t>Next Term Begins on Monday, 22nd September, 2025</t>
        </is>
      </c>
    </row>
    <row r="503" ht="30.6" customHeight="1" s="6">
      <c r="A503" s="18" t="n">
        <v>500</v>
      </c>
      <c r="B503" s="19" t="n"/>
      <c r="C503" s="20" t="n"/>
      <c r="D503" s="128" t="n"/>
      <c r="E503" s="21" t="n"/>
      <c r="F503" s="22" t="n"/>
      <c r="G503" s="22" t="n"/>
      <c r="H503" s="22" t="n"/>
      <c r="I503" s="26">
        <f>G503-H503</f>
        <v/>
      </c>
      <c r="J503" s="21" t="n"/>
      <c r="K503" s="21" t="n"/>
      <c r="L503" s="27">
        <f>SUM(J503:K503)</f>
        <v/>
      </c>
      <c r="M503" s="28" t="n"/>
      <c r="N503" s="28" t="n"/>
      <c r="O503" s="29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1" t="n"/>
      <c r="Q503" s="21" t="n"/>
      <c r="R503" s="27">
        <f>SUM(P503:Q503)</f>
        <v/>
      </c>
      <c r="S503" s="28" t="n"/>
      <c r="T503" s="28" t="n"/>
      <c r="U503" s="29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1" t="n"/>
      <c r="W503" s="21" t="n"/>
      <c r="X503" s="27">
        <f>SUM(V503:W503)</f>
        <v/>
      </c>
      <c r="Y503" s="28" t="n"/>
      <c r="Z503" s="28" t="n"/>
      <c r="AA503" s="29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1" t="n"/>
      <c r="AC503" s="21" t="n"/>
      <c r="AD503" s="27">
        <f>SUM(AB503:AC503)</f>
        <v/>
      </c>
      <c r="AE503" s="28" t="n"/>
      <c r="AF503" s="28" t="n"/>
      <c r="AG503" s="29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1" t="n"/>
      <c r="AI503" s="21" t="n"/>
      <c r="AJ503" s="27">
        <f>SUM(AH503:AI503)</f>
        <v/>
      </c>
      <c r="AK503" s="28" t="n"/>
      <c r="AL503" s="28" t="n"/>
      <c r="AM503" s="29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1" t="n"/>
      <c r="AO503" s="21" t="n"/>
      <c r="AP503" s="27">
        <f>SUM(AN503:AO503)</f>
        <v/>
      </c>
      <c r="AQ503" s="28" t="n"/>
      <c r="AR503" s="30" t="n"/>
      <c r="AS503" s="29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1" t="n"/>
      <c r="AU503" s="21" t="n"/>
      <c r="AV503" s="27">
        <f>SUM(AT503:AU503)</f>
        <v/>
      </c>
      <c r="AW503" s="28" t="n"/>
      <c r="AX503" s="30" t="n"/>
      <c r="AY503" s="29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1" t="n"/>
      <c r="BA503" s="21" t="n"/>
      <c r="BB503" s="27">
        <f>SUM(AZ503:BA503)</f>
        <v/>
      </c>
      <c r="BC503" s="28" t="n"/>
      <c r="BD503" s="28" t="n"/>
      <c r="BE503" s="29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1" t="n"/>
      <c r="BG503" s="21" t="n"/>
      <c r="BH503" s="27">
        <f>SUM(BF503:BG503)</f>
        <v/>
      </c>
      <c r="BI503" s="28" t="n"/>
      <c r="BJ503" s="28" t="n"/>
      <c r="BK503" s="29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1" t="n"/>
      <c r="BM503" s="21" t="n"/>
      <c r="BN503" s="27">
        <f>SUM(BL503:BM503)</f>
        <v/>
      </c>
      <c r="BO503" s="28" t="n"/>
      <c r="BP503" s="31" t="n"/>
      <c r="BQ503" s="29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1" t="n"/>
      <c r="BS503" s="21" t="n"/>
      <c r="BT503" s="27">
        <f>SUM(BR503:BS503)</f>
        <v/>
      </c>
      <c r="BU503" s="28" t="n"/>
      <c r="BV503" s="31" t="n"/>
      <c r="BW503" s="29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1" t="n"/>
      <c r="BY503" s="21" t="n"/>
      <c r="BZ503" s="27">
        <f>SUM(BX503:BY503)</f>
        <v/>
      </c>
      <c r="CA503" s="28" t="n"/>
      <c r="CB503" s="31" t="n"/>
      <c r="CC503" s="29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1" t="n"/>
      <c r="CE503" s="21" t="n"/>
      <c r="CF503" s="27">
        <f>SUM(CD503:CE503)</f>
        <v/>
      </c>
      <c r="CG503" s="28" t="n"/>
      <c r="CH503" s="31" t="n"/>
      <c r="CI503" s="29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1" t="n"/>
      <c r="CK503" s="21" t="n"/>
      <c r="CL503" s="27">
        <f>SUM(CJ503:CK503)</f>
        <v/>
      </c>
      <c r="CM503" s="28" t="n"/>
      <c r="CN503" s="31" t="n"/>
      <c r="CO503" s="29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1" t="n"/>
      <c r="CQ503" s="21" t="n"/>
      <c r="CR503" s="27">
        <f>SUM(CP503:CQ503)</f>
        <v/>
      </c>
      <c r="CS503" s="28" t="n"/>
      <c r="CT503" s="31" t="n"/>
      <c r="CU503" s="29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1" t="n"/>
      <c r="CW503" s="21" t="n"/>
      <c r="CX503" s="27">
        <f>SUM(CV503:CW503)</f>
        <v/>
      </c>
      <c r="CY503" s="28" t="n"/>
      <c r="CZ503" s="31" t="n"/>
      <c r="DA503" s="29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1" t="n"/>
      <c r="DC503" s="21" t="n"/>
      <c r="DD503" s="27">
        <f>SUM(DB503:DC503)</f>
        <v/>
      </c>
      <c r="DE503" s="28" t="n"/>
      <c r="DF503" s="31" t="n"/>
      <c r="DG503" s="29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34">
        <f>SUM(O503,U503,AA503,AG503,AM503,AS503,AY503,BE503,BK503,BQ503,BW503,CC503,CI503,CO503,CU503,DA503,DG503)</f>
        <v/>
      </c>
      <c r="DI503" s="39">
        <f>RANK(DH503,DH$4:DH$503)</f>
        <v/>
      </c>
      <c r="DJ503" s="40" t="inlineStr">
        <is>
          <t>CHOOSE RATING</t>
        </is>
      </c>
      <c r="DK503" s="40" t="inlineStr">
        <is>
          <t>CHOOSE RATING</t>
        </is>
      </c>
      <c r="DL503" s="40" t="inlineStr">
        <is>
          <t>CHOOSE RATING</t>
        </is>
      </c>
      <c r="DM503" s="40" t="inlineStr">
        <is>
          <t>CHOOSE RATING</t>
        </is>
      </c>
      <c r="DN503" s="40" t="inlineStr">
        <is>
          <t>CHOOSE RATING</t>
        </is>
      </c>
      <c r="DO503" s="40" t="inlineStr">
        <is>
          <t>CHOOSE RATING</t>
        </is>
      </c>
      <c r="DP503" s="40" t="inlineStr">
        <is>
          <t>CHOOSE RATING</t>
        </is>
      </c>
      <c r="DQ503" s="40" t="inlineStr">
        <is>
          <t>CHOOSE RATING</t>
        </is>
      </c>
      <c r="DR503" s="43" t="inlineStr">
        <is>
          <t>2024/2025</t>
        </is>
      </c>
      <c r="DS503" s="45" t="inlineStr">
        <is>
          <t>THIRD</t>
        </is>
      </c>
      <c r="DT503" s="40" t="inlineStr">
        <is>
          <t>CHOOSE RATING</t>
        </is>
      </c>
      <c r="DU503" s="40" t="inlineStr">
        <is>
          <t>CHOOSE RATING</t>
        </is>
      </c>
      <c r="DV503" s="40" t="inlineStr">
        <is>
          <t>CHOOSE RATING</t>
        </is>
      </c>
      <c r="DW503" s="40" t="inlineStr">
        <is>
          <t>CHOOSE RATING</t>
        </is>
      </c>
      <c r="DX503" s="40" t="inlineStr">
        <is>
          <t>CHOOSE RATING</t>
        </is>
      </c>
      <c r="DY503" s="40" t="inlineStr">
        <is>
          <t>CHOOSE RATING</t>
        </is>
      </c>
      <c r="DZ503" s="53" t="inlineStr">
        <is>
          <t>CHOOSE RATING</t>
        </is>
      </c>
      <c r="EA503" s="54" t="inlineStr">
        <is>
          <t>Add the Tutor's Comment . . .</t>
        </is>
      </c>
      <c r="EB503" s="55" t="inlineStr">
        <is>
          <t>Choose Principals comment</t>
        </is>
      </c>
      <c r="EC503" s="56" t="n"/>
      <c r="ED503" s="57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7">
    <dataValidation sqref="J4:J503 P4:P503 V4:V503 AB4:AB503 AH4:AH503 AT4:AT503 AZ4:AZ503 BF4:BF503 BL4:BL503 BR4:BR503 BX4:BX503 CD4:CD503 CJ4:CJ503 CP4:CP503 CV4:CV503 DB4:DB503" showDropDown="0" showInputMessage="1" showErrorMessage="1" allowBlank="1" type="whole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>
      <formula1>0</formula1>
      <formula2>100</formula2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2" sqref="A2:B23"/>
    </sheetView>
  </sheetViews>
  <sheetFormatPr baseColWidth="8" defaultColWidth="9" defaultRowHeight="15"/>
  <cols>
    <col width="59.140625" customWidth="1" style="6" min="1" max="1"/>
    <col width="20.42578125" customWidth="1" style="6" min="2" max="2"/>
  </cols>
  <sheetData>
    <row r="1">
      <c r="A1" s="1" t="n">
        <v>1</v>
      </c>
    </row>
    <row r="2">
      <c r="A2" s="1" t="inlineStr">
        <is>
          <t>Add the Tutor's Comment . . .</t>
        </is>
      </c>
    </row>
    <row r="3">
      <c r="A3" s="2" t="inlineStr">
        <is>
          <t>Shows consistent effort and improvement in academic work.</t>
        </is>
      </c>
      <c r="B3" s="3" t="inlineStr">
        <is>
          <t>Academic Performance</t>
        </is>
      </c>
    </row>
    <row r="4">
      <c r="A4" s="2" t="inlineStr">
        <is>
          <t>Excels in most subjects and demonstrates a strong grasp of concepts.</t>
        </is>
      </c>
    </row>
    <row r="5">
      <c r="A5" s="2" t="inlineStr">
        <is>
          <t>Needs to focus more during lessons to achieve full potential.</t>
        </is>
      </c>
    </row>
    <row r="6">
      <c r="A6" s="2" t="inlineStr">
        <is>
          <t>Completes assignments on time and with care.</t>
        </is>
      </c>
    </row>
    <row r="7">
      <c r="A7" s="2" t="inlineStr">
        <is>
          <t>Requires additional support in understanding key concepts.</t>
        </is>
      </c>
    </row>
    <row r="8">
      <c r="A8" s="2" t="inlineStr">
        <is>
          <t>Demonstrates a positive attitude and respect for rules.</t>
        </is>
      </c>
      <c r="B8" s="3" t="inlineStr">
        <is>
          <t>Behavior and Discipline</t>
        </is>
      </c>
    </row>
    <row r="9">
      <c r="A9" s="2" t="inlineStr">
        <is>
          <t>Consistently well-behaved and sets a good example for peers.</t>
        </is>
      </c>
    </row>
    <row r="10">
      <c r="A10" s="2" t="inlineStr">
        <is>
          <t>Needs reminders to stay on task and avoid distractions.</t>
        </is>
      </c>
    </row>
    <row r="11">
      <c r="A11" s="2" t="inlineStr">
        <is>
          <t>Generally polite and courteous to staff and classmates.</t>
        </is>
      </c>
    </row>
    <row r="12">
      <c r="A12" s="2" t="inlineStr">
        <is>
          <t>Should work on controlling impulsive behavior in class.</t>
        </is>
      </c>
    </row>
    <row r="13">
      <c r="A13" s="2" t="inlineStr">
        <is>
          <t>Actively participates in class discussions and group work.</t>
        </is>
      </c>
      <c r="B13" s="4" t="inlineStr">
        <is>
          <t>Class Participation</t>
        </is>
      </c>
    </row>
    <row r="14">
      <c r="A14" s="2" t="inlineStr">
        <is>
          <t>Often contributes thoughtful questions and ideas.</t>
        </is>
      </c>
    </row>
    <row r="15">
      <c r="A15" s="2" t="inlineStr">
        <is>
          <t>Is a quiet student but attentive and engaged.</t>
        </is>
      </c>
    </row>
    <row r="16">
      <c r="A16" s="2" t="inlineStr">
        <is>
          <t>Needs encouragement to speak up and participate more actively.</t>
        </is>
      </c>
    </row>
    <row r="17">
      <c r="A17" s="2" t="inlineStr">
        <is>
          <t>Prefers working independently but collaborates when needed.</t>
        </is>
      </c>
    </row>
    <row r="18">
      <c r="A18" s="2" t="inlineStr">
        <is>
          <t>Shows leadership qualities and a willingness to help others.</t>
        </is>
      </c>
      <c r="B18" s="3" t="inlineStr">
        <is>
          <t>Personal Development</t>
        </is>
      </c>
    </row>
    <row r="19">
      <c r="A19" s="2" t="inlineStr">
        <is>
          <t>Demonstrates responsibility and independence in managing tasks.</t>
        </is>
      </c>
    </row>
    <row r="20">
      <c r="A20" s="2" t="inlineStr">
        <is>
          <t>He is developing greater self-confidence and resilience.</t>
        </is>
      </c>
    </row>
    <row r="21">
      <c r="A21" s="2" t="inlineStr">
        <is>
          <t>She is developing greater self-confidence and resilience.</t>
        </is>
      </c>
    </row>
    <row r="22">
      <c r="A22" s="2" t="inlineStr">
        <is>
          <t>Sometimes struggles with self-motivation, but shows potential.</t>
        </is>
      </c>
    </row>
    <row r="23">
      <c r="A23" s="2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2025-08-08T18:22:11Z</dcterms:modified>
  <cp:lastModifiedBy>LENOVO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