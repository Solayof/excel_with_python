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2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37437055574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3743705557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53" fillId="0" borderId="0"/>
    <xf numFmtId="9" fontId="53" fillId="0" borderId="0"/>
  </cellStyleXfs>
  <cellXfs count="20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0" fillId="0" borderId="14" applyProtection="1" pivotButton="0" quotePrefix="0" xfId="0"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36" fillId="0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7" fillId="0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0" fillId="0" borderId="24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47" fillId="0" borderId="37" applyAlignment="1" pivotButton="0" quotePrefix="0" xfId="0">
      <alignment horizontal="center" vertical="center" wrapText="1"/>
    </xf>
    <xf numFmtId="0" fontId="0" fillId="0" borderId="20" pivotButton="0" quotePrefix="0" xfId="0"/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38" fillId="0" borderId="1" applyAlignment="1" pivotButton="0" quotePrefix="0" xfId="0">
      <alignment horizontal="center" vertical="center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34" fillId="0" borderId="1" applyAlignment="1" pivotButton="0" quotePrefix="0" xfId="0">
      <alignment horizontal="center" vertical="center" wrapText="1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25400</colOff>
      <row>4</row>
      <rowOff>25400</rowOff>
    </from>
    <to>
      <col>11</col>
      <colOff>1409700</colOff>
      <row>6</row>
      <rowOff>292100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87300" y="990600"/>
          <a:ext cx="1384300" cy="14986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1269999</colOff>
      <row>43</row>
      <rowOff>25401</rowOff>
    </from>
    <to>
      <col>4</col>
      <colOff>1130300</colOff>
      <row>43</row>
      <rowOff>736600</rowOff>
    </to>
    <pic>
      <nvPicPr>
        <cNvPr id="3" name="Picture 2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4076699" y="18161001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opLeftCell="A37" workbookViewId="0">
      <selection activeCell="V14" sqref="V14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B8" sqref="B8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5"/>
    <col width="8.7109375" customWidth="1" style="62" min="66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80" t="n"/>
      <c r="C5" s="161" t="n"/>
      <c r="D5" s="186" t="inlineStr">
        <is>
          <t>OYO STATE MINISTRY OF EDUCATION, SCIENCE AND TECHNOLOGY</t>
        </is>
      </c>
      <c r="E5" s="141" t="n"/>
      <c r="F5" s="141" t="n"/>
      <c r="G5" s="141" t="n"/>
      <c r="H5" s="141" t="n"/>
      <c r="I5" s="141" t="n"/>
      <c r="J5" s="141" t="n"/>
      <c r="K5" s="151" t="n"/>
      <c r="L5" s="188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81" t="n"/>
      <c r="C6" s="182" t="n"/>
      <c r="D6" s="157" t="inlineStr">
        <is>
          <t>COMPREHENSIVE HIGH SCHOOL, IGBOPE</t>
        </is>
      </c>
      <c r="E6" s="141" t="n"/>
      <c r="F6" s="141" t="n"/>
      <c r="G6" s="141" t="n"/>
      <c r="H6" s="141" t="n"/>
      <c r="I6" s="141" t="n"/>
      <c r="J6" s="141" t="n"/>
      <c r="K6" s="151" t="n"/>
      <c r="L6" s="189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83" t="n"/>
      <c r="C7" s="184" t="n"/>
      <c r="D7" s="173" t="inlineStr">
        <is>
          <t>STUDENT REPORT CARD</t>
        </is>
      </c>
      <c r="E7" s="141" t="n"/>
      <c r="F7" s="141" t="n"/>
      <c r="G7" s="141" t="n"/>
      <c r="H7" s="141" t="n"/>
      <c r="I7" s="141" t="n"/>
      <c r="J7" s="141" t="n"/>
      <c r="K7" s="151" t="n"/>
      <c r="L7" s="138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38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65">
        <f>VLOOKUP(B8,Db!A4:B503,2,0)</f>
        <v/>
      </c>
      <c r="E8" s="156" t="n"/>
      <c r="F8" s="148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78" t="inlineStr">
        <is>
          <t>Number of Subjects Offered:</t>
        </is>
      </c>
      <c r="C9" s="141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78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76" t="inlineStr">
        <is>
          <t xml:space="preserve">No of Times School Opened: </t>
        </is>
      </c>
      <c r="C10" s="141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59" t="inlineStr">
        <is>
          <t>COGNITIVE (ACADEMIC PERFORMANCE)</t>
        </is>
      </c>
      <c r="C11" s="141" t="n"/>
      <c r="D11" s="141" t="n"/>
      <c r="E11" s="141" t="n"/>
      <c r="F11" s="141" t="n"/>
      <c r="G11" s="141" t="n"/>
      <c r="H11" s="141" t="n"/>
      <c r="I11" s="141" t="n"/>
      <c r="J11" s="141" t="n"/>
      <c r="K11" s="141" t="n"/>
      <c r="L11" s="151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37" t="inlineStr">
        <is>
          <t>S/NO</t>
        </is>
      </c>
      <c r="C12" s="158" t="inlineStr">
        <is>
          <t>Subject</t>
        </is>
      </c>
      <c r="D12" s="163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59" t="inlineStr">
        <is>
          <t>Total Mark</t>
        </is>
      </c>
      <c r="H12" s="141" t="n"/>
      <c r="I12" s="141" t="n"/>
      <c r="J12" s="151" t="n"/>
      <c r="K12" s="162" t="inlineStr">
        <is>
          <t>Grade Obtained</t>
        </is>
      </c>
      <c r="L12" s="139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38" t="n"/>
      <c r="C13" s="138" t="n"/>
      <c r="D13" s="138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38" t="n"/>
      <c r="L13" s="138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40" t="inlineStr">
        <is>
          <t xml:space="preserve">TOTAL MARKS OBTAINABLE:                         </t>
        </is>
      </c>
      <c r="C31" s="141" t="n"/>
      <c r="D31" s="84">
        <f>SUM(D14:D30)</f>
        <v/>
      </c>
      <c r="E31" s="85" t="n"/>
      <c r="F31" s="85" t="n"/>
      <c r="G31" s="85" t="n"/>
      <c r="H31" s="142" t="inlineStr">
        <is>
          <t xml:space="preserve">TOTAL MARKS    OBTAINED:                                               </t>
        </is>
      </c>
      <c r="I31" s="143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87" t="inlineStr">
        <is>
          <t>GRADE INTERPRETATION :::      A: DISTINCTION               C: CREDIT               P: PASS               F: FAIL</t>
        </is>
      </c>
      <c r="C32" s="141" t="n"/>
      <c r="D32" s="141" t="n"/>
      <c r="E32" s="141" t="n"/>
      <c r="F32" s="141" t="n"/>
      <c r="G32" s="141" t="n"/>
      <c r="H32" s="141" t="n"/>
      <c r="I32" s="141" t="n"/>
      <c r="J32" s="141" t="n"/>
      <c r="K32" s="141" t="n"/>
      <c r="L32" s="151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79" t="inlineStr">
        <is>
          <t>BEHAVIOURAL (AFFECTIVE DOMAIN)</t>
        </is>
      </c>
      <c r="C33" s="141" t="n"/>
      <c r="D33" s="141" t="n"/>
      <c r="E33" s="141" t="n"/>
      <c r="F33" s="141" t="n"/>
      <c r="G33" s="141" t="n"/>
      <c r="H33" s="141" t="n"/>
      <c r="I33" s="141" t="n"/>
      <c r="J33" s="141" t="n"/>
      <c r="K33" s="141" t="n"/>
      <c r="L33" s="151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75" t="inlineStr">
        <is>
          <t>PUNCTUALITY</t>
        </is>
      </c>
      <c r="C34" s="151" t="n"/>
      <c r="D34" s="175" t="inlineStr">
        <is>
          <t>NEATNESS</t>
        </is>
      </c>
      <c r="E34" s="175" t="inlineStr">
        <is>
          <t>ATTENTIVENESS</t>
        </is>
      </c>
      <c r="F34" s="175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90">
        <f>VLOOKUP(B8,Db!A4:DJ503,114,0)</f>
        <v/>
      </c>
      <c r="C35" s="148" t="n"/>
      <c r="D35" s="190">
        <f>VLOOKUP(B8,Db!A4:DK503,115,0)</f>
        <v/>
      </c>
      <c r="E35" s="190">
        <f>VLOOKUP(B8,Db!A4:DL503,116,0)</f>
        <v/>
      </c>
      <c r="F35" s="190">
        <f>VLOOKUP(B8,Db!A4:DM503,117,0)</f>
        <v/>
      </c>
      <c r="G35" s="152">
        <f>VLOOKUP(B8,Db!A4:DN503,118,0)</f>
        <v/>
      </c>
      <c r="H35" s="190">
        <f>VLOOKUP(B8,Db!A4:DO503,119,0)</f>
        <v/>
      </c>
      <c r="I35" s="190">
        <f>VLOOKUP(B8,Db!A4:DP503,120,0)</f>
        <v/>
      </c>
      <c r="J35" s="190">
        <f>VLOOKUP(B8,Db!A4:DQ503,121,0)</f>
        <v/>
      </c>
      <c r="K35" s="149" t="inlineStr">
        <is>
          <t xml:space="preserve"> SCORE OBTAINED </t>
        </is>
      </c>
      <c r="L35" s="169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85">
        <f>IF(B35="EXCELLENT(5)",5,IF(B35="GOOD(4)",4,IF(B35="AVERAGE(3)",3,IF(B35="BELOW AVERAGE(2)",2,IF(B35="FAIR(1)",1,"--")))))</f>
        <v/>
      </c>
      <c r="C36" s="148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38" t="n"/>
      <c r="L36" s="167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92" t="inlineStr">
        <is>
          <t>PSYCHOMOTOR DOMAIN</t>
        </is>
      </c>
      <c r="C37" s="193" t="n"/>
      <c r="D37" s="193" t="n"/>
      <c r="E37" s="193" t="n"/>
      <c r="F37" s="193" t="n"/>
      <c r="G37" s="193" t="n"/>
      <c r="H37" s="193" t="n"/>
      <c r="I37" s="193" t="n"/>
      <c r="J37" s="193" t="n"/>
      <c r="K37" s="193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70" t="inlineStr">
        <is>
          <t>CRAFTS/DRAWING &amp; PAINTING</t>
        </is>
      </c>
      <c r="C38" s="151" t="n"/>
      <c r="D38" s="170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35" t="inlineStr">
        <is>
          <t>CREATIVITY &amp; INITIATIVE</t>
        </is>
      </c>
      <c r="I38" s="136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52">
        <f>VLOOKUP(B8,Db!A4:DT503,124,0)</f>
        <v/>
      </c>
      <c r="C39" s="148" t="n"/>
      <c r="D39" s="152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53">
        <f>VLOOKUP(B8,Db!A4:DY503,129,0)</f>
        <v/>
      </c>
      <c r="I39" s="154" t="n"/>
      <c r="J39" s="91">
        <f>VLOOKUP(B8,Db!A4:DZ503,130,0)</f>
        <v/>
      </c>
      <c r="K39" s="164" t="inlineStr">
        <is>
          <t xml:space="preserve"> SCORE OBTAINED </t>
        </is>
      </c>
      <c r="L39" s="166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47">
        <f>IF(B39="EXCELLENT(5)",5,IF(B39="GOOD(4)",4,IF(B39="AVERAGE(3)",3,IF(B39="BELOW AVERAGE(2)",2,IF(B39="FAIR(1)",1,"--")))))</f>
        <v/>
      </c>
      <c r="C40" s="148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47">
        <f>IF(H39="EXCELLENT(5)",5,IF(H39="GOOD(4)",4,IF(H39="AVERAGE(3)",3,IF(H39="BELOW AVERAGE(2)",2,IF(H39="FAIR(1)",1,"--")))))</f>
        <v/>
      </c>
      <c r="I40" s="148" t="n"/>
      <c r="J40" s="92">
        <f>IF(J39="EXCELLENT(5)",5,IF(J39="GOOD(4)",4,IF(J39="AVERAGE(3)",3,IF(J39="BELOW AVERAGE(2)",2,IF(J39="FAIR(1)",1,"--")))))</f>
        <v/>
      </c>
      <c r="K40" s="138" t="n"/>
      <c r="L40" s="167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87" t="inlineStr">
        <is>
          <t>NON-COGNITIVE ASPECTS RATING KEYS: 5-Excellent        4-Good         3-Average         2-Below Average          1-Fair</t>
        </is>
      </c>
      <c r="C41" s="141" t="n"/>
      <c r="D41" s="141" t="n"/>
      <c r="E41" s="141" t="n"/>
      <c r="F41" s="141" t="n"/>
      <c r="G41" s="141" t="n"/>
      <c r="H41" s="141" t="n"/>
      <c r="I41" s="141" t="n"/>
      <c r="J41" s="141" t="n"/>
      <c r="K41" s="141" t="n"/>
      <c r="L41" s="151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0" t="inlineStr">
        <is>
          <t xml:space="preserve"> Class Tutor's Comment:                          </t>
        </is>
      </c>
      <c r="C42" s="161" t="n"/>
      <c r="D42" s="144">
        <f>VLOOKUP(B8,Db!A4:EA503,131,0)</f>
        <v/>
      </c>
      <c r="E42" s="145" t="n"/>
      <c r="F42" s="145" t="n"/>
      <c r="G42" s="146" t="n"/>
      <c r="H42" s="171" t="inlineStr">
        <is>
          <t>Class Tutor's  Name:</t>
        </is>
      </c>
      <c r="I42" s="191">
        <f>VLOOKUP(B8,Db!A4:EC503,133,0)</f>
        <v/>
      </c>
      <c r="J42" s="156" t="n"/>
      <c r="K42" s="156" t="n"/>
      <c r="L42" s="148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50" t="inlineStr">
        <is>
          <t xml:space="preserve">Principal´s Comment: </t>
        </is>
      </c>
      <c r="C43" s="151" t="n"/>
      <c r="D43" s="155">
        <f>VLOOKUP(B8,Db!A4:EB503,132,0)</f>
        <v/>
      </c>
      <c r="E43" s="156" t="n"/>
      <c r="F43" s="156" t="n"/>
      <c r="G43" s="156" t="n"/>
      <c r="H43" s="156" t="n"/>
      <c r="I43" s="148" t="n"/>
      <c r="J43" s="122" t="inlineStr">
        <is>
          <t>Parent Signature:</t>
        </is>
      </c>
      <c r="K43" s="172" t="n"/>
      <c r="L43" s="151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71" t="inlineStr">
        <is>
          <t>Principal´s Signature/Stamp:</t>
        </is>
      </c>
      <c r="C44" s="141" t="n"/>
      <c r="D44" s="177" t="n"/>
      <c r="E44" s="141" t="n"/>
      <c r="F44" s="141" t="n"/>
      <c r="G44" s="141" t="n"/>
      <c r="H44" s="141" t="n"/>
      <c r="I44" s="141" t="n"/>
      <c r="J44" s="141" t="n"/>
      <c r="K44" s="141" t="n"/>
      <c r="L44" s="151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74">
        <f>VLOOKUP(B8,Db!A4:ED503,134,0)</f>
        <v/>
      </c>
      <c r="C45" s="156" t="n"/>
      <c r="D45" s="156" t="n"/>
      <c r="E45" s="156" t="n"/>
      <c r="F45" s="156" t="n"/>
      <c r="G45" s="148" t="n"/>
      <c r="H45" s="94" t="n"/>
      <c r="I45" s="168" t="inlineStr">
        <is>
          <t>POWERED BY PLANNING, RESEARCH AND STATISTICS DEPARTMENT, EMIS UNIT</t>
        </is>
      </c>
      <c r="J45" s="141" t="n"/>
      <c r="K45" s="141" t="n"/>
      <c r="L45" s="151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B42:C42"/>
    <mergeCell ref="K12:K13"/>
    <mergeCell ref="G12:J1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topLeftCell="A28" zoomScaleNormal="100" workbookViewId="0">
      <pane xSplit="1" topLeftCell="B1" activePane="topRight" state="frozen"/>
      <selection pane="topRight" activeCell="H42" sqref="H42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205" t="inlineStr">
        <is>
          <t>General Mathematics</t>
        </is>
      </c>
      <c r="K2" s="195" t="n"/>
      <c r="L2" s="195" t="n"/>
      <c r="M2" s="195" t="n"/>
      <c r="N2" s="195" t="n"/>
      <c r="O2" s="196" t="n"/>
      <c r="P2" s="194" t="inlineStr">
        <is>
          <t>English Language</t>
        </is>
      </c>
      <c r="Q2" s="195" t="n"/>
      <c r="R2" s="195" t="n"/>
      <c r="S2" s="195" t="n"/>
      <c r="T2" s="195" t="n"/>
      <c r="U2" s="196" t="n"/>
      <c r="V2" s="198" t="inlineStr">
        <is>
          <t>Basic Science</t>
        </is>
      </c>
      <c r="W2" s="195" t="n"/>
      <c r="X2" s="195" t="n"/>
      <c r="Y2" s="195" t="n"/>
      <c r="Z2" s="195" t="n"/>
      <c r="AA2" s="196" t="n"/>
      <c r="AB2" s="197" t="inlineStr">
        <is>
          <t>Basic Technology</t>
        </is>
      </c>
      <c r="AC2" s="195" t="n"/>
      <c r="AD2" s="195" t="n"/>
      <c r="AE2" s="195" t="n"/>
      <c r="AF2" s="195" t="n"/>
      <c r="AG2" s="196" t="n"/>
      <c r="AH2" s="198" t="inlineStr">
        <is>
          <t>Business Studies</t>
        </is>
      </c>
      <c r="AI2" s="195" t="n"/>
      <c r="AJ2" s="195" t="n"/>
      <c r="AK2" s="195" t="n"/>
      <c r="AL2" s="195" t="n"/>
      <c r="AM2" s="196" t="n"/>
      <c r="AN2" s="197" t="inlineStr">
        <is>
          <t>CCA</t>
        </is>
      </c>
      <c r="AO2" s="195" t="n"/>
      <c r="AP2" s="195" t="n"/>
      <c r="AQ2" s="195" t="n"/>
      <c r="AR2" s="195" t="n"/>
      <c r="AS2" s="196" t="n"/>
      <c r="AT2" s="203" t="inlineStr">
        <is>
          <t>Social Studies</t>
        </is>
      </c>
      <c r="AU2" s="195" t="n"/>
      <c r="AV2" s="195" t="n"/>
      <c r="AW2" s="195" t="n"/>
      <c r="AX2" s="195" t="n"/>
      <c r="AY2" s="196" t="n"/>
      <c r="AZ2" s="204" t="inlineStr">
        <is>
          <t>Agriculture-Science</t>
        </is>
      </c>
      <c r="BA2" s="195" t="n"/>
      <c r="BB2" s="195" t="n"/>
      <c r="BC2" s="195" t="n"/>
      <c r="BD2" s="195" t="n"/>
      <c r="BE2" s="196" t="n"/>
      <c r="BF2" s="198" t="inlineStr">
        <is>
          <t>Yoruba</t>
        </is>
      </c>
      <c r="BG2" s="195" t="n"/>
      <c r="BH2" s="195" t="n"/>
      <c r="BI2" s="195" t="n"/>
      <c r="BJ2" s="195" t="n"/>
      <c r="BK2" s="196" t="n"/>
      <c r="BL2" s="197" t="inlineStr">
        <is>
          <t>PHE</t>
        </is>
      </c>
      <c r="BM2" s="195" t="n"/>
      <c r="BN2" s="195" t="n"/>
      <c r="BO2" s="195" t="n"/>
      <c r="BP2" s="195" t="n"/>
      <c r="BQ2" s="196" t="n"/>
      <c r="BR2" s="198" t="inlineStr">
        <is>
          <t>Home-Economics</t>
        </is>
      </c>
      <c r="BS2" s="195" t="n"/>
      <c r="BT2" s="195" t="n"/>
      <c r="BU2" s="195" t="n"/>
      <c r="BV2" s="195" t="n"/>
      <c r="BW2" s="196" t="n"/>
      <c r="BX2" s="197" t="inlineStr">
        <is>
          <t>Civic Education</t>
        </is>
      </c>
      <c r="BY2" s="195" t="n"/>
      <c r="BZ2" s="195" t="n"/>
      <c r="CA2" s="195" t="n"/>
      <c r="CB2" s="195" t="n"/>
      <c r="CC2" s="196" t="n"/>
      <c r="CD2" s="198" t="inlineStr">
        <is>
          <t>Computer Studies</t>
        </is>
      </c>
      <c r="CE2" s="195" t="n"/>
      <c r="CF2" s="195" t="n"/>
      <c r="CG2" s="195" t="n"/>
      <c r="CH2" s="195" t="n"/>
      <c r="CI2" s="196" t="n"/>
      <c r="CJ2" s="197" t="inlineStr">
        <is>
          <t>History</t>
        </is>
      </c>
      <c r="CK2" s="195" t="n"/>
      <c r="CL2" s="195" t="n"/>
      <c r="CM2" s="195" t="n"/>
      <c r="CN2" s="195" t="n"/>
      <c r="CO2" s="196" t="n"/>
      <c r="CP2" s="198" t="inlineStr">
        <is>
          <t>Islamic Studies</t>
        </is>
      </c>
      <c r="CQ2" s="195" t="n"/>
      <c r="CR2" s="195" t="n"/>
      <c r="CS2" s="195" t="n"/>
      <c r="CT2" s="195" t="n"/>
      <c r="CU2" s="196" t="n"/>
      <c r="CV2" s="197" t="inlineStr">
        <is>
          <t>C.R.S</t>
        </is>
      </c>
      <c r="CW2" s="195" t="n"/>
      <c r="CX2" s="195" t="n"/>
      <c r="CY2" s="195" t="n"/>
      <c r="CZ2" s="195" t="n"/>
      <c r="DA2" s="196" t="n"/>
      <c r="DB2" s="198" t="inlineStr">
        <is>
          <t>French</t>
        </is>
      </c>
      <c r="DC2" s="195" t="n"/>
      <c r="DD2" s="195" t="n"/>
      <c r="DE2" s="195" t="n"/>
      <c r="DF2" s="195" t="n"/>
      <c r="DG2" s="196" t="n"/>
      <c r="DH2" s="32" t="n"/>
      <c r="DI2" s="35" t="n"/>
      <c r="DJ2" s="199" t="inlineStr">
        <is>
          <t>AFFECTIVE DOMAIN</t>
        </is>
      </c>
      <c r="DK2" s="200" t="n"/>
      <c r="DL2" s="200" t="n"/>
      <c r="DM2" s="200" t="n"/>
      <c r="DN2" s="200" t="n"/>
      <c r="DO2" s="200" t="n"/>
      <c r="DP2" s="200" t="n"/>
      <c r="DQ2" s="200" t="n"/>
      <c r="DR2" s="41" t="n"/>
      <c r="DS2" s="42" t="n"/>
      <c r="DT2" s="201" t="inlineStr">
        <is>
          <t>PSYCHOMOTOR DOMAIN</t>
        </is>
      </c>
      <c r="DU2" s="200" t="n"/>
      <c r="DV2" s="200" t="n"/>
      <c r="DW2" s="200" t="n"/>
      <c r="DX2" s="200" t="n"/>
      <c r="DY2" s="200" t="n"/>
      <c r="DZ2" s="202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 thickBot="1" thickTop="1">
      <c r="A4" s="18" t="n">
        <v>1</v>
      </c>
      <c r="B4" s="19" t="inlineStr">
        <is>
          <t xml:space="preserve">ABDULAZEEZ MONSURAT </t>
        </is>
      </c>
      <c r="C4" s="20" t="inlineStr">
        <is>
          <t>2056</t>
        </is>
      </c>
      <c r="D4" s="128" t="inlineStr">
        <is>
          <t>Female</t>
        </is>
      </c>
      <c r="E4" s="21" t="inlineStr">
        <is>
          <t>JSS 1A</t>
        </is>
      </c>
      <c r="F4" s="21" t="n">
        <v>38</v>
      </c>
      <c r="G4" s="21" t="n">
        <v>122</v>
      </c>
      <c r="H4" s="21" t="n">
        <v>38</v>
      </c>
      <c r="I4" s="26">
        <f>G4-H4</f>
        <v/>
      </c>
      <c r="J4" s="21" t="n">
        <v>10</v>
      </c>
      <c r="K4" s="21" t="n">
        <v>15</v>
      </c>
      <c r="L4" s="27">
        <f>SUM(J4:K4)</f>
        <v/>
      </c>
      <c r="M4" s="28" t="n">
        <v>9</v>
      </c>
      <c r="N4" s="28" t="n">
        <v>21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27</v>
      </c>
      <c r="Q4" s="21" t="n">
        <v>53</v>
      </c>
      <c r="R4" s="27">
        <f>SUM(P4:Q4)</f>
        <v/>
      </c>
      <c r="S4" s="28" t="n">
        <v>84</v>
      </c>
      <c r="T4" s="28" t="n">
        <v>39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14</v>
      </c>
      <c r="W4" s="21" t="n">
        <v>25</v>
      </c>
      <c r="X4" s="27">
        <f>SUM(V4:W4)</f>
        <v/>
      </c>
      <c r="Y4" s="28" t="n">
        <v>39</v>
      </c>
      <c r="Z4" s="28" t="n">
        <v>39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13</v>
      </c>
      <c r="AC4" s="21" t="n">
        <v>24</v>
      </c>
      <c r="AD4" s="27">
        <f>SUM(AB4:AC4)</f>
        <v/>
      </c>
      <c r="AE4" s="28" t="n">
        <v>37</v>
      </c>
      <c r="AF4" s="28" t="n">
        <v>37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15</v>
      </c>
      <c r="AI4" s="21" t="n">
        <v>24</v>
      </c>
      <c r="AJ4" s="27">
        <f>SUM(AH4:AI4)</f>
        <v/>
      </c>
      <c r="AK4" s="28" t="n">
        <v>39</v>
      </c>
      <c r="AL4" s="28" t="n">
        <v>39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14</v>
      </c>
      <c r="AU4" s="21" t="n">
        <v>25</v>
      </c>
      <c r="AV4" s="27">
        <f>SUM(AT4:AU4)</f>
        <v/>
      </c>
      <c r="AW4" s="28" t="n">
        <v>39</v>
      </c>
      <c r="AX4" s="30" t="n">
        <v>39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15</v>
      </c>
      <c r="BA4" s="21" t="n">
        <v>27</v>
      </c>
      <c r="BB4" s="27">
        <f>SUM(AZ4:BA4)</f>
        <v/>
      </c>
      <c r="BC4" s="28" t="n">
        <v>35</v>
      </c>
      <c r="BD4" s="28" t="n">
        <v>38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10</v>
      </c>
      <c r="BG4" s="21" t="n">
        <v>28</v>
      </c>
      <c r="BH4" s="27">
        <f>SUM(BF4:BG4)</f>
        <v/>
      </c>
      <c r="BI4" s="28" t="n">
        <v>15</v>
      </c>
      <c r="BJ4" s="28" t="n">
        <v>26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21</v>
      </c>
      <c r="BM4" s="21" t="n">
        <v>30</v>
      </c>
      <c r="BN4" s="27">
        <f>SUM(BL4:BM4)</f>
        <v/>
      </c>
      <c r="BO4" s="28" t="n">
        <v>40</v>
      </c>
      <c r="BP4" s="31" t="n">
        <v>45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25</v>
      </c>
      <c r="BY4" s="21" t="n">
        <v>50</v>
      </c>
      <c r="BZ4" s="27">
        <f>SUM(BX4:BY4)</f>
        <v/>
      </c>
      <c r="CA4" s="28" t="n">
        <v>40</v>
      </c>
      <c r="CB4" s="31" t="n">
        <v>35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15</v>
      </c>
      <c r="CE4" s="21" t="n">
        <v>10</v>
      </c>
      <c r="CF4" s="27">
        <f>SUM(CD4:CE4)</f>
        <v/>
      </c>
      <c r="CG4" s="28" t="n">
        <v>13</v>
      </c>
      <c r="CH4" s="31" t="n">
        <v>12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>
        <v>10</v>
      </c>
      <c r="CQ4" s="21" t="n">
        <v>15</v>
      </c>
      <c r="CR4" s="27">
        <f>SUM(CP4:CQ4)</f>
        <v/>
      </c>
      <c r="CS4" s="28" t="n">
        <v>14</v>
      </c>
      <c r="CT4" s="31" t="n">
        <v>11</v>
      </c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/>
      <c r="CW4" s="21" t="n"/>
      <c r="CX4" s="27">
        <f>SUM(CV4:CW4)</f>
        <v/>
      </c>
      <c r="CY4" s="28" t="n"/>
      <c r="CZ4" s="31" t="n"/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GOOD(4)</t>
        </is>
      </c>
      <c r="DK4" s="40" t="inlineStr">
        <is>
          <t>GOOD(4)</t>
        </is>
      </c>
      <c r="DL4" s="40" t="inlineStr">
        <is>
          <t>GOOD(4)</t>
        </is>
      </c>
      <c r="DM4" s="40" t="inlineStr">
        <is>
          <t>GOOD(4)</t>
        </is>
      </c>
      <c r="DN4" s="40" t="inlineStr">
        <is>
          <t>GOOD(4)</t>
        </is>
      </c>
      <c r="DO4" s="40" t="inlineStr">
        <is>
          <t>GOOD(4)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GOOD(4)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GOOD(4)</t>
        </is>
      </c>
      <c r="DX4" s="40" t="inlineStr">
        <is>
          <t>GOOD(4)</t>
        </is>
      </c>
      <c r="DY4" s="40" t="inlineStr">
        <is>
          <t>AVERAGE(3)</t>
        </is>
      </c>
      <c r="DZ4" s="53" t="inlineStr">
        <is>
          <t>GOOD(4)</t>
        </is>
      </c>
      <c r="EA4" s="54" t="inlineStr">
        <is>
          <t>Needs to focus more during lessons to achieve full potential.</t>
        </is>
      </c>
      <c r="EB4" s="55" t="inlineStr">
        <is>
          <t>To repeat JSS1</t>
        </is>
      </c>
      <c r="EC4" s="56" t="inlineStr">
        <is>
          <t>Atoyebi Vincent .O</t>
        </is>
      </c>
      <c r="ED4" s="57" t="inlineStr">
        <is>
          <t>Next Term Begins on Monday, 15th September, 2025</t>
        </is>
      </c>
    </row>
    <row r="5" ht="30.6" customHeight="1" s="6" thickBot="1" thickTop="1">
      <c r="A5" s="18" t="n">
        <v>2</v>
      </c>
      <c r="B5" s="19" t="inlineStr">
        <is>
          <t>ABDULSALAM HASSAN A.</t>
        </is>
      </c>
      <c r="C5" s="20" t="inlineStr">
        <is>
          <t>1899</t>
        </is>
      </c>
      <c r="D5" s="128" t="inlineStr">
        <is>
          <t>Male</t>
        </is>
      </c>
      <c r="E5" s="21" t="inlineStr">
        <is>
          <t>JSS 1A</t>
        </is>
      </c>
      <c r="F5" s="21" t="n">
        <v>38</v>
      </c>
      <c r="G5" s="21" t="n">
        <v>122</v>
      </c>
      <c r="H5" s="21" t="n">
        <v>112</v>
      </c>
      <c r="I5" s="26">
        <f>G5-H5</f>
        <v/>
      </c>
      <c r="J5" s="21" t="n">
        <v>24</v>
      </c>
      <c r="K5" s="21" t="n">
        <v>16</v>
      </c>
      <c r="L5" s="27">
        <f>SUM(J5:K5)</f>
        <v/>
      </c>
      <c r="M5" s="28" t="n">
        <v>30</v>
      </c>
      <c r="N5" s="28" t="n">
        <v>43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24</v>
      </c>
      <c r="Q5" s="21" t="n">
        <v>54</v>
      </c>
      <c r="R5" s="27">
        <f>SUM(P5:Q5)</f>
        <v/>
      </c>
      <c r="S5" s="28" t="n">
        <v>71</v>
      </c>
      <c r="T5" s="28" t="n">
        <v>23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19</v>
      </c>
      <c r="W5" s="21" t="n">
        <v>50</v>
      </c>
      <c r="X5" s="27">
        <f>SUM(V5:W5)</f>
        <v/>
      </c>
      <c r="Y5" s="28" t="n">
        <v>62</v>
      </c>
      <c r="Z5" s="28" t="n">
        <v>66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20</v>
      </c>
      <c r="AC5" s="21" t="n">
        <v>41</v>
      </c>
      <c r="AD5" s="27">
        <f>SUM(AB5:AC5)</f>
        <v/>
      </c>
      <c r="AE5" s="28" t="n">
        <v>81</v>
      </c>
      <c r="AF5" s="28" t="n">
        <v>71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25</v>
      </c>
      <c r="AI5" s="21" t="n">
        <v>29</v>
      </c>
      <c r="AJ5" s="27">
        <f>SUM(AH5:AI5)</f>
        <v/>
      </c>
      <c r="AK5" s="28" t="n">
        <v>41</v>
      </c>
      <c r="AL5" s="28" t="n">
        <v>63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26</v>
      </c>
      <c r="AU5" s="21" t="n">
        <v>30</v>
      </c>
      <c r="AV5" s="27">
        <f>SUM(AT5:AU5)</f>
        <v/>
      </c>
      <c r="AW5" s="28" t="n">
        <v>42</v>
      </c>
      <c r="AX5" s="30" t="n">
        <v>50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22</v>
      </c>
      <c r="BA5" s="21" t="n">
        <v>32</v>
      </c>
      <c r="BB5" s="27">
        <f>SUM(AZ5:BA5)</f>
        <v/>
      </c>
      <c r="BC5" s="28" t="n">
        <v>44</v>
      </c>
      <c r="BD5" s="28" t="n">
        <v>54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16</v>
      </c>
      <c r="BG5" s="21" t="n">
        <v>38</v>
      </c>
      <c r="BH5" s="27">
        <f>SUM(BF5:BG5)</f>
        <v/>
      </c>
      <c r="BI5" s="28" t="n">
        <v>55</v>
      </c>
      <c r="BJ5" s="28" t="n">
        <v>49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20</v>
      </c>
      <c r="BM5" s="21" t="n">
        <v>30</v>
      </c>
      <c r="BN5" s="27">
        <f>SUM(BL5:BM5)</f>
        <v/>
      </c>
      <c r="BO5" s="28" t="n">
        <v>41</v>
      </c>
      <c r="BP5" s="31" t="n">
        <v>80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15</v>
      </c>
      <c r="BY5" s="21" t="n">
        <v>70</v>
      </c>
      <c r="BZ5" s="27">
        <f>SUM(BX5:BY5)</f>
        <v/>
      </c>
      <c r="CA5" s="28" t="n">
        <v>74</v>
      </c>
      <c r="CB5" s="31" t="n">
        <v>62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18</v>
      </c>
      <c r="CE5" s="21" t="n">
        <v>32</v>
      </c>
      <c r="CF5" s="27">
        <f>SUM(CD5:CE5)</f>
        <v/>
      </c>
      <c r="CG5" s="28" t="n">
        <v>69</v>
      </c>
      <c r="CH5" s="31" t="n">
        <v>23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>
        <v>28</v>
      </c>
      <c r="CQ5" s="21" t="n">
        <v>46</v>
      </c>
      <c r="CR5" s="27">
        <f>SUM(CP5:CQ5)</f>
        <v/>
      </c>
      <c r="CS5" s="28" t="n">
        <v>76</v>
      </c>
      <c r="CT5" s="31" t="n">
        <v>80</v>
      </c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/>
      <c r="CW5" s="21" t="n"/>
      <c r="CX5" s="27">
        <f>SUM(CV5:CW5)</f>
        <v/>
      </c>
      <c r="CY5" s="28" t="n"/>
      <c r="CZ5" s="31" t="n"/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GOOD(4)</t>
        </is>
      </c>
      <c r="DK5" s="40" t="inlineStr">
        <is>
          <t>GOOD(4)</t>
        </is>
      </c>
      <c r="DL5" s="40" t="inlineStr">
        <is>
          <t>AVERAGE(3)</t>
        </is>
      </c>
      <c r="DM5" s="40" t="inlineStr">
        <is>
          <t>GOOD(4)</t>
        </is>
      </c>
      <c r="DN5" s="40" t="inlineStr">
        <is>
          <t>GOOD(4)</t>
        </is>
      </c>
      <c r="DO5" s="40" t="inlineStr">
        <is>
          <t>GOOD(4)</t>
        </is>
      </c>
      <c r="DP5" s="40" t="inlineStr">
        <is>
          <t>GOOD(4)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AVERAGE(3)</t>
        </is>
      </c>
      <c r="DU5" s="40" t="inlineStr">
        <is>
          <t>GOOD(4)</t>
        </is>
      </c>
      <c r="DV5" s="40" t="inlineStr">
        <is>
          <t>GOOD(4)</t>
        </is>
      </c>
      <c r="DW5" s="40" t="inlineStr">
        <is>
          <t>GOOD(4)</t>
        </is>
      </c>
      <c r="DX5" s="40" t="inlineStr">
        <is>
          <t>GOOD(4)</t>
        </is>
      </c>
      <c r="DY5" s="40" t="inlineStr">
        <is>
          <t>AVERAGE(3)</t>
        </is>
      </c>
      <c r="DZ5" s="53" t="inlineStr">
        <is>
          <t>GOOD(4)</t>
        </is>
      </c>
      <c r="EA5" s="54" t="inlineStr">
        <is>
          <t>Consistently well-behaved and sets a good example for peers.</t>
        </is>
      </c>
      <c r="EB5" s="55" t="inlineStr">
        <is>
          <t>Promoted to JSS2</t>
        </is>
      </c>
      <c r="EC5" s="56" t="inlineStr">
        <is>
          <t>Atoyebi Vincent .O</t>
        </is>
      </c>
      <c r="ED5" s="57" t="inlineStr">
        <is>
          <t>Next Term Begins on Monday, 15th September, 2025</t>
        </is>
      </c>
    </row>
    <row r="6" ht="30.6" customHeight="1" s="6" thickBot="1" thickTop="1">
      <c r="A6" s="18" t="n">
        <v>3</v>
      </c>
      <c r="B6" s="19" t="inlineStr">
        <is>
          <t xml:space="preserve">ABUBAKAR SALIA </t>
        </is>
      </c>
      <c r="C6" s="20" t="inlineStr">
        <is>
          <t>1992</t>
        </is>
      </c>
      <c r="D6" s="128" t="inlineStr">
        <is>
          <t>Female</t>
        </is>
      </c>
      <c r="E6" s="21" t="inlineStr">
        <is>
          <t>JSS 1A</t>
        </is>
      </c>
      <c r="F6" s="21" t="n">
        <v>38</v>
      </c>
      <c r="G6" s="21" t="n">
        <v>122</v>
      </c>
      <c r="H6" s="21" t="n">
        <v>24</v>
      </c>
      <c r="I6" s="26">
        <f>G6-H6</f>
        <v/>
      </c>
      <c r="J6" s="21" t="n">
        <v>22</v>
      </c>
      <c r="K6" s="21" t="n">
        <v>40</v>
      </c>
      <c r="L6" s="27">
        <f>SUM(J6:K6)</f>
        <v/>
      </c>
      <c r="M6" s="28" t="n">
        <v>55</v>
      </c>
      <c r="N6" s="28" t="n">
        <v>66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12</v>
      </c>
      <c r="Q6" s="21" t="n">
        <v>10</v>
      </c>
      <c r="R6" s="27">
        <f>SUM(P6:Q6)</f>
        <v/>
      </c>
      <c r="S6" s="28" t="n">
        <v>52</v>
      </c>
      <c r="T6" s="28" t="n">
        <v>47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16</v>
      </c>
      <c r="W6" s="21" t="n">
        <v>23</v>
      </c>
      <c r="X6" s="27">
        <f>SUM(V6:W6)</f>
        <v/>
      </c>
      <c r="Y6" s="28" t="n">
        <v>50</v>
      </c>
      <c r="Z6" s="28" t="n">
        <v>58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21</v>
      </c>
      <c r="AC6" s="21" t="n">
        <v>46</v>
      </c>
      <c r="AD6" s="27">
        <f>SUM(AB6:AC6)</f>
        <v/>
      </c>
      <c r="AE6" s="28" t="n">
        <v>52</v>
      </c>
      <c r="AF6" s="28" t="n">
        <v>60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30</v>
      </c>
      <c r="AI6" s="21" t="n">
        <v>22</v>
      </c>
      <c r="AJ6" s="27">
        <f>SUM(AH6:AI6)</f>
        <v/>
      </c>
      <c r="AK6" s="28" t="n">
        <v>42</v>
      </c>
      <c r="AL6" s="28" t="n">
        <v>47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19</v>
      </c>
      <c r="AU6" s="21" t="n">
        <v>39</v>
      </c>
      <c r="AV6" s="27">
        <f>SUM(AT6:AU6)</f>
        <v/>
      </c>
      <c r="AW6" s="28" t="n">
        <v>31</v>
      </c>
      <c r="AX6" s="30" t="n">
        <v>45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13</v>
      </c>
      <c r="BA6" s="21" t="n">
        <v>25</v>
      </c>
      <c r="BB6" s="27">
        <f>SUM(AZ6:BA6)</f>
        <v/>
      </c>
      <c r="BC6" s="28" t="n">
        <v>46</v>
      </c>
      <c r="BD6" s="28" t="n">
        <v>30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10</v>
      </c>
      <c r="BG6" s="21" t="n">
        <v>31</v>
      </c>
      <c r="BH6" s="27">
        <f>SUM(BF6:BG6)</f>
        <v/>
      </c>
      <c r="BI6" s="28" t="n">
        <v>49</v>
      </c>
      <c r="BJ6" s="28" t="n">
        <v>17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19</v>
      </c>
      <c r="BM6" s="21" t="n">
        <v>36</v>
      </c>
      <c r="BN6" s="27">
        <f>SUM(BL6:BM6)</f>
        <v/>
      </c>
      <c r="BO6" s="28" t="n">
        <v>29</v>
      </c>
      <c r="BP6" s="31" t="n">
        <v>35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24</v>
      </c>
      <c r="BY6" s="21" t="n">
        <v>30</v>
      </c>
      <c r="BZ6" s="27">
        <f>SUM(BX6:BY6)</f>
        <v/>
      </c>
      <c r="CA6" s="28" t="n">
        <v>31</v>
      </c>
      <c r="CB6" s="31" t="n">
        <v>56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25</v>
      </c>
      <c r="CE6" s="21" t="n">
        <v>30</v>
      </c>
      <c r="CF6" s="27">
        <f>SUM(CD6:CE6)</f>
        <v/>
      </c>
      <c r="CG6" s="28" t="n">
        <v>27</v>
      </c>
      <c r="CH6" s="31" t="n">
        <v>8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>
        <v>13</v>
      </c>
      <c r="CQ6" s="21" t="n">
        <v>31</v>
      </c>
      <c r="CR6" s="27">
        <f>SUM(CP6:CQ6)</f>
        <v/>
      </c>
      <c r="CS6" s="28" t="n">
        <v>23</v>
      </c>
      <c r="CT6" s="31" t="n">
        <v>36</v>
      </c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/>
      <c r="CW6" s="21" t="n"/>
      <c r="CX6" s="27">
        <f>SUM(CV6:CW6)</f>
        <v/>
      </c>
      <c r="CY6" s="28" t="n"/>
      <c r="CZ6" s="31" t="n"/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AVERAGE(3)</t>
        </is>
      </c>
      <c r="DK6" s="40" t="inlineStr">
        <is>
          <t>GOOD(4)</t>
        </is>
      </c>
      <c r="DL6" s="40" t="inlineStr">
        <is>
          <t>GOOD(4)</t>
        </is>
      </c>
      <c r="DM6" s="40" t="inlineStr">
        <is>
          <t>GOOD(4)</t>
        </is>
      </c>
      <c r="DN6" s="40" t="inlineStr">
        <is>
          <t>GOOD(4)</t>
        </is>
      </c>
      <c r="DO6" s="40" t="inlineStr">
        <is>
          <t>GOOD(4)</t>
        </is>
      </c>
      <c r="DP6" s="40" t="inlineStr">
        <is>
          <t>AVERAGE(3)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AVERAGE(3)</t>
        </is>
      </c>
      <c r="DV6" s="40" t="inlineStr">
        <is>
          <t>AVERAGE(3)</t>
        </is>
      </c>
      <c r="DW6" s="40" t="inlineStr">
        <is>
          <t>GOOD(4)</t>
        </is>
      </c>
      <c r="DX6" s="40" t="inlineStr">
        <is>
          <t>GOOD(4)</t>
        </is>
      </c>
      <c r="DY6" s="40" t="inlineStr">
        <is>
          <t>GOOD(4)</t>
        </is>
      </c>
      <c r="DZ6" s="53" t="inlineStr">
        <is>
          <t>GOOD(4)</t>
        </is>
      </c>
      <c r="EA6" s="54" t="inlineStr">
        <is>
          <t>Demonstrates a positive attitude and respect for rules.</t>
        </is>
      </c>
      <c r="EB6" s="55" t="inlineStr">
        <is>
          <t>Promoted to JSS2</t>
        </is>
      </c>
      <c r="EC6" s="56" t="inlineStr">
        <is>
          <t>Atoyebi Vincent .O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9" t="inlineStr">
        <is>
          <t xml:space="preserve">ADAM ABDULRASHEED </t>
        </is>
      </c>
      <c r="C7" s="20" t="inlineStr">
        <is>
          <t>2048</t>
        </is>
      </c>
      <c r="D7" s="128" t="inlineStr">
        <is>
          <t>Male</t>
        </is>
      </c>
      <c r="E7" s="21" t="inlineStr">
        <is>
          <t>JSS 1A</t>
        </is>
      </c>
      <c r="F7" s="21" t="n">
        <v>38</v>
      </c>
      <c r="G7" s="21" t="n">
        <v>122</v>
      </c>
      <c r="H7" s="21" t="n">
        <v>20</v>
      </c>
      <c r="I7" s="26">
        <f>G7-H7</f>
        <v/>
      </c>
      <c r="J7" s="21" t="n">
        <v>18</v>
      </c>
      <c r="K7" s="21" t="n">
        <v>21</v>
      </c>
      <c r="L7" s="27">
        <f>SUM(J7:K7)</f>
        <v/>
      </c>
      <c r="M7" s="28" t="n">
        <v>34</v>
      </c>
      <c r="N7" s="28" t="n">
        <v>36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20</v>
      </c>
      <c r="Q7" s="21" t="n">
        <v>10</v>
      </c>
      <c r="R7" s="27">
        <f>SUM(P7:Q7)</f>
        <v/>
      </c>
      <c r="S7" s="28" t="n">
        <v>20</v>
      </c>
      <c r="T7" s="28" t="n">
        <v>10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18</v>
      </c>
      <c r="W7" s="21" t="n">
        <v>21</v>
      </c>
      <c r="X7" s="27">
        <f>SUM(V7:W7)</f>
        <v/>
      </c>
      <c r="Y7" s="28" t="n">
        <v>39</v>
      </c>
      <c r="Z7" s="28" t="n">
        <v>39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12</v>
      </c>
      <c r="AC7" s="21" t="n">
        <v>24</v>
      </c>
      <c r="AD7" s="27">
        <f>SUM(AB7:AC7)</f>
        <v/>
      </c>
      <c r="AE7" s="28" t="n">
        <v>36</v>
      </c>
      <c r="AF7" s="28" t="n">
        <v>36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19</v>
      </c>
      <c r="AI7" s="21" t="n">
        <v>20</v>
      </c>
      <c r="AJ7" s="27">
        <f>SUM(AH7:AI7)</f>
        <v/>
      </c>
      <c r="AK7" s="28" t="n">
        <v>39</v>
      </c>
      <c r="AL7" s="28" t="n">
        <v>39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13</v>
      </c>
      <c r="AU7" s="21" t="n">
        <v>26</v>
      </c>
      <c r="AV7" s="27">
        <f>SUM(AT7:AU7)</f>
        <v/>
      </c>
      <c r="AW7" s="28" t="n">
        <v>39</v>
      </c>
      <c r="AX7" s="30" t="n">
        <v>39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16</v>
      </c>
      <c r="BA7" s="21" t="n">
        <v>30</v>
      </c>
      <c r="BB7" s="27">
        <f>SUM(AZ7:BA7)</f>
        <v/>
      </c>
      <c r="BC7" s="28" t="n">
        <v>24</v>
      </c>
      <c r="BD7" s="28" t="n">
        <v>30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10</v>
      </c>
      <c r="BG7" s="21" t="n">
        <v>20</v>
      </c>
      <c r="BH7" s="27">
        <f>SUM(BF7:BG7)</f>
        <v/>
      </c>
      <c r="BI7" s="28" t="n">
        <v>18</v>
      </c>
      <c r="BJ7" s="28" t="n">
        <v>15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19</v>
      </c>
      <c r="BM7" s="21" t="n">
        <v>20</v>
      </c>
      <c r="BN7" s="27">
        <f>SUM(BL7:BM7)</f>
        <v/>
      </c>
      <c r="BO7" s="28" t="n">
        <v>29</v>
      </c>
      <c r="BP7" s="31" t="n">
        <v>35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24</v>
      </c>
      <c r="BY7" s="21" t="n">
        <v>30</v>
      </c>
      <c r="BZ7" s="27">
        <f>SUM(BX7:BY7)</f>
        <v/>
      </c>
      <c r="CA7" s="28" t="n">
        <v>31</v>
      </c>
      <c r="CB7" s="31" t="n">
        <v>56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12</v>
      </c>
      <c r="CE7" s="21" t="n">
        <v>15</v>
      </c>
      <c r="CF7" s="27">
        <f>SUM(CD7:CE7)</f>
        <v/>
      </c>
      <c r="CG7" s="28" t="n">
        <v>27</v>
      </c>
      <c r="CH7" s="31" t="n">
        <v>12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>
        <v>13</v>
      </c>
      <c r="CQ7" s="21" t="n">
        <v>12</v>
      </c>
      <c r="CR7" s="27">
        <f>SUM(CP7:CQ7)</f>
        <v/>
      </c>
      <c r="CS7" s="28" t="n">
        <v>14</v>
      </c>
      <c r="CT7" s="31" t="n">
        <v>11</v>
      </c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/>
      <c r="CW7" s="21" t="n"/>
      <c r="CX7" s="27">
        <f>SUM(CV7:CW7)</f>
        <v/>
      </c>
      <c r="CY7" s="28" t="n"/>
      <c r="CZ7" s="31" t="n"/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GOOD(4)</t>
        </is>
      </c>
      <c r="DK7" s="40" t="inlineStr">
        <is>
          <t>GOOD(4)</t>
        </is>
      </c>
      <c r="DL7" s="40" t="inlineStr">
        <is>
          <t>AVERAGE(3)</t>
        </is>
      </c>
      <c r="DM7" s="40" t="inlineStr">
        <is>
          <t>GOOD(4)</t>
        </is>
      </c>
      <c r="DN7" s="40" t="inlineStr">
        <is>
          <t>GOOD(4)</t>
        </is>
      </c>
      <c r="DO7" s="40" t="inlineStr">
        <is>
          <t>GOOD(4)</t>
        </is>
      </c>
      <c r="DP7" s="40" t="inlineStr">
        <is>
          <t>GOOD(4)</t>
        </is>
      </c>
      <c r="DQ7" s="40" t="inlineStr">
        <is>
          <t>GOOD(4)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AVERAGE(3)</t>
        </is>
      </c>
      <c r="DX7" s="40" t="inlineStr">
        <is>
          <t>AVERAGE(3)</t>
        </is>
      </c>
      <c r="DY7" s="40" t="inlineStr">
        <is>
          <t>GOOD(4)</t>
        </is>
      </c>
      <c r="DZ7" s="53" t="inlineStr">
        <is>
          <t>GOOD(4)</t>
        </is>
      </c>
      <c r="EA7" s="54" t="inlineStr">
        <is>
          <t>Demonstrates a positive attitude and respect for rules.</t>
        </is>
      </c>
      <c r="EB7" s="55" t="inlineStr">
        <is>
          <t>To repeat JSS1</t>
        </is>
      </c>
      <c r="EC7" s="56" t="inlineStr">
        <is>
          <t>Atoyebi Vincent .O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>ADEGOKE CATHERINE A.</t>
        </is>
      </c>
      <c r="C8" s="20" t="inlineStr">
        <is>
          <t>1901</t>
        </is>
      </c>
      <c r="D8" s="128" t="inlineStr">
        <is>
          <t>Female</t>
        </is>
      </c>
      <c r="E8" s="21" t="inlineStr">
        <is>
          <t>JSS 1A</t>
        </is>
      </c>
      <c r="F8" s="21" t="n">
        <v>38</v>
      </c>
      <c r="G8" s="21" t="n">
        <v>122</v>
      </c>
      <c r="H8" s="21" t="n">
        <v>122</v>
      </c>
      <c r="I8" s="26">
        <f>G8-H8</f>
        <v/>
      </c>
      <c r="J8" s="21" t="n">
        <v>24</v>
      </c>
      <c r="K8" s="21" t="n">
        <v>43</v>
      </c>
      <c r="L8" s="27">
        <f>SUM(J8:K8)</f>
        <v/>
      </c>
      <c r="M8" s="28" t="n">
        <v>89</v>
      </c>
      <c r="N8" s="28" t="n">
        <v>95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28</v>
      </c>
      <c r="Q8" s="21" t="n">
        <v>59</v>
      </c>
      <c r="R8" s="27">
        <f>SUM(P8:Q8)</f>
        <v/>
      </c>
      <c r="S8" s="28" t="n">
        <v>89</v>
      </c>
      <c r="T8" s="28" t="n">
        <v>95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30</v>
      </c>
      <c r="W8" s="21" t="n">
        <v>40</v>
      </c>
      <c r="X8" s="27">
        <f>SUM(V8:W8)</f>
        <v/>
      </c>
      <c r="Y8" s="28" t="n">
        <v>79</v>
      </c>
      <c r="Z8" s="28" t="n">
        <v>54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27</v>
      </c>
      <c r="AC8" s="21" t="n">
        <v>51</v>
      </c>
      <c r="AD8" s="27">
        <f>SUM(AB8:AC8)</f>
        <v/>
      </c>
      <c r="AE8" s="28" t="n">
        <v>79</v>
      </c>
      <c r="AF8" s="28" t="n">
        <v>78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28</v>
      </c>
      <c r="AI8" s="21" t="n">
        <v>35</v>
      </c>
      <c r="AJ8" s="27">
        <f>SUM(AH8:AI8)</f>
        <v/>
      </c>
      <c r="AK8" s="28" t="n">
        <v>71</v>
      </c>
      <c r="AL8" s="28" t="n">
        <v>53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19</v>
      </c>
      <c r="AU8" s="21" t="n">
        <v>36</v>
      </c>
      <c r="AV8" s="27">
        <f>SUM(AT8:AU8)</f>
        <v/>
      </c>
      <c r="AW8" s="28" t="n">
        <v>45</v>
      </c>
      <c r="AX8" s="30" t="n">
        <v>58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29</v>
      </c>
      <c r="BA8" s="21" t="n">
        <v>42</v>
      </c>
      <c r="BB8" s="27">
        <f>SUM(AZ8:BA8)</f>
        <v/>
      </c>
      <c r="BC8" s="28" t="n">
        <v>55</v>
      </c>
      <c r="BD8" s="28" t="n">
        <v>61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16</v>
      </c>
      <c r="BG8" s="21" t="n">
        <v>34</v>
      </c>
      <c r="BH8" s="27">
        <f>SUM(BF8:BG8)</f>
        <v/>
      </c>
      <c r="BI8" s="28" t="n">
        <v>50</v>
      </c>
      <c r="BJ8" s="28" t="n">
        <v>70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17</v>
      </c>
      <c r="BM8" s="21" t="n">
        <v>36</v>
      </c>
      <c r="BN8" s="27">
        <f>SUM(BL8:BM8)</f>
        <v/>
      </c>
      <c r="BO8" s="28" t="n">
        <v>46</v>
      </c>
      <c r="BP8" s="31" t="n">
        <v>47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25</v>
      </c>
      <c r="BY8" s="21" t="n">
        <v>48</v>
      </c>
      <c r="BZ8" s="27">
        <f>SUM(BX8:BY8)</f>
        <v/>
      </c>
      <c r="CA8" s="28" t="n">
        <v>75</v>
      </c>
      <c r="CB8" s="31" t="n">
        <v>87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18</v>
      </c>
      <c r="CE8" s="21" t="n">
        <v>45</v>
      </c>
      <c r="CF8" s="27">
        <f>SUM(CD8:CE8)</f>
        <v/>
      </c>
      <c r="CG8" s="28" t="n">
        <v>41</v>
      </c>
      <c r="CH8" s="31" t="n">
        <v>50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/>
      <c r="CQ8" s="21" t="n"/>
      <c r="CR8" s="27">
        <f>SUM(CP8:CQ8)</f>
        <v/>
      </c>
      <c r="CS8" s="28" t="n"/>
      <c r="CT8" s="31" t="n"/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>
        <v>26</v>
      </c>
      <c r="CW8" s="21" t="n">
        <v>36</v>
      </c>
      <c r="CX8" s="27">
        <f>SUM(CV8:CW8)</f>
        <v/>
      </c>
      <c r="CY8" s="28" t="n">
        <v>64</v>
      </c>
      <c r="CZ8" s="31" t="n">
        <v>63</v>
      </c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AVERAGE(3)</t>
        </is>
      </c>
      <c r="DK8" s="40" t="inlineStr">
        <is>
          <t>GOOD(4)</t>
        </is>
      </c>
      <c r="DL8" s="40" t="inlineStr">
        <is>
          <t>GOOD(4)</t>
        </is>
      </c>
      <c r="DM8" s="40" t="inlineStr">
        <is>
          <t>AVERAGE(3)</t>
        </is>
      </c>
      <c r="DN8" s="40" t="inlineStr">
        <is>
          <t>GOOD(4)</t>
        </is>
      </c>
      <c r="DO8" s="40" t="inlineStr">
        <is>
          <t>GOOD(4)</t>
        </is>
      </c>
      <c r="DP8" s="40" t="inlineStr">
        <is>
          <t>AVERAGE(3)</t>
        </is>
      </c>
      <c r="DQ8" s="40" t="inlineStr">
        <is>
          <t>GOOD(4)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GOOD(4)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GOOD(4)</t>
        </is>
      </c>
      <c r="DX8" s="40" t="inlineStr">
        <is>
          <t>GOOD(4)</t>
        </is>
      </c>
      <c r="DY8" s="40" t="inlineStr">
        <is>
          <t>GOOD(4)</t>
        </is>
      </c>
      <c r="DZ8" s="53" t="inlineStr">
        <is>
          <t>GOOD(4)</t>
        </is>
      </c>
      <c r="EA8" s="54" t="inlineStr">
        <is>
          <t>Generally polite and courteous to staff and classmates.</t>
        </is>
      </c>
      <c r="EB8" s="55" t="inlineStr">
        <is>
          <t>Promoted to JSS2</t>
        </is>
      </c>
      <c r="EC8" s="56" t="inlineStr">
        <is>
          <t>Atoyebi Vincent .O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ADEREMI BASHEET </t>
        </is>
      </c>
      <c r="C9" s="20" t="inlineStr">
        <is>
          <t>1906</t>
        </is>
      </c>
      <c r="D9" s="128" t="inlineStr">
        <is>
          <t>Male</t>
        </is>
      </c>
      <c r="E9" s="21" t="inlineStr">
        <is>
          <t>JSS 1A</t>
        </is>
      </c>
      <c r="F9" s="21" t="n">
        <v>38</v>
      </c>
      <c r="G9" s="21" t="n">
        <v>122</v>
      </c>
      <c r="H9" s="21" t="n">
        <v>108</v>
      </c>
      <c r="I9" s="26">
        <f>G9-H9</f>
        <v/>
      </c>
      <c r="J9" s="21" t="n">
        <v>20</v>
      </c>
      <c r="K9" s="21" t="n">
        <v>10</v>
      </c>
      <c r="L9" s="27">
        <f>SUM(J9:K9)</f>
        <v/>
      </c>
      <c r="M9" s="28" t="n">
        <v>20</v>
      </c>
      <c r="N9" s="28" t="n">
        <v>30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19</v>
      </c>
      <c r="Q9" s="21" t="n">
        <v>26</v>
      </c>
      <c r="R9" s="27">
        <f>SUM(P9:Q9)</f>
        <v/>
      </c>
      <c r="S9" s="28" t="n">
        <v>35</v>
      </c>
      <c r="T9" s="28" t="n">
        <v>54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16</v>
      </c>
      <c r="W9" s="21" t="n">
        <v>35</v>
      </c>
      <c r="X9" s="27">
        <f>SUM(V9:W9)</f>
        <v/>
      </c>
      <c r="Y9" s="28" t="n">
        <v>50</v>
      </c>
      <c r="Z9" s="28" t="n">
        <v>58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25</v>
      </c>
      <c r="AC9" s="21" t="n">
        <v>26</v>
      </c>
      <c r="AD9" s="27">
        <f>SUM(AB9:AC9)</f>
        <v/>
      </c>
      <c r="AE9" s="28" t="n">
        <v>41</v>
      </c>
      <c r="AF9" s="28" t="n">
        <v>46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30</v>
      </c>
      <c r="AI9" s="21" t="n">
        <v>26</v>
      </c>
      <c r="AJ9" s="27">
        <f>SUM(AH9:AI9)</f>
        <v/>
      </c>
      <c r="AK9" s="28" t="n">
        <v>52</v>
      </c>
      <c r="AL9" s="28" t="n">
        <v>34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18</v>
      </c>
      <c r="AU9" s="21" t="n">
        <v>32</v>
      </c>
      <c r="AV9" s="27">
        <f>SUM(AT9:AU9)</f>
        <v/>
      </c>
      <c r="AW9" s="28" t="n">
        <v>31</v>
      </c>
      <c r="AX9" s="30" t="n">
        <v>54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23</v>
      </c>
      <c r="BA9" s="21" t="n">
        <v>28</v>
      </c>
      <c r="BB9" s="27">
        <f>SUM(AZ9:BA9)</f>
        <v/>
      </c>
      <c r="BC9" s="28" t="n">
        <v>43</v>
      </c>
      <c r="BD9" s="28" t="n">
        <v>39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15</v>
      </c>
      <c r="BG9" s="21" t="n">
        <v>33</v>
      </c>
      <c r="BH9" s="27">
        <f>SUM(BF9:BG9)</f>
        <v/>
      </c>
      <c r="BI9" s="28" t="n">
        <v>47</v>
      </c>
      <c r="BJ9" s="28" t="n">
        <v>46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20</v>
      </c>
      <c r="BM9" s="21" t="n">
        <v>33</v>
      </c>
      <c r="BN9" s="27">
        <f>SUM(BL9:BM9)</f>
        <v/>
      </c>
      <c r="BO9" s="28" t="n">
        <v>19</v>
      </c>
      <c r="BP9" s="31" t="n">
        <v>33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30</v>
      </c>
      <c r="BY9" s="21" t="n">
        <v>50</v>
      </c>
      <c r="BZ9" s="27">
        <f>SUM(BX9:BY9)</f>
        <v/>
      </c>
      <c r="CA9" s="28" t="n">
        <v>36</v>
      </c>
      <c r="CB9" s="31" t="n">
        <v>57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14</v>
      </c>
      <c r="CE9" s="21" t="n">
        <v>33</v>
      </c>
      <c r="CF9" s="27">
        <f>SUM(CD9:CE9)</f>
        <v/>
      </c>
      <c r="CG9" s="28" t="n">
        <v>28</v>
      </c>
      <c r="CH9" s="31" t="n">
        <v>33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>
        <v>22</v>
      </c>
      <c r="CQ9" s="21" t="n">
        <v>41</v>
      </c>
      <c r="CR9" s="27">
        <f>SUM(CP9:CQ9)</f>
        <v/>
      </c>
      <c r="CS9" s="28" t="n">
        <v>55</v>
      </c>
      <c r="CT9" s="31" t="n">
        <v>44</v>
      </c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/>
      <c r="CW9" s="21" t="n"/>
      <c r="CX9" s="27">
        <f>SUM(CV9:CW9)</f>
        <v/>
      </c>
      <c r="CY9" s="28" t="n"/>
      <c r="CZ9" s="31" t="n"/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AVERAGE(3)</t>
        </is>
      </c>
      <c r="DK9" s="40" t="inlineStr">
        <is>
          <t>AVERAGE(3)</t>
        </is>
      </c>
      <c r="DL9" s="40" t="inlineStr">
        <is>
          <t>GOOD(4)</t>
        </is>
      </c>
      <c r="DM9" s="40" t="inlineStr">
        <is>
          <t>GOOD(4)</t>
        </is>
      </c>
      <c r="DN9" s="40" t="inlineStr">
        <is>
          <t>GOOD(4)</t>
        </is>
      </c>
      <c r="DO9" s="40" t="inlineStr">
        <is>
          <t>GOOD(4)</t>
        </is>
      </c>
      <c r="DP9" s="40" t="inlineStr">
        <is>
          <t>GOOD(4)</t>
        </is>
      </c>
      <c r="DQ9" s="40" t="inlineStr">
        <is>
          <t>GOOD(4)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GOOD(4)</t>
        </is>
      </c>
      <c r="DU9" s="40" t="inlineStr">
        <is>
          <t>GOOD(4)</t>
        </is>
      </c>
      <c r="DV9" s="40" t="inlineStr">
        <is>
          <t>AVERAGE(3)</t>
        </is>
      </c>
      <c r="DW9" s="40" t="inlineStr">
        <is>
          <t>GOOD(4)</t>
        </is>
      </c>
      <c r="DX9" s="40" t="inlineStr">
        <is>
          <t>AVERAGE(3)</t>
        </is>
      </c>
      <c r="DY9" s="40" t="inlineStr">
        <is>
          <t>GOOD(4)</t>
        </is>
      </c>
      <c r="DZ9" s="53" t="inlineStr">
        <is>
          <t>AVERAGE(3)</t>
        </is>
      </c>
      <c r="EA9" s="54" t="inlineStr">
        <is>
          <t>Needs to focus more during lessons to achieve full potential.</t>
        </is>
      </c>
      <c r="EB9" s="55" t="inlineStr">
        <is>
          <t>Promoted to JSS2</t>
        </is>
      </c>
      <c r="EC9" s="56" t="inlineStr">
        <is>
          <t>Atoyebi Vincent .O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>ADESINA ELIZABETH A.</t>
        </is>
      </c>
      <c r="C10" s="20" t="inlineStr">
        <is>
          <t>1908</t>
        </is>
      </c>
      <c r="D10" s="128" t="inlineStr">
        <is>
          <t>Female</t>
        </is>
      </c>
      <c r="E10" s="21" t="inlineStr">
        <is>
          <t>JSS 1A</t>
        </is>
      </c>
      <c r="F10" s="21" t="n">
        <v>38</v>
      </c>
      <c r="G10" s="21" t="n">
        <v>122</v>
      </c>
      <c r="H10" s="21" t="n">
        <v>29</v>
      </c>
      <c r="I10" s="26">
        <f>G10-H10</f>
        <v/>
      </c>
      <c r="J10" s="21" t="n">
        <v>18</v>
      </c>
      <c r="K10" s="21" t="n">
        <v>35</v>
      </c>
      <c r="L10" s="27">
        <f>SUM(J10:K10)</f>
        <v/>
      </c>
      <c r="M10" s="28" t="n">
        <v>55</v>
      </c>
      <c r="N10" s="28" t="n">
        <v>52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15</v>
      </c>
      <c r="Q10" s="21" t="n">
        <v>40</v>
      </c>
      <c r="R10" s="27">
        <f>SUM(P10:Q10)</f>
        <v/>
      </c>
      <c r="S10" s="28" t="n">
        <v>50</v>
      </c>
      <c r="T10" s="28" t="n">
        <v>56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17</v>
      </c>
      <c r="W10" s="21" t="n">
        <v>40</v>
      </c>
      <c r="X10" s="27">
        <f>SUM(V10:W10)</f>
        <v/>
      </c>
      <c r="Y10" s="28" t="n">
        <v>46</v>
      </c>
      <c r="Z10" s="28" t="n">
        <v>40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15</v>
      </c>
      <c r="AC10" s="21" t="n">
        <v>30</v>
      </c>
      <c r="AD10" s="27">
        <f>SUM(AB10:AC10)</f>
        <v/>
      </c>
      <c r="AE10" s="28" t="n">
        <v>53</v>
      </c>
      <c r="AF10" s="28" t="n">
        <v>54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15</v>
      </c>
      <c r="AI10" s="21" t="n">
        <v>20</v>
      </c>
      <c r="AJ10" s="27">
        <f>SUM(AH10:AI10)</f>
        <v/>
      </c>
      <c r="AK10" s="28" t="n">
        <v>0</v>
      </c>
      <c r="AL10" s="28" t="n">
        <v>40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15</v>
      </c>
      <c r="AU10" s="21" t="n">
        <v>43</v>
      </c>
      <c r="AV10" s="27">
        <f>SUM(AT10:AU10)</f>
        <v/>
      </c>
      <c r="AW10" s="28" t="n">
        <v>37</v>
      </c>
      <c r="AX10" s="30" t="n">
        <v>37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24</v>
      </c>
      <c r="BA10" s="21" t="n">
        <v>32</v>
      </c>
      <c r="BB10" s="27">
        <f>SUM(AZ10:BA10)</f>
        <v/>
      </c>
      <c r="BC10" s="28" t="n">
        <v>41</v>
      </c>
      <c r="BD10" s="28" t="n">
        <v>48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16</v>
      </c>
      <c r="BG10" s="21" t="n">
        <v>32</v>
      </c>
      <c r="BH10" s="27">
        <f>SUM(BF10:BG10)</f>
        <v/>
      </c>
      <c r="BI10" s="28" t="n">
        <v>50</v>
      </c>
      <c r="BJ10" s="28" t="n">
        <v>40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20</v>
      </c>
      <c r="BM10" s="21" t="n">
        <v>32</v>
      </c>
      <c r="BN10" s="27">
        <f>SUM(BL10:BM10)</f>
        <v/>
      </c>
      <c r="BO10" s="28" t="n">
        <v>30</v>
      </c>
      <c r="BP10" s="31" t="n">
        <v>45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28</v>
      </c>
      <c r="BY10" s="21" t="n">
        <v>39</v>
      </c>
      <c r="BZ10" s="27">
        <f>SUM(BX10:BY10)</f>
        <v/>
      </c>
      <c r="CA10" s="28" t="n">
        <v>59</v>
      </c>
      <c r="CB10" s="31" t="n">
        <v>50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18</v>
      </c>
      <c r="CE10" s="21" t="n">
        <v>38</v>
      </c>
      <c r="CF10" s="27">
        <f>SUM(CD10:CE10)</f>
        <v/>
      </c>
      <c r="CG10" s="28" t="n">
        <v>55</v>
      </c>
      <c r="CH10" s="31" t="n">
        <v>51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>
        <v>11</v>
      </c>
      <c r="CQ10" s="21" t="n">
        <v>12</v>
      </c>
      <c r="CR10" s="27">
        <f>SUM(CP10:CQ10)</f>
        <v/>
      </c>
      <c r="CS10" s="28" t="n">
        <v>14</v>
      </c>
      <c r="CT10" s="31" t="n">
        <v>13</v>
      </c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>
        <v>20</v>
      </c>
      <c r="CW10" s="21" t="n">
        <v>30</v>
      </c>
      <c r="CX10" s="27">
        <f>SUM(CV10:CW10)</f>
        <v/>
      </c>
      <c r="CY10" s="28" t="n">
        <v>19</v>
      </c>
      <c r="CZ10" s="31" t="n">
        <v>34</v>
      </c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GOOD(4)</t>
        </is>
      </c>
      <c r="DK10" s="40" t="inlineStr">
        <is>
          <t>AVERAGE(3)</t>
        </is>
      </c>
      <c r="DL10" s="40" t="inlineStr">
        <is>
          <t>GOOD(4)</t>
        </is>
      </c>
      <c r="DM10" s="40" t="inlineStr">
        <is>
          <t>GOOD(4)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GOOD(4)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AVERAGE(3)</t>
        </is>
      </c>
      <c r="DU10" s="40" t="inlineStr">
        <is>
          <t>AVERAGE(3)</t>
        </is>
      </c>
      <c r="DV10" s="40" t="inlineStr">
        <is>
          <t>GOOD(4)</t>
        </is>
      </c>
      <c r="DW10" s="40" t="inlineStr">
        <is>
          <t>AVERAGE(3)</t>
        </is>
      </c>
      <c r="DX10" s="40" t="inlineStr">
        <is>
          <t>AVERAGE(3)</t>
        </is>
      </c>
      <c r="DY10" s="40" t="inlineStr">
        <is>
          <t>AVERAGE(3)</t>
        </is>
      </c>
      <c r="DZ10" s="53" t="inlineStr">
        <is>
          <t>GOOD(4)</t>
        </is>
      </c>
      <c r="EA10" s="54" t="inlineStr">
        <is>
          <t>Needs to focus more during lessons to achieve full potential.</t>
        </is>
      </c>
      <c r="EB10" s="55" t="inlineStr">
        <is>
          <t>To repeat JSS1</t>
        </is>
      </c>
      <c r="EC10" s="56" t="inlineStr">
        <is>
          <t>Atoyebi Vincent .O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 xml:space="preserve">ADETUNJI MUHEEZAT </t>
        </is>
      </c>
      <c r="C11" s="20" t="inlineStr">
        <is>
          <t>2044</t>
        </is>
      </c>
      <c r="D11" s="128" t="inlineStr">
        <is>
          <t>Female</t>
        </is>
      </c>
      <c r="E11" s="21" t="inlineStr">
        <is>
          <t>JSS 1A</t>
        </is>
      </c>
      <c r="F11" s="21" t="n">
        <v>38</v>
      </c>
      <c r="G11" s="21" t="n">
        <v>122</v>
      </c>
      <c r="H11" s="21" t="n">
        <v>20</v>
      </c>
      <c r="I11" s="26">
        <f>G11-H11</f>
        <v/>
      </c>
      <c r="J11" s="21" t="n">
        <v>10</v>
      </c>
      <c r="K11" s="21" t="n">
        <v>26</v>
      </c>
      <c r="L11" s="27">
        <f>SUM(J11:K11)</f>
        <v/>
      </c>
      <c r="M11" s="28" t="n">
        <v>31</v>
      </c>
      <c r="N11" s="28" t="n">
        <v>26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13</v>
      </c>
      <c r="Q11" s="21" t="n">
        <v>17</v>
      </c>
      <c r="R11" s="27">
        <f>SUM(P11:Q11)</f>
        <v/>
      </c>
      <c r="S11" s="28" t="n">
        <v>10</v>
      </c>
      <c r="T11" s="28" t="n">
        <v>20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12</v>
      </c>
      <c r="W11" s="21" t="n">
        <v>27</v>
      </c>
      <c r="X11" s="27">
        <f>SUM(V11:W11)</f>
        <v/>
      </c>
      <c r="Y11" s="28" t="n">
        <v>31</v>
      </c>
      <c r="Z11" s="28" t="n">
        <v>28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12</v>
      </c>
      <c r="AC11" s="21" t="n">
        <v>24</v>
      </c>
      <c r="AD11" s="27">
        <f>SUM(AB11:AC11)</f>
        <v/>
      </c>
      <c r="AE11" s="28" t="n">
        <v>36</v>
      </c>
      <c r="AF11" s="28" t="n">
        <v>36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18</v>
      </c>
      <c r="AI11" s="21" t="n">
        <v>21</v>
      </c>
      <c r="AJ11" s="27">
        <f>SUM(AH11:AI11)</f>
        <v/>
      </c>
      <c r="AK11" s="28" t="n">
        <v>39</v>
      </c>
      <c r="AL11" s="28" t="n">
        <v>39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16</v>
      </c>
      <c r="AU11" s="21" t="n">
        <v>23</v>
      </c>
      <c r="AV11" s="27">
        <f>SUM(AT11:AU11)</f>
        <v/>
      </c>
      <c r="AW11" s="28" t="n">
        <v>39</v>
      </c>
      <c r="AX11" s="30" t="n">
        <v>39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23</v>
      </c>
      <c r="BA11" s="21" t="n">
        <v>13</v>
      </c>
      <c r="BB11" s="27">
        <f>SUM(AZ11:BA11)</f>
        <v/>
      </c>
      <c r="BC11" s="28" t="n">
        <v>45</v>
      </c>
      <c r="BD11" s="28" t="n">
        <v>26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15</v>
      </c>
      <c r="BG11" s="21" t="n">
        <v>25</v>
      </c>
      <c r="BH11" s="27">
        <f>SUM(BF11:BG11)</f>
        <v/>
      </c>
      <c r="BI11" s="28" t="n">
        <v>12</v>
      </c>
      <c r="BJ11" s="28" t="n">
        <v>17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19</v>
      </c>
      <c r="BM11" s="21" t="n">
        <v>20</v>
      </c>
      <c r="BN11" s="27">
        <f>SUM(BL11:BM11)</f>
        <v/>
      </c>
      <c r="BO11" s="28" t="n">
        <v>38</v>
      </c>
      <c r="BP11" s="31" t="n">
        <v>35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13</v>
      </c>
      <c r="BY11" s="21" t="n">
        <v>27</v>
      </c>
      <c r="BZ11" s="27">
        <f>SUM(BX11:BY11)</f>
        <v/>
      </c>
      <c r="CA11" s="28" t="n">
        <v>40</v>
      </c>
      <c r="CB11" s="31" t="n">
        <v>40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12</v>
      </c>
      <c r="CE11" s="21" t="n">
        <v>14</v>
      </c>
      <c r="CF11" s="27">
        <f>SUM(CD11:CE11)</f>
        <v/>
      </c>
      <c r="CG11" s="28" t="n">
        <v>14</v>
      </c>
      <c r="CH11" s="31" t="n">
        <v>12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11</v>
      </c>
      <c r="CQ11" s="21" t="n">
        <v>12</v>
      </c>
      <c r="CR11" s="27">
        <f>SUM(CP11:CQ11)</f>
        <v/>
      </c>
      <c r="CS11" s="28" t="n">
        <v>14</v>
      </c>
      <c r="CT11" s="31" t="n">
        <v>13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/>
      <c r="CW11" s="21" t="n"/>
      <c r="CX11" s="27">
        <f>SUM(CV11:CW11)</f>
        <v/>
      </c>
      <c r="CY11" s="28" t="n"/>
      <c r="CZ11" s="31" t="n"/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GOOD(4)</t>
        </is>
      </c>
      <c r="DK11" s="40" t="inlineStr">
        <is>
          <t>GOOD(4)</t>
        </is>
      </c>
      <c r="DL11" s="40" t="inlineStr">
        <is>
          <t>GOOD(4)</t>
        </is>
      </c>
      <c r="DM11" s="40" t="inlineStr">
        <is>
          <t>GOOD(4)</t>
        </is>
      </c>
      <c r="DN11" s="40" t="inlineStr">
        <is>
          <t>GOOD(4)</t>
        </is>
      </c>
      <c r="DO11" s="40" t="inlineStr">
        <is>
          <t>AVERAGE(3)</t>
        </is>
      </c>
      <c r="DP11" s="40" t="inlineStr">
        <is>
          <t>GOOD(4)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AVERAGE(3)</t>
        </is>
      </c>
      <c r="DU11" s="40" t="inlineStr">
        <is>
          <t>GOOD(4)</t>
        </is>
      </c>
      <c r="DV11" s="40" t="inlineStr">
        <is>
          <t>AVERAGE(3)</t>
        </is>
      </c>
      <c r="DW11" s="40" t="inlineStr">
        <is>
          <t>GOOD(4)</t>
        </is>
      </c>
      <c r="DX11" s="40" t="inlineStr">
        <is>
          <t>GOOD(4)</t>
        </is>
      </c>
      <c r="DY11" s="40" t="inlineStr">
        <is>
          <t>AVERAGE(3)</t>
        </is>
      </c>
      <c r="DZ11" s="53" t="inlineStr">
        <is>
          <t>GOOD(4)</t>
        </is>
      </c>
      <c r="EA11" s="54" t="inlineStr">
        <is>
          <t>Demonstrates a positive attitude and respect for rules.</t>
        </is>
      </c>
      <c r="EB11" s="55" t="inlineStr">
        <is>
          <t>To repeat JSS1</t>
        </is>
      </c>
      <c r="EC11" s="56" t="inlineStr">
        <is>
          <t>Atoyebi Vincent .O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 xml:space="preserve">ADEWOLE RASHEEDAT </t>
        </is>
      </c>
      <c r="C12" s="20" t="inlineStr">
        <is>
          <t>2037</t>
        </is>
      </c>
      <c r="D12" s="128" t="inlineStr">
        <is>
          <t>Female</t>
        </is>
      </c>
      <c r="E12" s="21" t="inlineStr">
        <is>
          <t>JSS 1A</t>
        </is>
      </c>
      <c r="F12" s="21" t="n">
        <v>38</v>
      </c>
      <c r="G12" s="21" t="n">
        <v>122</v>
      </c>
      <c r="H12" s="21" t="n">
        <v>122</v>
      </c>
      <c r="I12" s="26">
        <f>G12-H12</f>
        <v/>
      </c>
      <c r="J12" s="21" t="n">
        <v>12</v>
      </c>
      <c r="K12" s="21" t="n">
        <v>14</v>
      </c>
      <c r="L12" s="27">
        <f>SUM(J12:K12)</f>
        <v/>
      </c>
      <c r="M12" s="28" t="n">
        <v>14</v>
      </c>
      <c r="N12" s="28" t="n">
        <v>12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15</v>
      </c>
      <c r="Q12" s="21" t="n">
        <v>24</v>
      </c>
      <c r="R12" s="27">
        <f>SUM(P12:Q12)</f>
        <v/>
      </c>
      <c r="S12" s="28" t="n">
        <v>39</v>
      </c>
      <c r="T12" s="28" t="n">
        <v>39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13</v>
      </c>
      <c r="W12" s="21" t="n">
        <v>32</v>
      </c>
      <c r="X12" s="27">
        <f>SUM(V12:W12)</f>
        <v/>
      </c>
      <c r="Y12" s="28" t="n">
        <v>35</v>
      </c>
      <c r="Z12" s="28" t="n">
        <v>26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14</v>
      </c>
      <c r="AC12" s="21" t="n">
        <v>24</v>
      </c>
      <c r="AD12" s="27">
        <f>SUM(AB12:AC12)</f>
        <v/>
      </c>
      <c r="AE12" s="28" t="n">
        <v>38</v>
      </c>
      <c r="AF12" s="28" t="n">
        <v>38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14</v>
      </c>
      <c r="AI12" s="21" t="n">
        <v>25</v>
      </c>
      <c r="AJ12" s="27">
        <f>SUM(AH12:AI12)</f>
        <v/>
      </c>
      <c r="AK12" s="28" t="n">
        <v>39</v>
      </c>
      <c r="AL12" s="28" t="n">
        <v>39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15</v>
      </c>
      <c r="AU12" s="21" t="n">
        <v>24</v>
      </c>
      <c r="AV12" s="27">
        <f>SUM(AT12:AU12)</f>
        <v/>
      </c>
      <c r="AW12" s="28" t="n">
        <v>39</v>
      </c>
      <c r="AX12" s="30" t="n">
        <v>39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29</v>
      </c>
      <c r="BA12" s="21" t="n">
        <v>13</v>
      </c>
      <c r="BB12" s="27">
        <f>SUM(AZ12:BA12)</f>
        <v/>
      </c>
      <c r="BC12" s="28" t="n">
        <v>45</v>
      </c>
      <c r="BD12" s="28" t="n">
        <v>35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12</v>
      </c>
      <c r="BG12" s="21" t="n">
        <v>25</v>
      </c>
      <c r="BH12" s="27">
        <f>SUM(BF12:BG12)</f>
        <v/>
      </c>
      <c r="BI12" s="28" t="n">
        <v>12</v>
      </c>
      <c r="BJ12" s="28" t="n">
        <v>17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19</v>
      </c>
      <c r="BM12" s="21" t="n">
        <v>30</v>
      </c>
      <c r="BN12" s="27">
        <f>SUM(BL12:BM12)</f>
        <v/>
      </c>
      <c r="BO12" s="28" t="n">
        <v>45</v>
      </c>
      <c r="BP12" s="31" t="n">
        <v>41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29</v>
      </c>
      <c r="BY12" s="21" t="n">
        <v>40</v>
      </c>
      <c r="BZ12" s="27">
        <f>SUM(BX12:BY12)</f>
        <v/>
      </c>
      <c r="CA12" s="28" t="n">
        <v>50</v>
      </c>
      <c r="CB12" s="31" t="n">
        <v>57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12</v>
      </c>
      <c r="CE12" s="21" t="n">
        <v>14</v>
      </c>
      <c r="CF12" s="27">
        <f>SUM(CD12:CE12)</f>
        <v/>
      </c>
      <c r="CG12" s="28" t="n">
        <v>14</v>
      </c>
      <c r="CH12" s="31" t="n">
        <v>12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>
        <v>11</v>
      </c>
      <c r="CQ12" s="21" t="n">
        <v>12</v>
      </c>
      <c r="CR12" s="27">
        <f>SUM(CP12:CQ12)</f>
        <v/>
      </c>
      <c r="CS12" s="28" t="n">
        <v>14</v>
      </c>
      <c r="CT12" s="31" t="n">
        <v>13</v>
      </c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>
        <v>30</v>
      </c>
      <c r="CW12" s="21" t="n">
        <v>67</v>
      </c>
      <c r="CX12" s="27">
        <f>SUM(CV12:CW12)</f>
        <v/>
      </c>
      <c r="CY12" s="28" t="n">
        <v>82</v>
      </c>
      <c r="CZ12" s="31" t="n">
        <v>90</v>
      </c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GOOD(4)</t>
        </is>
      </c>
      <c r="DK12" s="40" t="inlineStr">
        <is>
          <t>AVERAGE(3)</t>
        </is>
      </c>
      <c r="DL12" s="40" t="inlineStr">
        <is>
          <t>GOOD(4)</t>
        </is>
      </c>
      <c r="DM12" s="40" t="inlineStr">
        <is>
          <t>GOOD(4)</t>
        </is>
      </c>
      <c r="DN12" s="40" t="inlineStr">
        <is>
          <t>GOOD(4)</t>
        </is>
      </c>
      <c r="DO12" s="40" t="inlineStr">
        <is>
          <t>GOOD(4)</t>
        </is>
      </c>
      <c r="DP12" s="40" t="inlineStr">
        <is>
          <t>GOOD(4)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GOOD(4)</t>
        </is>
      </c>
      <c r="DV12" s="40" t="inlineStr">
        <is>
          <t>GOOD(4)</t>
        </is>
      </c>
      <c r="DW12" s="40" t="inlineStr">
        <is>
          <t>GOOD(4)</t>
        </is>
      </c>
      <c r="DX12" s="40" t="inlineStr">
        <is>
          <t>GOOD(4)</t>
        </is>
      </c>
      <c r="DY12" s="40" t="inlineStr">
        <is>
          <t>BELOW AVERAGE(2)</t>
        </is>
      </c>
      <c r="DZ12" s="53" t="inlineStr">
        <is>
          <t>AVERAGE(3)</t>
        </is>
      </c>
      <c r="EA12" s="54" t="inlineStr">
        <is>
          <t>Consistently well-behaved and sets a good example for peers.</t>
        </is>
      </c>
      <c r="EB12" s="55" t="inlineStr">
        <is>
          <t>Promoted to JSS2</t>
        </is>
      </c>
      <c r="EC12" s="56" t="inlineStr">
        <is>
          <t>Atoyebi Vincent .O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>AJIBADE TAIWO O.</t>
        </is>
      </c>
      <c r="C13" s="20" t="inlineStr">
        <is>
          <t>1912</t>
        </is>
      </c>
      <c r="D13" s="128" t="inlineStr">
        <is>
          <t>Male</t>
        </is>
      </c>
      <c r="E13" s="21" t="inlineStr">
        <is>
          <t>JSS 1A</t>
        </is>
      </c>
      <c r="F13" s="21" t="n">
        <v>38</v>
      </c>
      <c r="G13" s="21" t="n">
        <v>122</v>
      </c>
      <c r="H13" s="21" t="n">
        <v>24</v>
      </c>
      <c r="I13" s="26">
        <f>G13-H13</f>
        <v/>
      </c>
      <c r="J13" s="21" t="n">
        <v>30</v>
      </c>
      <c r="K13" s="21" t="n">
        <v>51</v>
      </c>
      <c r="L13" s="27">
        <f>SUM(J13:K13)</f>
        <v/>
      </c>
      <c r="M13" s="28" t="n">
        <v>74</v>
      </c>
      <c r="N13" s="28" t="n">
        <v>84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28</v>
      </c>
      <c r="Q13" s="21" t="n">
        <v>70</v>
      </c>
      <c r="R13" s="27">
        <f>SUM(P13:Q13)</f>
        <v/>
      </c>
      <c r="S13" s="28" t="n">
        <v>89</v>
      </c>
      <c r="T13" s="28" t="n">
        <v>94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26</v>
      </c>
      <c r="W13" s="21" t="n">
        <v>57</v>
      </c>
      <c r="X13" s="27">
        <f>SUM(V13:W13)</f>
        <v/>
      </c>
      <c r="Y13" s="28" t="n">
        <v>73</v>
      </c>
      <c r="Z13" s="28" t="n">
        <v>50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28</v>
      </c>
      <c r="AC13" s="21" t="n">
        <v>68</v>
      </c>
      <c r="AD13" s="27">
        <f>SUM(AB13:AC13)</f>
        <v/>
      </c>
      <c r="AE13" s="28" t="n">
        <v>92</v>
      </c>
      <c r="AF13" s="28" t="n">
        <v>94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27</v>
      </c>
      <c r="AI13" s="21" t="n">
        <v>70</v>
      </c>
      <c r="AJ13" s="27">
        <f>SUM(AH13:AI13)</f>
        <v/>
      </c>
      <c r="AK13" s="28" t="n">
        <v>99</v>
      </c>
      <c r="AL13" s="28" t="n">
        <v>97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30</v>
      </c>
      <c r="AU13" s="21" t="n">
        <v>70</v>
      </c>
      <c r="AV13" s="27">
        <f>SUM(AT13:AU13)</f>
        <v/>
      </c>
      <c r="AW13" s="28" t="n">
        <v>64</v>
      </c>
      <c r="AX13" s="30" t="n">
        <v>97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26</v>
      </c>
      <c r="BA13" s="21" t="n">
        <v>68</v>
      </c>
      <c r="BB13" s="27">
        <f>SUM(AZ13:BA13)</f>
        <v/>
      </c>
      <c r="BC13" s="28" t="n">
        <v>78</v>
      </c>
      <c r="BD13" s="28" t="n">
        <v>98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14</v>
      </c>
      <c r="BG13" s="21" t="n">
        <v>55</v>
      </c>
      <c r="BH13" s="27">
        <f>SUM(BF13:BG13)</f>
        <v/>
      </c>
      <c r="BI13" s="28" t="n">
        <v>66</v>
      </c>
      <c r="BJ13" s="28" t="n">
        <v>69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27</v>
      </c>
      <c r="BM13" s="21" t="n">
        <v>46</v>
      </c>
      <c r="BN13" s="27">
        <f>SUM(BL13:BM13)</f>
        <v/>
      </c>
      <c r="BO13" s="28" t="n">
        <v>69</v>
      </c>
      <c r="BP13" s="31" t="n">
        <v>71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29</v>
      </c>
      <c r="BY13" s="21" t="n">
        <v>40</v>
      </c>
      <c r="BZ13" s="27">
        <f>SUM(BX13:BY13)</f>
        <v/>
      </c>
      <c r="CA13" s="28" t="n">
        <v>50</v>
      </c>
      <c r="CB13" s="31" t="n">
        <v>57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29</v>
      </c>
      <c r="CE13" s="21" t="n">
        <v>49</v>
      </c>
      <c r="CF13" s="27">
        <f>SUM(CD13:CE13)</f>
        <v/>
      </c>
      <c r="CG13" s="28" t="n">
        <v>65</v>
      </c>
      <c r="CH13" s="31" t="n">
        <v>71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/>
      <c r="CQ13" s="21" t="n"/>
      <c r="CR13" s="27">
        <f>SUM(CP13:CQ13)</f>
        <v/>
      </c>
      <c r="CS13" s="28" t="n"/>
      <c r="CT13" s="31" t="n"/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>
        <v>30</v>
      </c>
      <c r="CW13" s="21" t="n">
        <v>67</v>
      </c>
      <c r="CX13" s="27">
        <f>SUM(CV13:CW13)</f>
        <v/>
      </c>
      <c r="CY13" s="28" t="n">
        <v>82</v>
      </c>
      <c r="CZ13" s="31" t="n">
        <v>90</v>
      </c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GOOD(4)</t>
        </is>
      </c>
      <c r="DK13" s="40" t="inlineStr">
        <is>
          <t>AVERAGE(3)</t>
        </is>
      </c>
      <c r="DL13" s="40" t="inlineStr">
        <is>
          <t>GOOD(4)</t>
        </is>
      </c>
      <c r="DM13" s="40" t="inlineStr">
        <is>
          <t>GOOD(4)</t>
        </is>
      </c>
      <c r="DN13" s="40" t="inlineStr">
        <is>
          <t>GOOD(4)</t>
        </is>
      </c>
      <c r="DO13" s="40" t="inlineStr">
        <is>
          <t>GOOD(4)</t>
        </is>
      </c>
      <c r="DP13" s="40" t="inlineStr">
        <is>
          <t>AVERAGE(3)</t>
        </is>
      </c>
      <c r="DQ13" s="40" t="inlineStr">
        <is>
          <t>GOOD(4)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GOOD(4)</t>
        </is>
      </c>
      <c r="DU13" s="40" t="inlineStr">
        <is>
          <t>GOOD(4)</t>
        </is>
      </c>
      <c r="DV13" s="40" t="inlineStr">
        <is>
          <t>GOOD(4)</t>
        </is>
      </c>
      <c r="DW13" s="40" t="inlineStr">
        <is>
          <t>AVERAGE(3)</t>
        </is>
      </c>
      <c r="DX13" s="40" t="inlineStr">
        <is>
          <t>GOOD(4)</t>
        </is>
      </c>
      <c r="DY13" s="40" t="inlineStr">
        <is>
          <t>AVERAGE(3)</t>
        </is>
      </c>
      <c r="DZ13" s="53" t="inlineStr">
        <is>
          <t>AVERAGE(3)</t>
        </is>
      </c>
      <c r="EA13" s="54" t="inlineStr">
        <is>
          <t>Needs to focus more during lessons to achieve full potential.</t>
        </is>
      </c>
      <c r="EB13" s="55" t="inlineStr">
        <is>
          <t>To repeat JSS1</t>
        </is>
      </c>
      <c r="EC13" s="56" t="inlineStr">
        <is>
          <t>Atoyebi Vincent .O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>AYODELE BLESSING A.</t>
        </is>
      </c>
      <c r="C14" s="20" t="inlineStr">
        <is>
          <t>1918</t>
        </is>
      </c>
      <c r="D14" s="128" t="inlineStr">
        <is>
          <t>Female</t>
        </is>
      </c>
      <c r="E14" s="21" t="inlineStr">
        <is>
          <t>JSS 1A</t>
        </is>
      </c>
      <c r="F14" s="21" t="n">
        <v>38</v>
      </c>
      <c r="G14" s="21" t="n">
        <v>122</v>
      </c>
      <c r="H14" s="21" t="n">
        <v>23</v>
      </c>
      <c r="I14" s="26">
        <f>G14-H14</f>
        <v/>
      </c>
      <c r="J14" s="21" t="n">
        <v>15</v>
      </c>
      <c r="K14" s="21" t="n">
        <v>20</v>
      </c>
      <c r="L14" s="27">
        <f>SUM(J14:K14)</f>
        <v/>
      </c>
      <c r="M14" s="28" t="n">
        <v>34</v>
      </c>
      <c r="N14" s="28" t="n">
        <v>34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8</v>
      </c>
      <c r="Q14" s="21" t="n">
        <v>20</v>
      </c>
      <c r="R14" s="27">
        <f>SUM(P14:Q14)</f>
        <v/>
      </c>
      <c r="S14" s="28" t="n">
        <v>23</v>
      </c>
      <c r="T14" s="28" t="n">
        <v>26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14</v>
      </c>
      <c r="W14" s="21" t="n">
        <v>30</v>
      </c>
      <c r="X14" s="27">
        <f>SUM(V14:W14)</f>
        <v/>
      </c>
      <c r="Y14" s="28" t="n">
        <v>55</v>
      </c>
      <c r="Z14" s="28" t="n">
        <v>50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13</v>
      </c>
      <c r="AC14" s="21" t="n">
        <v>25</v>
      </c>
      <c r="AD14" s="27">
        <f>SUM(AB14:AC14)</f>
        <v/>
      </c>
      <c r="AE14" s="28" t="n">
        <v>40</v>
      </c>
      <c r="AF14" s="28" t="n">
        <v>39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15</v>
      </c>
      <c r="AI14" s="21" t="n">
        <v>23</v>
      </c>
      <c r="AJ14" s="27">
        <f>SUM(AH14:AI14)</f>
        <v/>
      </c>
      <c r="AK14" s="28" t="n">
        <v>29</v>
      </c>
      <c r="AL14" s="28" t="n">
        <v>46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18</v>
      </c>
      <c r="AU14" s="21" t="n">
        <v>20</v>
      </c>
      <c r="AV14" s="27">
        <f>SUM(AT14:AU14)</f>
        <v/>
      </c>
      <c r="AW14" s="28" t="n">
        <v>39</v>
      </c>
      <c r="AX14" s="30" t="n">
        <v>61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23</v>
      </c>
      <c r="BA14" s="21" t="n">
        <v>15</v>
      </c>
      <c r="BB14" s="27">
        <f>SUM(AZ14:BA14)</f>
        <v/>
      </c>
      <c r="BC14" s="28" t="n">
        <v>46</v>
      </c>
      <c r="BD14" s="28" t="n">
        <v>54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14</v>
      </c>
      <c r="BG14" s="21" t="n">
        <v>25</v>
      </c>
      <c r="BH14" s="27">
        <f>SUM(BF14:BG14)</f>
        <v/>
      </c>
      <c r="BI14" s="28" t="n">
        <v>34</v>
      </c>
      <c r="BJ14" s="28" t="n">
        <v>12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19</v>
      </c>
      <c r="BM14" s="21" t="n">
        <v>26</v>
      </c>
      <c r="BN14" s="27">
        <f>SUM(BL14:BM14)</f>
        <v/>
      </c>
      <c r="BO14" s="28" t="n">
        <v>30</v>
      </c>
      <c r="BP14" s="31" t="n">
        <v>46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12</v>
      </c>
      <c r="BY14" s="21" t="n">
        <v>39</v>
      </c>
      <c r="BZ14" s="27">
        <f>SUM(BX14:BY14)</f>
        <v/>
      </c>
      <c r="CA14" s="28" t="n">
        <v>45</v>
      </c>
      <c r="CB14" s="31" t="n">
        <v>42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12</v>
      </c>
      <c r="CE14" s="21" t="n">
        <v>45</v>
      </c>
      <c r="CF14" s="27">
        <f>SUM(CD14:CE14)</f>
        <v/>
      </c>
      <c r="CG14" s="28" t="n">
        <v>47</v>
      </c>
      <c r="CH14" s="31" t="n">
        <v>43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>
        <v>11</v>
      </c>
      <c r="CQ14" s="21" t="n">
        <v>12</v>
      </c>
      <c r="CR14" s="27">
        <f>SUM(CP14:CQ14)</f>
        <v/>
      </c>
      <c r="CS14" s="28" t="n">
        <v>14</v>
      </c>
      <c r="CT14" s="31" t="n">
        <v>13</v>
      </c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>
        <v>10</v>
      </c>
      <c r="CW14" s="21" t="n">
        <v>10</v>
      </c>
      <c r="CX14" s="27">
        <f>SUM(CV14:CW14)</f>
        <v/>
      </c>
      <c r="CY14" s="28" t="n">
        <v>20</v>
      </c>
      <c r="CZ14" s="31" t="n">
        <v>20</v>
      </c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GOOD(4)</t>
        </is>
      </c>
      <c r="DK14" s="40" t="inlineStr">
        <is>
          <t>GOOD(4)</t>
        </is>
      </c>
      <c r="DL14" s="40" t="inlineStr">
        <is>
          <t>GOOD(4)</t>
        </is>
      </c>
      <c r="DM14" s="40" t="inlineStr">
        <is>
          <t>AVERAGE(3)</t>
        </is>
      </c>
      <c r="DN14" s="40" t="inlineStr">
        <is>
          <t>GOOD(4)</t>
        </is>
      </c>
      <c r="DO14" s="40" t="inlineStr">
        <is>
          <t>AVERAGE(3)</t>
        </is>
      </c>
      <c r="DP14" s="40" t="inlineStr">
        <is>
          <t>GOOD(4)</t>
        </is>
      </c>
      <c r="DQ14" s="40" t="inlineStr">
        <is>
          <t>GOOD(4)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AVERAGE(3)</t>
        </is>
      </c>
      <c r="DU14" s="40" t="inlineStr">
        <is>
          <t>AVERAGE(3)</t>
        </is>
      </c>
      <c r="DV14" s="40" t="inlineStr">
        <is>
          <t>AVERAGE(3)</t>
        </is>
      </c>
      <c r="DW14" s="40" t="inlineStr">
        <is>
          <t>GOOD(4)</t>
        </is>
      </c>
      <c r="DX14" s="40" t="inlineStr">
        <is>
          <t>GOOD(4)</t>
        </is>
      </c>
      <c r="DY14" s="40" t="inlineStr">
        <is>
          <t>AVERAGE(3)</t>
        </is>
      </c>
      <c r="DZ14" s="53" t="inlineStr">
        <is>
          <t>GOOD(4)</t>
        </is>
      </c>
      <c r="EA14" s="54" t="inlineStr">
        <is>
          <t>Demonstrates a positive attitude and respect for rules.</t>
        </is>
      </c>
      <c r="EB14" s="55" t="inlineStr">
        <is>
          <t>To repeat JSS1</t>
        </is>
      </c>
      <c r="EC14" s="56" t="inlineStr">
        <is>
          <t>Atoyebi Vincent .O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 xml:space="preserve">BALOGUN FAIDAT </t>
        </is>
      </c>
      <c r="C15" s="20" t="inlineStr">
        <is>
          <t>2038</t>
        </is>
      </c>
      <c r="D15" s="128" t="inlineStr">
        <is>
          <t>Female</t>
        </is>
      </c>
      <c r="E15" s="21" t="inlineStr">
        <is>
          <t>JSS 1A</t>
        </is>
      </c>
      <c r="F15" s="21" t="n">
        <v>38</v>
      </c>
      <c r="G15" s="21" t="n">
        <v>122</v>
      </c>
      <c r="H15" s="21" t="n">
        <v>116</v>
      </c>
      <c r="I15" s="26">
        <f>G15-H15</f>
        <v/>
      </c>
      <c r="J15" s="21" t="n">
        <v>15</v>
      </c>
      <c r="K15" s="21" t="n">
        <v>24</v>
      </c>
      <c r="L15" s="27">
        <f>SUM(J15:K15)</f>
        <v/>
      </c>
      <c r="M15" s="28" t="n">
        <v>39</v>
      </c>
      <c r="N15" s="28" t="n">
        <v>39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15</v>
      </c>
      <c r="Q15" s="21" t="n">
        <v>24</v>
      </c>
      <c r="R15" s="27">
        <f>SUM(P15:Q15)</f>
        <v/>
      </c>
      <c r="S15" s="28" t="n">
        <v>39</v>
      </c>
      <c r="T15" s="28" t="n">
        <v>39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11</v>
      </c>
      <c r="W15" s="21" t="n">
        <v>35</v>
      </c>
      <c r="X15" s="27">
        <f>SUM(V15:W15)</f>
        <v/>
      </c>
      <c r="Y15" s="28" t="n">
        <v>34</v>
      </c>
      <c r="Z15" s="28" t="n">
        <v>32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14</v>
      </c>
      <c r="AC15" s="21" t="n">
        <v>22</v>
      </c>
      <c r="AD15" s="27">
        <f>SUM(AB15:AC15)</f>
        <v/>
      </c>
      <c r="AE15" s="28" t="n">
        <v>36</v>
      </c>
      <c r="AF15" s="28" t="n">
        <v>36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15</v>
      </c>
      <c r="AI15" s="21" t="n">
        <v>23</v>
      </c>
      <c r="AJ15" s="27">
        <f>SUM(AH15:AI15)</f>
        <v/>
      </c>
      <c r="AK15" s="28" t="n">
        <v>38</v>
      </c>
      <c r="AL15" s="28" t="n">
        <v>38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15</v>
      </c>
      <c r="AU15" s="21" t="n">
        <v>24</v>
      </c>
      <c r="AV15" s="27">
        <f>SUM(AT15:AU15)</f>
        <v/>
      </c>
      <c r="AW15" s="28" t="n">
        <v>39</v>
      </c>
      <c r="AX15" s="30" t="n">
        <v>39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25</v>
      </c>
      <c r="BA15" s="21" t="n">
        <v>10</v>
      </c>
      <c r="BB15" s="27">
        <f>SUM(AZ15:BA15)</f>
        <v/>
      </c>
      <c r="BC15" s="28" t="n">
        <v>48</v>
      </c>
      <c r="BD15" s="28" t="n">
        <v>50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14</v>
      </c>
      <c r="BG15" s="21" t="n">
        <v>25</v>
      </c>
      <c r="BH15" s="27">
        <f>SUM(BF15:BG15)</f>
        <v/>
      </c>
      <c r="BI15" s="28" t="n">
        <v>34</v>
      </c>
      <c r="BJ15" s="28" t="n">
        <v>12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16</v>
      </c>
      <c r="BM15" s="21" t="n">
        <v>30</v>
      </c>
      <c r="BN15" s="27">
        <f>SUM(BL15:BM15)</f>
        <v/>
      </c>
      <c r="BO15" s="28" t="n">
        <v>44</v>
      </c>
      <c r="BP15" s="31" t="n">
        <v>45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29</v>
      </c>
      <c r="BY15" s="21" t="n">
        <v>40</v>
      </c>
      <c r="BZ15" s="27">
        <f>SUM(BX15:BY15)</f>
        <v/>
      </c>
      <c r="CA15" s="28" t="n">
        <v>50</v>
      </c>
      <c r="CB15" s="31" t="n">
        <v>57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12</v>
      </c>
      <c r="CE15" s="21" t="n">
        <v>23</v>
      </c>
      <c r="CF15" s="27">
        <f>SUM(CD15:CE15)</f>
        <v/>
      </c>
      <c r="CG15" s="28" t="n">
        <v>23</v>
      </c>
      <c r="CH15" s="31" t="n">
        <v>14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11</v>
      </c>
      <c r="CQ15" s="21" t="n">
        <v>12</v>
      </c>
      <c r="CR15" s="27">
        <f>SUM(CP15:CQ15)</f>
        <v/>
      </c>
      <c r="CS15" s="28" t="n">
        <v>14</v>
      </c>
      <c r="CT15" s="31" t="n">
        <v>13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/>
      <c r="CW15" s="21" t="n"/>
      <c r="CX15" s="27">
        <f>SUM(CV15:CW15)</f>
        <v/>
      </c>
      <c r="CY15" s="28" t="n"/>
      <c r="CZ15" s="31" t="n"/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AVERAGE(3)</t>
        </is>
      </c>
      <c r="DK15" s="40" t="inlineStr">
        <is>
          <t>GOOD(4)</t>
        </is>
      </c>
      <c r="DL15" s="40" t="inlineStr">
        <is>
          <t>GOOD(4)</t>
        </is>
      </c>
      <c r="DM15" s="40" t="inlineStr">
        <is>
          <t>GOOD(4)</t>
        </is>
      </c>
      <c r="DN15" s="40" t="inlineStr">
        <is>
          <t>GOOD(4)</t>
        </is>
      </c>
      <c r="DO15" s="40" t="inlineStr">
        <is>
          <t>GOOD(4)</t>
        </is>
      </c>
      <c r="DP15" s="40" t="inlineStr">
        <is>
          <t>GOOD(4)</t>
        </is>
      </c>
      <c r="DQ15" s="40" t="inlineStr">
        <is>
          <t>AVERAGE(3)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GOOD(4)</t>
        </is>
      </c>
      <c r="DV15" s="40" t="inlineStr">
        <is>
          <t>GOOD(4)</t>
        </is>
      </c>
      <c r="DW15" s="40" t="inlineStr">
        <is>
          <t>GOOD(4)</t>
        </is>
      </c>
      <c r="DX15" s="40" t="inlineStr">
        <is>
          <t>GOOD(4)</t>
        </is>
      </c>
      <c r="DY15" s="40" t="inlineStr">
        <is>
          <t>GOOD(4)</t>
        </is>
      </c>
      <c r="DZ15" s="53" t="inlineStr">
        <is>
          <t>GOOD(4)</t>
        </is>
      </c>
      <c r="EA15" s="54" t="inlineStr">
        <is>
          <t>Shows consistent effort and improvement in academic work.</t>
        </is>
      </c>
      <c r="EB15" s="55" t="inlineStr">
        <is>
          <t>Promoted to JSS2</t>
        </is>
      </c>
      <c r="EC15" s="56" t="inlineStr">
        <is>
          <t>Atoyebi Vincent .O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 xml:space="preserve">DANLADI NURUDEEN </t>
        </is>
      </c>
      <c r="C16" s="20" t="inlineStr">
        <is>
          <t>1925</t>
        </is>
      </c>
      <c r="D16" s="128" t="inlineStr">
        <is>
          <t>Male</t>
        </is>
      </c>
      <c r="E16" s="21" t="inlineStr">
        <is>
          <t>JSS 1A</t>
        </is>
      </c>
      <c r="F16" s="21" t="n">
        <v>38</v>
      </c>
      <c r="G16" s="21" t="n">
        <v>122</v>
      </c>
      <c r="H16" s="21" t="n">
        <v>112</v>
      </c>
      <c r="I16" s="26">
        <f>G16-H16</f>
        <v/>
      </c>
      <c r="J16" s="21" t="n">
        <v>22</v>
      </c>
      <c r="K16" s="21" t="n">
        <v>12</v>
      </c>
      <c r="L16" s="27">
        <f>SUM(J16:K16)</f>
        <v/>
      </c>
      <c r="M16" s="28" t="n">
        <v>19</v>
      </c>
      <c r="N16" s="28" t="n">
        <v>4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15</v>
      </c>
      <c r="Q16" s="21" t="n">
        <v>32</v>
      </c>
      <c r="R16" s="27">
        <f>SUM(P16:Q16)</f>
        <v/>
      </c>
      <c r="S16" s="28" t="n">
        <v>41</v>
      </c>
      <c r="T16" s="28" t="n">
        <v>38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14</v>
      </c>
      <c r="W16" s="21" t="n">
        <v>40</v>
      </c>
      <c r="X16" s="27">
        <f>SUM(V16:W16)</f>
        <v/>
      </c>
      <c r="Y16" s="28" t="n">
        <v>29</v>
      </c>
      <c r="Z16" s="28" t="n">
        <v>48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20</v>
      </c>
      <c r="AC16" s="21" t="n">
        <v>30</v>
      </c>
      <c r="AD16" s="27">
        <f>SUM(AB16:AC16)</f>
        <v/>
      </c>
      <c r="AE16" s="28" t="n">
        <v>43</v>
      </c>
      <c r="AF16" s="28" t="n">
        <v>46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30</v>
      </c>
      <c r="AI16" s="21" t="n">
        <v>25</v>
      </c>
      <c r="AJ16" s="27">
        <f>SUM(AH16:AI16)</f>
        <v/>
      </c>
      <c r="AK16" s="28" t="n">
        <v>62</v>
      </c>
      <c r="AL16" s="28" t="n">
        <v>23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19</v>
      </c>
      <c r="AU16" s="21" t="n">
        <v>40</v>
      </c>
      <c r="AV16" s="27">
        <f>SUM(AT16:AU16)</f>
        <v/>
      </c>
      <c r="AW16" s="28" t="n">
        <v>36</v>
      </c>
      <c r="AX16" s="30" t="n">
        <v>59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23</v>
      </c>
      <c r="BA16" s="21" t="n">
        <v>28</v>
      </c>
      <c r="BB16" s="27">
        <f>SUM(AZ16:BA16)</f>
        <v/>
      </c>
      <c r="BC16" s="28" t="n">
        <v>36</v>
      </c>
      <c r="BD16" s="28" t="n">
        <v>30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13</v>
      </c>
      <c r="BG16" s="21" t="n">
        <v>35</v>
      </c>
      <c r="BH16" s="27">
        <f>SUM(BF16:BG16)</f>
        <v/>
      </c>
      <c r="BI16" s="28" t="n">
        <v>48</v>
      </c>
      <c r="BJ16" s="28" t="n">
        <v>48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20</v>
      </c>
      <c r="BM16" s="21" t="n">
        <v>30</v>
      </c>
      <c r="BN16" s="27">
        <f>SUM(BL16:BM16)</f>
        <v/>
      </c>
      <c r="BO16" s="28" t="n">
        <v>24</v>
      </c>
      <c r="BP16" s="31" t="n">
        <v>33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29</v>
      </c>
      <c r="BY16" s="21" t="n">
        <v>40</v>
      </c>
      <c r="BZ16" s="27">
        <f>SUM(BX16:BY16)</f>
        <v/>
      </c>
      <c r="CA16" s="28" t="n">
        <v>50</v>
      </c>
      <c r="CB16" s="31" t="n">
        <v>57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16</v>
      </c>
      <c r="CE16" s="21" t="n">
        <v>41</v>
      </c>
      <c r="CF16" s="27">
        <f>SUM(CD16:CE16)</f>
        <v/>
      </c>
      <c r="CG16" s="28" t="n">
        <v>11</v>
      </c>
      <c r="CH16" s="31" t="n">
        <v>18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8</v>
      </c>
      <c r="CQ16" s="21" t="n">
        <v>30</v>
      </c>
      <c r="CR16" s="27">
        <f>SUM(CP16:CQ16)</f>
        <v/>
      </c>
      <c r="CS16" s="28" t="n">
        <v>47</v>
      </c>
      <c r="CT16" s="31" t="n">
        <v>29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AVERAGE(3)</t>
        </is>
      </c>
      <c r="DK16" s="40" t="inlineStr">
        <is>
          <t>GOOD(4)</t>
        </is>
      </c>
      <c r="DL16" s="40" t="inlineStr">
        <is>
          <t>GOOD(4)</t>
        </is>
      </c>
      <c r="DM16" s="40" t="inlineStr">
        <is>
          <t>GOOD(4)</t>
        </is>
      </c>
      <c r="DN16" s="40" t="inlineStr">
        <is>
          <t>AVERAGE(3)</t>
        </is>
      </c>
      <c r="DO16" s="40" t="inlineStr">
        <is>
          <t>AVERAGE(3)</t>
        </is>
      </c>
      <c r="DP16" s="40" t="inlineStr">
        <is>
          <t>AVERAGE(3)</t>
        </is>
      </c>
      <c r="DQ16" s="40" t="inlineStr">
        <is>
          <t>AVERAGE(3)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AVERAGE(3)</t>
        </is>
      </c>
      <c r="DU16" s="40" t="inlineStr">
        <is>
          <t>GOOD(4)</t>
        </is>
      </c>
      <c r="DV16" s="40" t="inlineStr">
        <is>
          <t>AVERAGE(3)</t>
        </is>
      </c>
      <c r="DW16" s="40" t="inlineStr">
        <is>
          <t>AVERAGE(3)</t>
        </is>
      </c>
      <c r="DX16" s="40" t="inlineStr">
        <is>
          <t>GOOD(4)</t>
        </is>
      </c>
      <c r="DY16" s="40" t="inlineStr">
        <is>
          <t>GOOD(4)</t>
        </is>
      </c>
      <c r="DZ16" s="53" t="inlineStr">
        <is>
          <t>GOOD(4)</t>
        </is>
      </c>
      <c r="EA16" s="54" t="inlineStr">
        <is>
          <t>Excels in most subjects and demonstrates a strong grasp of concepts.</t>
        </is>
      </c>
      <c r="EB16" s="55" t="inlineStr">
        <is>
          <t>Promoted to JSS2</t>
        </is>
      </c>
      <c r="EC16" s="56" t="inlineStr">
        <is>
          <t>Atoyebi Vincent .O</t>
        </is>
      </c>
      <c r="ED16" s="57" t="inlineStr">
        <is>
          <t>Next Term Begins on Monday, 15th September, 2025</t>
        </is>
      </c>
    </row>
    <row r="17" ht="30.6" customHeight="1" s="6" thickBot="1" thickTop="1">
      <c r="A17" s="18" t="n">
        <v>14</v>
      </c>
      <c r="B17" s="19" t="inlineStr">
        <is>
          <t>DAUDA SULIAT ASABI</t>
        </is>
      </c>
      <c r="C17" s="20" t="inlineStr">
        <is>
          <t>1926</t>
        </is>
      </c>
      <c r="D17" s="128" t="inlineStr">
        <is>
          <t>Female</t>
        </is>
      </c>
      <c r="E17" s="21" t="inlineStr">
        <is>
          <t>JSS 1A</t>
        </is>
      </c>
      <c r="F17" s="21" t="n">
        <v>38</v>
      </c>
      <c r="G17" s="21" t="n">
        <v>122</v>
      </c>
      <c r="H17" s="21" t="n">
        <v>20</v>
      </c>
      <c r="I17" s="26">
        <f>G17-H17</f>
        <v/>
      </c>
      <c r="J17" s="21" t="n">
        <v>22</v>
      </c>
      <c r="K17" s="21" t="n">
        <v>26</v>
      </c>
      <c r="L17" s="27">
        <f>SUM(J17:K17)</f>
        <v/>
      </c>
      <c r="M17" s="28" t="n">
        <v>68</v>
      </c>
      <c r="N17" s="28" t="n">
        <v>64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27</v>
      </c>
      <c r="Q17" s="21" t="n">
        <v>70</v>
      </c>
      <c r="R17" s="27">
        <f>SUM(P17:Q17)</f>
        <v/>
      </c>
      <c r="S17" s="28" t="n">
        <v>49</v>
      </c>
      <c r="T17" s="28" t="n">
        <v>73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30</v>
      </c>
      <c r="W17" s="21" t="n">
        <v>50</v>
      </c>
      <c r="X17" s="27">
        <f>SUM(V17:W17)</f>
        <v/>
      </c>
      <c r="Y17" s="28" t="n">
        <v>78</v>
      </c>
      <c r="Z17" s="28" t="n">
        <v>54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25</v>
      </c>
      <c r="AC17" s="21" t="n">
        <v>44</v>
      </c>
      <c r="AD17" s="27">
        <f>SUM(AB17:AC17)</f>
        <v/>
      </c>
      <c r="AE17" s="28" t="n">
        <v>83</v>
      </c>
      <c r="AF17" s="28" t="n">
        <v>76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27</v>
      </c>
      <c r="AI17" s="21" t="n">
        <v>25</v>
      </c>
      <c r="AJ17" s="27">
        <f>SUM(AH17:AI17)</f>
        <v/>
      </c>
      <c r="AK17" s="28" t="n">
        <v>94</v>
      </c>
      <c r="AL17" s="28" t="n">
        <v>85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30</v>
      </c>
      <c r="AU17" s="21" t="n">
        <v>52</v>
      </c>
      <c r="AV17" s="27">
        <f>SUM(AT17:AU17)</f>
        <v/>
      </c>
      <c r="AW17" s="28" t="n">
        <v>66</v>
      </c>
      <c r="AX17" s="30" t="n">
        <v>61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24</v>
      </c>
      <c r="BA17" s="21" t="n">
        <v>49</v>
      </c>
      <c r="BB17" s="27">
        <f>SUM(AZ17:BA17)</f>
        <v/>
      </c>
      <c r="BC17" s="28" t="n">
        <v>73</v>
      </c>
      <c r="BD17" s="28" t="n">
        <v>45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16</v>
      </c>
      <c r="BG17" s="21" t="n">
        <v>53</v>
      </c>
      <c r="BH17" s="27">
        <f>SUM(BF17:BG17)</f>
        <v/>
      </c>
      <c r="BI17" s="28" t="n">
        <v>60</v>
      </c>
      <c r="BJ17" s="28" t="n">
        <v>56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25</v>
      </c>
      <c r="BM17" s="21" t="n">
        <v>65</v>
      </c>
      <c r="BN17" s="27">
        <f>SUM(BL17:BM17)</f>
        <v/>
      </c>
      <c r="BO17" s="28" t="n">
        <v>66</v>
      </c>
      <c r="BP17" s="31" t="n">
        <v>78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29</v>
      </c>
      <c r="BY17" s="21" t="n">
        <v>40</v>
      </c>
      <c r="BZ17" s="27">
        <f>SUM(BX17:BY17)</f>
        <v/>
      </c>
      <c r="CA17" s="28" t="n">
        <v>50</v>
      </c>
      <c r="CB17" s="31" t="n">
        <v>57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26</v>
      </c>
      <c r="CE17" s="21" t="n">
        <v>38</v>
      </c>
      <c r="CF17" s="27">
        <f>SUM(CD17:CE17)</f>
        <v/>
      </c>
      <c r="CG17" s="28" t="n">
        <v>66</v>
      </c>
      <c r="CH17" s="31" t="n">
        <v>33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>
        <v>29</v>
      </c>
      <c r="CQ17" s="21" t="n">
        <v>48</v>
      </c>
      <c r="CR17" s="27">
        <f>SUM(CP17:CQ17)</f>
        <v/>
      </c>
      <c r="CS17" s="28" t="n">
        <v>68</v>
      </c>
      <c r="CT17" s="31" t="n">
        <v>36</v>
      </c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/>
      <c r="CW17" s="21" t="n"/>
      <c r="CX17" s="27">
        <f>SUM(CV17:CW17)</f>
        <v/>
      </c>
      <c r="CY17" s="28" t="n"/>
      <c r="CZ17" s="31" t="n"/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AVERAGE(3)</t>
        </is>
      </c>
      <c r="DK17" s="40" t="inlineStr">
        <is>
          <t>GOOD(4)</t>
        </is>
      </c>
      <c r="DL17" s="40" t="inlineStr">
        <is>
          <t>AVERAGE(3)</t>
        </is>
      </c>
      <c r="DM17" s="40" t="inlineStr">
        <is>
          <t>AVERAGE(3)</t>
        </is>
      </c>
      <c r="DN17" s="40" t="inlineStr">
        <is>
          <t>GOOD(4)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GOOD(4)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GOOD(4)</t>
        </is>
      </c>
      <c r="DU17" s="40" t="inlineStr">
        <is>
          <t>GOOD(4)</t>
        </is>
      </c>
      <c r="DV17" s="40" t="inlineStr">
        <is>
          <t>GOOD(4)</t>
        </is>
      </c>
      <c r="DW17" s="40" t="inlineStr">
        <is>
          <t>AVERAGE(3)</t>
        </is>
      </c>
      <c r="DX17" s="40" t="inlineStr">
        <is>
          <t>AVERAGE(3)</t>
        </is>
      </c>
      <c r="DY17" s="40" t="inlineStr">
        <is>
          <t>GOOD(4)</t>
        </is>
      </c>
      <c r="DZ17" s="53" t="inlineStr">
        <is>
          <t>GOOD(4)</t>
        </is>
      </c>
      <c r="EA17" s="54" t="inlineStr">
        <is>
          <t>Needs to focus more during lessons to achieve full potential.</t>
        </is>
      </c>
      <c r="EB17" s="55" t="inlineStr">
        <is>
          <t>To repeat JSS1</t>
        </is>
      </c>
      <c r="EC17" s="56" t="inlineStr">
        <is>
          <t>Atoyebi Vincent .O</t>
        </is>
      </c>
      <c r="ED17" s="57" t="inlineStr">
        <is>
          <t>Next Term Begins on Monday, 15th September, 2025</t>
        </is>
      </c>
    </row>
    <row r="18" ht="30.6" customHeight="1" s="6" thickBot="1" thickTop="1">
      <c r="A18" s="18" t="n">
        <v>15</v>
      </c>
      <c r="B18" s="19" t="inlineStr">
        <is>
          <t xml:space="preserve">FATAI IBRAHIM </t>
        </is>
      </c>
      <c r="C18" s="20" t="inlineStr">
        <is>
          <t>1797</t>
        </is>
      </c>
      <c r="D18" s="128" t="inlineStr">
        <is>
          <t>Male</t>
        </is>
      </c>
      <c r="E18" s="21" t="inlineStr">
        <is>
          <t>JSS 1A</t>
        </is>
      </c>
      <c r="F18" s="21" t="n">
        <v>38</v>
      </c>
      <c r="G18" s="21" t="n">
        <v>122</v>
      </c>
      <c r="H18" s="21" t="n">
        <v>114</v>
      </c>
      <c r="I18" s="26">
        <f>G18-H18</f>
        <v/>
      </c>
      <c r="J18" s="21" t="n">
        <v>13</v>
      </c>
      <c r="K18" s="21" t="n">
        <v>30</v>
      </c>
      <c r="L18" s="27">
        <f>SUM(J18:K18)</f>
        <v/>
      </c>
      <c r="M18" s="28" t="n">
        <v>54</v>
      </c>
      <c r="N18" s="28" t="n">
        <v>48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6</v>
      </c>
      <c r="Q18" s="21" t="n">
        <v>26</v>
      </c>
      <c r="R18" s="27">
        <f>SUM(P18:Q18)</f>
        <v/>
      </c>
      <c r="S18" s="28" t="n">
        <v>41</v>
      </c>
      <c r="T18" s="28" t="n">
        <v>36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13</v>
      </c>
      <c r="W18" s="21" t="n">
        <v>30</v>
      </c>
      <c r="X18" s="27">
        <f>SUM(V18:W18)</f>
        <v/>
      </c>
      <c r="Y18" s="28" t="n">
        <v>29</v>
      </c>
      <c r="Z18" s="28" t="n">
        <v>34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10</v>
      </c>
      <c r="AC18" s="21" t="n">
        <v>29</v>
      </c>
      <c r="AD18" s="27">
        <f>SUM(AB18:AC18)</f>
        <v/>
      </c>
      <c r="AE18" s="28" t="n">
        <v>39</v>
      </c>
      <c r="AF18" s="28" t="n">
        <v>39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12</v>
      </c>
      <c r="AI18" s="21" t="n">
        <v>27</v>
      </c>
      <c r="AJ18" s="27">
        <f>SUM(AH18:AI18)</f>
        <v/>
      </c>
      <c r="AK18" s="28" t="n">
        <v>0</v>
      </c>
      <c r="AL18" s="28" t="n">
        <v>15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19</v>
      </c>
      <c r="AU18" s="21" t="n">
        <v>27</v>
      </c>
      <c r="AV18" s="27">
        <f>SUM(AT18:AU18)</f>
        <v/>
      </c>
      <c r="AW18" s="28" t="n">
        <v>30</v>
      </c>
      <c r="AX18" s="30" t="n">
        <v>38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19</v>
      </c>
      <c r="BA18" s="21" t="n">
        <v>27</v>
      </c>
      <c r="BB18" s="27">
        <f>SUM(AZ18:BA18)</f>
        <v/>
      </c>
      <c r="BC18" s="28" t="n">
        <v>30</v>
      </c>
      <c r="BD18" s="28" t="n">
        <v>38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10</v>
      </c>
      <c r="BG18" s="21" t="n">
        <v>13</v>
      </c>
      <c r="BH18" s="27">
        <f>SUM(BF18:BG18)</f>
        <v/>
      </c>
      <c r="BI18" s="28" t="n">
        <v>15</v>
      </c>
      <c r="BJ18" s="28" t="n">
        <v>19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20</v>
      </c>
      <c r="BM18" s="21" t="n">
        <v>32</v>
      </c>
      <c r="BN18" s="27">
        <f>SUM(BL18:BM18)</f>
        <v/>
      </c>
      <c r="BO18" s="28" t="n">
        <v>44</v>
      </c>
      <c r="BP18" s="31" t="n">
        <v>51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29</v>
      </c>
      <c r="BY18" s="21" t="n">
        <v>40</v>
      </c>
      <c r="BZ18" s="27">
        <f>SUM(BX18:BY18)</f>
        <v/>
      </c>
      <c r="CA18" s="28" t="n">
        <v>50</v>
      </c>
      <c r="CB18" s="31" t="n">
        <v>57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12</v>
      </c>
      <c r="CE18" s="21" t="n">
        <v>14</v>
      </c>
      <c r="CF18" s="27">
        <f>SUM(CD18:CE18)</f>
        <v/>
      </c>
      <c r="CG18" s="28" t="n">
        <v>12</v>
      </c>
      <c r="CH18" s="31" t="n">
        <v>21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>
        <v>11</v>
      </c>
      <c r="CQ18" s="21" t="n">
        <v>12</v>
      </c>
      <c r="CR18" s="27">
        <f>SUM(CP18:CQ18)</f>
        <v/>
      </c>
      <c r="CS18" s="28" t="n">
        <v>14</v>
      </c>
      <c r="CT18" s="31" t="n">
        <v>13</v>
      </c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/>
      <c r="CW18" s="21" t="n"/>
      <c r="CX18" s="27">
        <f>SUM(CV18:CW18)</f>
        <v/>
      </c>
      <c r="CY18" s="28" t="n"/>
      <c r="CZ18" s="31" t="n"/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AVERAGE(3)</t>
        </is>
      </c>
      <c r="DK18" s="40" t="inlineStr">
        <is>
          <t>AVERAGE(3)</t>
        </is>
      </c>
      <c r="DL18" s="40" t="inlineStr">
        <is>
          <t>GOOD(4)</t>
        </is>
      </c>
      <c r="DM18" s="40" t="inlineStr">
        <is>
          <t>GOOD(4)</t>
        </is>
      </c>
      <c r="DN18" s="40" t="inlineStr">
        <is>
          <t>AVERAGE(3)</t>
        </is>
      </c>
      <c r="DO18" s="40" t="inlineStr">
        <is>
          <t>GOOD(4)</t>
        </is>
      </c>
      <c r="DP18" s="40" t="inlineStr">
        <is>
          <t>AVERAGE(3)</t>
        </is>
      </c>
      <c r="DQ18" s="40" t="inlineStr">
        <is>
          <t>GOOD(4)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GOOD(4)</t>
        </is>
      </c>
      <c r="DU18" s="40" t="inlineStr">
        <is>
          <t>GOOD(4)</t>
        </is>
      </c>
      <c r="DV18" s="40" t="inlineStr">
        <is>
          <t>GOOD(4)</t>
        </is>
      </c>
      <c r="DW18" s="40" t="inlineStr">
        <is>
          <t>GOOD(4)</t>
        </is>
      </c>
      <c r="DX18" s="40" t="inlineStr">
        <is>
          <t>GOOD(4)</t>
        </is>
      </c>
      <c r="DY18" s="40" t="inlineStr">
        <is>
          <t>GOOD(4)</t>
        </is>
      </c>
      <c r="DZ18" s="53" t="inlineStr">
        <is>
          <t>AVERAGE(3)</t>
        </is>
      </c>
      <c r="EA18" s="54" t="inlineStr">
        <is>
          <t>Shows consistent effort and improvement in academic work.</t>
        </is>
      </c>
      <c r="EB18" s="55" t="inlineStr">
        <is>
          <t>Promoted to JSS2</t>
        </is>
      </c>
      <c r="EC18" s="56" t="inlineStr">
        <is>
          <t>Atoyebi Vincent .O</t>
        </is>
      </c>
      <c r="ED18" s="57" t="inlineStr">
        <is>
          <t>Next Term Begins on Monday, 15th September, 2025</t>
        </is>
      </c>
    </row>
    <row r="19" ht="30.6" customHeight="1" s="6" thickBot="1" thickTop="1">
      <c r="A19" s="18" t="n">
        <v>16</v>
      </c>
      <c r="B19" s="19" t="inlineStr">
        <is>
          <t xml:space="preserve">IMURAN ABDULMALIK </t>
        </is>
      </c>
      <c r="C19" s="20" t="inlineStr">
        <is>
          <t>1931</t>
        </is>
      </c>
      <c r="D19" s="128" t="inlineStr">
        <is>
          <t>Male</t>
        </is>
      </c>
      <c r="E19" s="21" t="inlineStr">
        <is>
          <t>JSS 1A</t>
        </is>
      </c>
      <c r="F19" s="21" t="n">
        <v>38</v>
      </c>
      <c r="G19" s="21" t="n">
        <v>122</v>
      </c>
      <c r="H19" s="22" t="n">
        <v>20</v>
      </c>
      <c r="I19" s="26">
        <f>G19-H19</f>
        <v/>
      </c>
      <c r="J19" s="21" t="n">
        <v>24</v>
      </c>
      <c r="K19" s="21" t="n">
        <v>16</v>
      </c>
      <c r="L19" s="27">
        <f>SUM(J19:K19)</f>
        <v/>
      </c>
      <c r="M19" s="28" t="n">
        <v>32</v>
      </c>
      <c r="N19" s="28" t="n">
        <v>42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19</v>
      </c>
      <c r="Q19" s="21" t="n">
        <v>41</v>
      </c>
      <c r="R19" s="27">
        <f>SUM(P19:Q19)</f>
        <v/>
      </c>
      <c r="S19" s="28" t="n">
        <v>68</v>
      </c>
      <c r="T19" s="28" t="n">
        <v>64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19</v>
      </c>
      <c r="W19" s="21" t="n">
        <v>48</v>
      </c>
      <c r="X19" s="27">
        <f>SUM(V19:W19)</f>
        <v/>
      </c>
      <c r="Y19" s="28" t="n">
        <v>67</v>
      </c>
      <c r="Z19" s="28" t="n">
        <v>67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19</v>
      </c>
      <c r="AC19" s="21" t="n">
        <v>50</v>
      </c>
      <c r="AD19" s="27">
        <f>SUM(AB19:AC19)</f>
        <v/>
      </c>
      <c r="AE19" s="28" t="n">
        <v>81</v>
      </c>
      <c r="AF19" s="28" t="n">
        <v>75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29</v>
      </c>
      <c r="AI19" s="21" t="n">
        <v>23</v>
      </c>
      <c r="AJ19" s="27">
        <f>SUM(AH19:AI19)</f>
        <v/>
      </c>
      <c r="AK19" s="28" t="n">
        <v>68</v>
      </c>
      <c r="AL19" s="28" t="n">
        <v>56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20</v>
      </c>
      <c r="AU19" s="21" t="n">
        <v>30</v>
      </c>
      <c r="AV19" s="27">
        <f>SUM(AT19:AU19)</f>
        <v/>
      </c>
      <c r="AW19" s="28" t="n">
        <v>44</v>
      </c>
      <c r="AX19" s="30" t="n">
        <v>40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22</v>
      </c>
      <c r="BA19" s="21" t="n">
        <v>29</v>
      </c>
      <c r="BB19" s="27">
        <f>SUM(AZ19:BA19)</f>
        <v/>
      </c>
      <c r="BC19" s="28" t="n">
        <v>46</v>
      </c>
      <c r="BD19" s="28" t="n">
        <v>65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15</v>
      </c>
      <c r="BG19" s="21" t="n">
        <v>34</v>
      </c>
      <c r="BH19" s="27">
        <f>SUM(BF19:BG19)</f>
        <v/>
      </c>
      <c r="BI19" s="28" t="n">
        <v>47</v>
      </c>
      <c r="BJ19" s="28" t="n">
        <v>37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20</v>
      </c>
      <c r="BM19" s="21" t="n">
        <v>32</v>
      </c>
      <c r="BN19" s="27">
        <f>SUM(BL19:BM19)</f>
        <v/>
      </c>
      <c r="BO19" s="28" t="n">
        <v>53</v>
      </c>
      <c r="BP19" s="31" t="n">
        <v>67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29</v>
      </c>
      <c r="BY19" s="21" t="n">
        <v>40</v>
      </c>
      <c r="BZ19" s="27">
        <f>SUM(BX19:BY19)</f>
        <v/>
      </c>
      <c r="CA19" s="28" t="n">
        <v>50</v>
      </c>
      <c r="CB19" s="31" t="n">
        <v>57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24</v>
      </c>
      <c r="CE19" s="21" t="n">
        <v>27</v>
      </c>
      <c r="CF19" s="27">
        <f>SUM(CD19:CE19)</f>
        <v/>
      </c>
      <c r="CG19" s="28" t="n">
        <v>50</v>
      </c>
      <c r="CH19" s="31" t="n">
        <v>30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>
        <v>25</v>
      </c>
      <c r="CQ19" s="21" t="n">
        <v>34</v>
      </c>
      <c r="CR19" s="27">
        <f>SUM(CP19:CQ19)</f>
        <v/>
      </c>
      <c r="CS19" s="28" t="n">
        <v>53</v>
      </c>
      <c r="CT19" s="31" t="n">
        <v>53</v>
      </c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/>
      <c r="CW19" s="21" t="n"/>
      <c r="CX19" s="27">
        <f>SUM(CV19:CW19)</f>
        <v/>
      </c>
      <c r="CY19" s="28" t="n"/>
      <c r="CZ19" s="31" t="n"/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GOOD(4)</t>
        </is>
      </c>
      <c r="DK19" s="40" t="inlineStr">
        <is>
          <t>AVERAGE(3)</t>
        </is>
      </c>
      <c r="DL19" s="40" t="inlineStr">
        <is>
          <t>GOOD(4)</t>
        </is>
      </c>
      <c r="DM19" s="40" t="inlineStr">
        <is>
          <t>GOOD(4)</t>
        </is>
      </c>
      <c r="DN19" s="40" t="inlineStr">
        <is>
          <t>GOOD(4)</t>
        </is>
      </c>
      <c r="DO19" s="40" t="inlineStr">
        <is>
          <t>GOOD(4)</t>
        </is>
      </c>
      <c r="DP19" s="40" t="inlineStr">
        <is>
          <t>GOOD(4)</t>
        </is>
      </c>
      <c r="DQ19" s="40" t="inlineStr">
        <is>
          <t>GOOD(4)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GOOD(4)</t>
        </is>
      </c>
      <c r="DU19" s="40" t="inlineStr">
        <is>
          <t>AVERAGE(3)</t>
        </is>
      </c>
      <c r="DV19" s="40" t="inlineStr">
        <is>
          <t>AVERAGE(3)</t>
        </is>
      </c>
      <c r="DW19" s="40" t="inlineStr">
        <is>
          <t>AVERAGE(3)</t>
        </is>
      </c>
      <c r="DX19" s="40" t="inlineStr">
        <is>
          <t>GOOD(4)</t>
        </is>
      </c>
      <c r="DY19" s="40" t="inlineStr">
        <is>
          <t>AVERAGE(3)</t>
        </is>
      </c>
      <c r="DZ19" s="53" t="inlineStr">
        <is>
          <t>GOOD(4)</t>
        </is>
      </c>
      <c r="EA19" s="54" t="inlineStr">
        <is>
          <t>Needs reminders to stay on task and avoid distractions.</t>
        </is>
      </c>
      <c r="EB19" s="55" t="inlineStr">
        <is>
          <t>To repeat JSS1</t>
        </is>
      </c>
      <c r="EC19" s="56" t="inlineStr">
        <is>
          <t>Atoyebi Vincent .O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 xml:space="preserve">JIMOH SAIDAT </t>
        </is>
      </c>
      <c r="C20" s="20" t="inlineStr">
        <is>
          <t>2046</t>
        </is>
      </c>
      <c r="D20" s="128" t="inlineStr">
        <is>
          <t>Female</t>
        </is>
      </c>
      <c r="E20" s="21" t="inlineStr">
        <is>
          <t>JSS 1A</t>
        </is>
      </c>
      <c r="F20" s="21" t="n">
        <v>38</v>
      </c>
      <c r="G20" s="21" t="n">
        <v>122</v>
      </c>
      <c r="H20" s="22" t="n">
        <v>38</v>
      </c>
      <c r="I20" s="26">
        <f>G20-H20</f>
        <v/>
      </c>
      <c r="J20" s="21" t="n">
        <v>10</v>
      </c>
      <c r="K20" s="21" t="n">
        <v>14</v>
      </c>
      <c r="L20" s="27">
        <f>SUM(J20:K20)</f>
        <v/>
      </c>
      <c r="M20" s="28" t="n">
        <v>25</v>
      </c>
      <c r="N20" s="28" t="n">
        <v>36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19</v>
      </c>
      <c r="Q20" s="21" t="n">
        <v>20</v>
      </c>
      <c r="R20" s="27">
        <f>SUM(P20:Q20)</f>
        <v/>
      </c>
      <c r="S20" s="28" t="n">
        <v>39</v>
      </c>
      <c r="T20" s="28" t="n">
        <v>39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14</v>
      </c>
      <c r="W20" s="21" t="n">
        <v>32</v>
      </c>
      <c r="X20" s="27">
        <f>SUM(V20:W20)</f>
        <v/>
      </c>
      <c r="Y20" s="28" t="n">
        <v>21</v>
      </c>
      <c r="Z20" s="28" t="n">
        <v>32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14</v>
      </c>
      <c r="AC20" s="21" t="n">
        <v>22</v>
      </c>
      <c r="AD20" s="27">
        <f>SUM(AB20:AC20)</f>
        <v/>
      </c>
      <c r="AE20" s="28" t="n">
        <v>36</v>
      </c>
      <c r="AF20" s="28" t="n">
        <v>36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14</v>
      </c>
      <c r="AI20" s="21" t="n">
        <v>25</v>
      </c>
      <c r="AJ20" s="27">
        <f>SUM(AH20:AI20)</f>
        <v/>
      </c>
      <c r="AK20" s="28" t="n">
        <v>39</v>
      </c>
      <c r="AL20" s="28" t="n">
        <v>39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13</v>
      </c>
      <c r="AU20" s="21" t="n">
        <v>16</v>
      </c>
      <c r="AV20" s="27">
        <f>SUM(AT20:AU20)</f>
        <v/>
      </c>
      <c r="AW20" s="28" t="n">
        <v>29</v>
      </c>
      <c r="AX20" s="30" t="n">
        <v>29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8</v>
      </c>
      <c r="BA20" s="21" t="n">
        <v>31</v>
      </c>
      <c r="BB20" s="27">
        <f>SUM(AZ20:BA20)</f>
        <v/>
      </c>
      <c r="BC20" s="28" t="n">
        <v>39</v>
      </c>
      <c r="BD20" s="28" t="n">
        <v>39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10</v>
      </c>
      <c r="BG20" s="21" t="n">
        <v>12</v>
      </c>
      <c r="BH20" s="27">
        <f>SUM(BF20:BG20)</f>
        <v/>
      </c>
      <c r="BI20" s="28" t="n">
        <v>47</v>
      </c>
      <c r="BJ20" s="28" t="n">
        <v>37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19</v>
      </c>
      <c r="BM20" s="21" t="n">
        <v>20</v>
      </c>
      <c r="BN20" s="27">
        <f>SUM(BL20:BM20)</f>
        <v/>
      </c>
      <c r="BO20" s="28" t="n">
        <v>45</v>
      </c>
      <c r="BP20" s="31" t="n">
        <v>35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29</v>
      </c>
      <c r="BY20" s="21" t="n">
        <v>40</v>
      </c>
      <c r="BZ20" s="27">
        <f>SUM(BX20:BY20)</f>
        <v/>
      </c>
      <c r="CA20" s="28" t="n">
        <v>50</v>
      </c>
      <c r="CB20" s="31" t="n">
        <v>57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12</v>
      </c>
      <c r="CE20" s="21" t="n">
        <v>13</v>
      </c>
      <c r="CF20" s="27">
        <f>SUM(CD20:CE20)</f>
        <v/>
      </c>
      <c r="CG20" s="28" t="n">
        <v>15</v>
      </c>
      <c r="CH20" s="31" t="n">
        <v>14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>
        <v>11</v>
      </c>
      <c r="CQ20" s="21" t="n">
        <v>12</v>
      </c>
      <c r="CR20" s="27">
        <f>SUM(CP20:CQ20)</f>
        <v/>
      </c>
      <c r="CS20" s="28" t="n">
        <v>14</v>
      </c>
      <c r="CT20" s="31" t="n">
        <v>13</v>
      </c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/>
      <c r="CW20" s="21" t="n"/>
      <c r="CX20" s="27">
        <f>SUM(CV20:CW20)</f>
        <v/>
      </c>
      <c r="CY20" s="28" t="n"/>
      <c r="CZ20" s="31" t="n"/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GOOD(4)</t>
        </is>
      </c>
      <c r="DK20" s="40" t="inlineStr">
        <is>
          <t>AVERAGE(3)</t>
        </is>
      </c>
      <c r="DL20" s="40" t="inlineStr">
        <is>
          <t>GOOD(4)</t>
        </is>
      </c>
      <c r="DM20" s="40" t="inlineStr">
        <is>
          <t>AVERAGE(3)</t>
        </is>
      </c>
      <c r="DN20" s="40" t="inlineStr">
        <is>
          <t>AVERAGE(3)</t>
        </is>
      </c>
      <c r="DO20" s="40" t="inlineStr">
        <is>
          <t>AVERAGE(3)</t>
        </is>
      </c>
      <c r="DP20" s="40" t="inlineStr">
        <is>
          <t>GOOD(4)</t>
        </is>
      </c>
      <c r="DQ20" s="40" t="inlineStr">
        <is>
          <t>AVERAGE(3)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GOOD(4)</t>
        </is>
      </c>
      <c r="DV20" s="40" t="inlineStr">
        <is>
          <t>GOOD(4)</t>
        </is>
      </c>
      <c r="DW20" s="40" t="inlineStr">
        <is>
          <t>AVERAGE(3)</t>
        </is>
      </c>
      <c r="DX20" s="40" t="inlineStr">
        <is>
          <t>AVERAGE(3)</t>
        </is>
      </c>
      <c r="DY20" s="40" t="inlineStr">
        <is>
          <t>GOOD(4)</t>
        </is>
      </c>
      <c r="DZ20" s="53" t="inlineStr">
        <is>
          <t>GOOD(4)</t>
        </is>
      </c>
      <c r="EA20" s="54" t="inlineStr">
        <is>
          <t>Should work on controlling impulsive behavior in class.</t>
        </is>
      </c>
      <c r="EB20" s="55" t="inlineStr">
        <is>
          <t>Promoted to JSS2</t>
        </is>
      </c>
      <c r="EC20" s="56" t="inlineStr">
        <is>
          <t>Atoyebi Vincent .O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MUHAMMED MUNIRU </t>
        </is>
      </c>
      <c r="C21" s="20" t="inlineStr">
        <is>
          <t>1936</t>
        </is>
      </c>
      <c r="D21" s="128" t="inlineStr">
        <is>
          <t>Male</t>
        </is>
      </c>
      <c r="E21" s="21" t="inlineStr">
        <is>
          <t>JSS 1A</t>
        </is>
      </c>
      <c r="F21" s="21" t="n">
        <v>38</v>
      </c>
      <c r="G21" s="21" t="n">
        <v>122</v>
      </c>
      <c r="H21" s="22" t="n">
        <v>25</v>
      </c>
      <c r="I21" s="26">
        <f>G21-H21</f>
        <v/>
      </c>
      <c r="J21" s="21" t="n">
        <v>20</v>
      </c>
      <c r="K21" s="21" t="n">
        <v>30</v>
      </c>
      <c r="L21" s="27">
        <f>SUM(J21:K21)</f>
        <v/>
      </c>
      <c r="M21" s="28" t="n">
        <v>41</v>
      </c>
      <c r="N21" s="28" t="n">
        <v>42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20</v>
      </c>
      <c r="Q21" s="21" t="n">
        <v>30</v>
      </c>
      <c r="R21" s="27">
        <f>SUM(P21:Q21)</f>
        <v/>
      </c>
      <c r="S21" s="28" t="n">
        <v>54</v>
      </c>
      <c r="T21" s="28" t="n">
        <v>50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14</v>
      </c>
      <c r="W21" s="21" t="n">
        <v>38</v>
      </c>
      <c r="X21" s="27">
        <f>SUM(V21:W21)</f>
        <v/>
      </c>
      <c r="Y21" s="28" t="n">
        <v>51</v>
      </c>
      <c r="Z21" s="28" t="n">
        <v>55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20</v>
      </c>
      <c r="AC21" s="21" t="n">
        <v>39</v>
      </c>
      <c r="AD21" s="27">
        <f>SUM(AB21:AC21)</f>
        <v/>
      </c>
      <c r="AE21" s="28" t="n">
        <v>52</v>
      </c>
      <c r="AF21" s="28" t="n">
        <v>55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27</v>
      </c>
      <c r="AI21" s="21" t="n">
        <v>25</v>
      </c>
      <c r="AJ21" s="27">
        <f>SUM(AH21:AI21)</f>
        <v/>
      </c>
      <c r="AK21" s="28" t="n">
        <v>50</v>
      </c>
      <c r="AL21" s="28" t="n">
        <v>54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13</v>
      </c>
      <c r="AU21" s="21" t="n">
        <v>32</v>
      </c>
      <c r="AV21" s="27">
        <f>SUM(AT21:AU21)</f>
        <v/>
      </c>
      <c r="AW21" s="28" t="n">
        <v>45</v>
      </c>
      <c r="AX21" s="30" t="n">
        <v>41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20</v>
      </c>
      <c r="BA21" s="21" t="n">
        <v>39</v>
      </c>
      <c r="BB21" s="27">
        <f>SUM(AZ21:BA21)</f>
        <v/>
      </c>
      <c r="BC21" s="28" t="n">
        <v>37</v>
      </c>
      <c r="BD21" s="28" t="n">
        <v>45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14</v>
      </c>
      <c r="BG21" s="21" t="n">
        <v>32</v>
      </c>
      <c r="BH21" s="27">
        <f>SUM(BF21:BG21)</f>
        <v/>
      </c>
      <c r="BI21" s="28" t="n">
        <v>4</v>
      </c>
      <c r="BJ21" s="28" t="n">
        <v>39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18</v>
      </c>
      <c r="BM21" s="21" t="n">
        <v>33</v>
      </c>
      <c r="BN21" s="27">
        <f>SUM(BL21:BM21)</f>
        <v/>
      </c>
      <c r="BO21" s="28" t="n">
        <v>20</v>
      </c>
      <c r="BP21" s="31" t="n">
        <v>32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29</v>
      </c>
      <c r="BY21" s="21" t="n">
        <v>40</v>
      </c>
      <c r="BZ21" s="27">
        <f>SUM(BX21:BY21)</f>
        <v/>
      </c>
      <c r="CA21" s="28" t="n">
        <v>50</v>
      </c>
      <c r="CB21" s="31" t="n">
        <v>57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17</v>
      </c>
      <c r="CE21" s="21" t="n">
        <v>33</v>
      </c>
      <c r="CF21" s="27">
        <f>SUM(CD21:CE21)</f>
        <v/>
      </c>
      <c r="CG21" s="28" t="n">
        <v>15</v>
      </c>
      <c r="CH21" s="31" t="n">
        <v>37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13</v>
      </c>
      <c r="CQ21" s="21" t="n">
        <v>32</v>
      </c>
      <c r="CR21" s="27">
        <f>SUM(CP21:CQ21)</f>
        <v/>
      </c>
      <c r="CS21" s="28" t="n">
        <v>35</v>
      </c>
      <c r="CT21" s="31" t="n">
        <v>35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AVERAGE(3)</t>
        </is>
      </c>
      <c r="DK21" s="40" t="inlineStr">
        <is>
          <t>AVERAGE(3)</t>
        </is>
      </c>
      <c r="DL21" s="40" t="inlineStr">
        <is>
          <t>GOOD(4)</t>
        </is>
      </c>
      <c r="DM21" s="40" t="inlineStr">
        <is>
          <t>AVERAGE(3)</t>
        </is>
      </c>
      <c r="DN21" s="40" t="inlineStr">
        <is>
          <t>AVERAGE(3)</t>
        </is>
      </c>
      <c r="DO21" s="40" t="inlineStr">
        <is>
          <t>AVERAGE(3)</t>
        </is>
      </c>
      <c r="DP21" s="40" t="inlineStr">
        <is>
          <t>AVERAGE(3)</t>
        </is>
      </c>
      <c r="DQ21" s="40" t="inlineStr">
        <is>
          <t>AVERAGE(3)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AVERAGE(3)</t>
        </is>
      </c>
      <c r="DU21" s="40" t="inlineStr">
        <is>
          <t>GOOD(4)</t>
        </is>
      </c>
      <c r="DV21" s="40" t="inlineStr">
        <is>
          <t>GOOD(4)</t>
        </is>
      </c>
      <c r="DW21" s="40" t="inlineStr">
        <is>
          <t>GOOD(4)</t>
        </is>
      </c>
      <c r="DX21" s="40" t="inlineStr">
        <is>
          <t>GOOD(4)</t>
        </is>
      </c>
      <c r="DY21" s="40" t="inlineStr">
        <is>
          <t>AVERAGE(3)</t>
        </is>
      </c>
      <c r="DZ21" s="53" t="inlineStr">
        <is>
          <t>AVERAGE(3)</t>
        </is>
      </c>
      <c r="EA21" s="54" t="inlineStr">
        <is>
          <t>Needs reminders to stay on task and avoid distractions.</t>
        </is>
      </c>
      <c r="EB21" s="55" t="inlineStr">
        <is>
          <t>To repeat JSS1</t>
        </is>
      </c>
      <c r="EC21" s="56" t="inlineStr">
        <is>
          <t>Atoyebi Vincent .O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>NURA USENAT KEHINDE</t>
        </is>
      </c>
      <c r="C22" s="20" t="inlineStr">
        <is>
          <t>1837</t>
        </is>
      </c>
      <c r="D22" s="128" t="inlineStr">
        <is>
          <t>Female</t>
        </is>
      </c>
      <c r="E22" s="21" t="inlineStr">
        <is>
          <t>JSS 1A</t>
        </is>
      </c>
      <c r="F22" s="21" t="n">
        <v>38</v>
      </c>
      <c r="G22" s="21" t="n">
        <v>122</v>
      </c>
      <c r="H22" s="22" t="n">
        <v>108</v>
      </c>
      <c r="I22" s="26">
        <f>G22-H22</f>
        <v/>
      </c>
      <c r="J22" s="21" t="n">
        <v>19</v>
      </c>
      <c r="K22" s="21" t="n">
        <v>23</v>
      </c>
      <c r="L22" s="27">
        <f>SUM(J22:K22)</f>
        <v/>
      </c>
      <c r="M22" s="28" t="n">
        <v>34</v>
      </c>
      <c r="N22" s="28" t="n">
        <v>34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16</v>
      </c>
      <c r="Q22" s="21" t="n">
        <v>16</v>
      </c>
      <c r="R22" s="27">
        <f>SUM(P22:Q22)</f>
        <v/>
      </c>
      <c r="S22" s="28" t="n">
        <v>20</v>
      </c>
      <c r="T22" s="28" t="n">
        <v>26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14</v>
      </c>
      <c r="W22" s="21" t="n">
        <v>38</v>
      </c>
      <c r="X22" s="27">
        <f>SUM(V22:W22)</f>
        <v/>
      </c>
      <c r="Y22" s="28" t="n">
        <v>27</v>
      </c>
      <c r="Z22" s="28" t="n">
        <v>33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12</v>
      </c>
      <c r="AC22" s="21" t="n">
        <v>29</v>
      </c>
      <c r="AD22" s="27">
        <f>SUM(AB22:AC22)</f>
        <v/>
      </c>
      <c r="AE22" s="28" t="n">
        <v>41</v>
      </c>
      <c r="AF22" s="28" t="n">
        <v>41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10</v>
      </c>
      <c r="AI22" s="21" t="n">
        <v>29</v>
      </c>
      <c r="AJ22" s="27">
        <f>SUM(AH22:AI22)</f>
        <v/>
      </c>
      <c r="AK22" s="28" t="n">
        <v>0</v>
      </c>
      <c r="AL22" s="28" t="n">
        <v>15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13</v>
      </c>
      <c r="AU22" s="21" t="n">
        <v>26</v>
      </c>
      <c r="AV22" s="27">
        <f>SUM(AT22:AU22)</f>
        <v/>
      </c>
      <c r="AW22" s="28" t="n">
        <v>39</v>
      </c>
      <c r="AX22" s="30" t="n">
        <v>39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10</v>
      </c>
      <c r="BA22" s="21" t="n">
        <v>29</v>
      </c>
      <c r="BB22" s="27">
        <f>SUM(AZ22:BA22)</f>
        <v/>
      </c>
      <c r="BC22" s="28" t="n">
        <v>39</v>
      </c>
      <c r="BD22" s="28" t="n">
        <v>39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10</v>
      </c>
      <c r="BG22" s="21" t="n">
        <v>12</v>
      </c>
      <c r="BH22" s="27">
        <f>SUM(BF22:BG22)</f>
        <v/>
      </c>
      <c r="BI22" s="28" t="n">
        <v>23</v>
      </c>
      <c r="BJ22" s="28" t="n">
        <v>21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19</v>
      </c>
      <c r="BM22" s="21" t="n">
        <v>20</v>
      </c>
      <c r="BN22" s="27">
        <f>SUM(BL22:BM22)</f>
        <v/>
      </c>
      <c r="BO22" s="28" t="n">
        <v>45</v>
      </c>
      <c r="BP22" s="31" t="n">
        <v>30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29</v>
      </c>
      <c r="BY22" s="21" t="n">
        <v>40</v>
      </c>
      <c r="BZ22" s="27">
        <f>SUM(BX22:BY22)</f>
        <v/>
      </c>
      <c r="CA22" s="28" t="n">
        <v>50</v>
      </c>
      <c r="CB22" s="31" t="n">
        <v>57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17</v>
      </c>
      <c r="CE22" s="21" t="n">
        <v>10</v>
      </c>
      <c r="CF22" s="27">
        <f>SUM(CD22:CE22)</f>
        <v/>
      </c>
      <c r="CG22" s="28" t="n">
        <v>15</v>
      </c>
      <c r="CH22" s="31" t="n">
        <v>11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>
        <v>11</v>
      </c>
      <c r="CQ22" s="21" t="n">
        <v>12</v>
      </c>
      <c r="CR22" s="27">
        <f>SUM(CP22:CQ22)</f>
        <v/>
      </c>
      <c r="CS22" s="28" t="n">
        <v>14</v>
      </c>
      <c r="CT22" s="31" t="n">
        <v>13</v>
      </c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>
        <v>15</v>
      </c>
      <c r="CW22" s="21" t="n">
        <v>32</v>
      </c>
      <c r="CX22" s="27">
        <f>SUM(CV22:CW22)</f>
        <v/>
      </c>
      <c r="CY22" s="28" t="n">
        <v>55</v>
      </c>
      <c r="CZ22" s="31" t="n">
        <v>51</v>
      </c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GOOD(4)</t>
        </is>
      </c>
      <c r="DK22" s="40" t="inlineStr">
        <is>
          <t>GOOD(4)</t>
        </is>
      </c>
      <c r="DL22" s="40" t="inlineStr">
        <is>
          <t>AVERAGE(3)</t>
        </is>
      </c>
      <c r="DM22" s="40" t="inlineStr">
        <is>
          <t>AVERAGE(3)</t>
        </is>
      </c>
      <c r="DN22" s="40" t="inlineStr">
        <is>
          <t>GOOD(4)</t>
        </is>
      </c>
      <c r="DO22" s="40" t="inlineStr">
        <is>
          <t>AVERAGE(3)</t>
        </is>
      </c>
      <c r="DP22" s="40" t="inlineStr">
        <is>
          <t>GOOD(4)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GOOD(4)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GOOD(4)</t>
        </is>
      </c>
      <c r="DX22" s="40" t="inlineStr">
        <is>
          <t>GOOD(4)</t>
        </is>
      </c>
      <c r="DY22" s="40" t="inlineStr">
        <is>
          <t>GOOD(4)</t>
        </is>
      </c>
      <c r="DZ22" s="53" t="inlineStr">
        <is>
          <t>GOOD(4)</t>
        </is>
      </c>
      <c r="EA22" s="54" t="inlineStr">
        <is>
          <t>Excels in most subjects and demonstrates a strong grasp of concepts.</t>
        </is>
      </c>
      <c r="EB22" s="55" t="inlineStr">
        <is>
          <t>Promoted to JSS2</t>
        </is>
      </c>
      <c r="EC22" s="56" t="inlineStr">
        <is>
          <t>Atoyebi Vincent .O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 xml:space="preserve">ODEBODE MARY </t>
        </is>
      </c>
      <c r="C23" s="20" t="inlineStr">
        <is>
          <t>1938</t>
        </is>
      </c>
      <c r="D23" s="128" t="inlineStr">
        <is>
          <t>Female</t>
        </is>
      </c>
      <c r="E23" s="21" t="inlineStr">
        <is>
          <t>JSS 1A</t>
        </is>
      </c>
      <c r="F23" s="21" t="n">
        <v>38</v>
      </c>
      <c r="G23" s="21" t="n">
        <v>122</v>
      </c>
      <c r="H23" s="22" t="n">
        <v>86</v>
      </c>
      <c r="I23" s="26">
        <f>G23-H23</f>
        <v/>
      </c>
      <c r="J23" s="21" t="n">
        <v>22</v>
      </c>
      <c r="K23" s="21" t="n">
        <v>12</v>
      </c>
      <c r="L23" s="27">
        <f>SUM(J23:K23)</f>
        <v/>
      </c>
      <c r="M23" s="28" t="n">
        <v>37</v>
      </c>
      <c r="N23" s="28" t="n">
        <v>43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30</v>
      </c>
      <c r="Q23" s="21" t="n">
        <v>30</v>
      </c>
      <c r="R23" s="27">
        <f>SUM(P23:Q23)</f>
        <v/>
      </c>
      <c r="S23" s="28" t="n">
        <v>60</v>
      </c>
      <c r="T23" s="28" t="n">
        <v>49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24</v>
      </c>
      <c r="W23" s="21" t="n">
        <v>50</v>
      </c>
      <c r="X23" s="27">
        <f>SUM(V23:W23)</f>
        <v/>
      </c>
      <c r="Y23" s="28" t="n">
        <v>70</v>
      </c>
      <c r="Z23" s="28" t="n">
        <v>45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17</v>
      </c>
      <c r="AC23" s="21" t="n">
        <v>61</v>
      </c>
      <c r="AD23" s="27">
        <f>SUM(AB23:AC23)</f>
        <v/>
      </c>
      <c r="AE23" s="28" t="n">
        <v>82</v>
      </c>
      <c r="AF23" s="28" t="n">
        <v>80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30</v>
      </c>
      <c r="AI23" s="21" t="n">
        <v>30</v>
      </c>
      <c r="AJ23" s="27">
        <f>SUM(AH23:AI23)</f>
        <v/>
      </c>
      <c r="AK23" s="28" t="n">
        <v>60</v>
      </c>
      <c r="AL23" s="28" t="n">
        <v>49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30</v>
      </c>
      <c r="AU23" s="21" t="n">
        <v>50</v>
      </c>
      <c r="AV23" s="27">
        <f>SUM(AT23:AU23)</f>
        <v/>
      </c>
      <c r="AW23" s="28" t="n">
        <v>40</v>
      </c>
      <c r="AX23" s="30" t="n">
        <v>50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23</v>
      </c>
      <c r="BA23" s="21" t="n">
        <v>47</v>
      </c>
      <c r="BB23" s="27">
        <f>SUM(AZ23:BA23)</f>
        <v/>
      </c>
      <c r="BC23" s="28" t="n">
        <v>50</v>
      </c>
      <c r="BD23" s="28" t="n">
        <v>65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14</v>
      </c>
      <c r="BG23" s="21" t="n">
        <v>40</v>
      </c>
      <c r="BH23" s="27">
        <f>SUM(BF23:BG23)</f>
        <v/>
      </c>
      <c r="BI23" s="28" t="n">
        <v>49</v>
      </c>
      <c r="BJ23" s="28" t="n">
        <v>59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20</v>
      </c>
      <c r="BM23" s="21" t="n">
        <v>30</v>
      </c>
      <c r="BN23" s="27">
        <f>SUM(BL23:BM23)</f>
        <v/>
      </c>
      <c r="BO23" s="28" t="n">
        <v>55</v>
      </c>
      <c r="BP23" s="31" t="n">
        <v>52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29</v>
      </c>
      <c r="BY23" s="21" t="n">
        <v>40</v>
      </c>
      <c r="BZ23" s="27">
        <f>SUM(BX23:BY23)</f>
        <v/>
      </c>
      <c r="CA23" s="28" t="n">
        <v>50</v>
      </c>
      <c r="CB23" s="31" t="n">
        <v>57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22</v>
      </c>
      <c r="CE23" s="21" t="n">
        <v>30</v>
      </c>
      <c r="CF23" s="27">
        <f>SUM(CD23:CE23)</f>
        <v/>
      </c>
      <c r="CG23" s="28" t="n">
        <v>51</v>
      </c>
      <c r="CH23" s="31" t="n">
        <v>22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/>
      <c r="CQ23" s="21" t="n"/>
      <c r="CR23" s="27">
        <f>SUM(CP23:CQ23)</f>
        <v/>
      </c>
      <c r="CS23" s="28" t="n"/>
      <c r="CT23" s="31" t="n"/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>
        <v>15</v>
      </c>
      <c r="CW23" s="21" t="n">
        <v>32</v>
      </c>
      <c r="CX23" s="27">
        <f>SUM(CV23:CW23)</f>
        <v/>
      </c>
      <c r="CY23" s="28" t="n">
        <v>55</v>
      </c>
      <c r="CZ23" s="31" t="n">
        <v>51</v>
      </c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GOOD(4)</t>
        </is>
      </c>
      <c r="DK23" s="40" t="inlineStr">
        <is>
          <t>GOOD(4)</t>
        </is>
      </c>
      <c r="DL23" s="40" t="inlineStr">
        <is>
          <t>GOOD(4)</t>
        </is>
      </c>
      <c r="DM23" s="40" t="inlineStr">
        <is>
          <t>GOOD(4)</t>
        </is>
      </c>
      <c r="DN23" s="40" t="inlineStr">
        <is>
          <t>GOOD(4)</t>
        </is>
      </c>
      <c r="DO23" s="40" t="inlineStr">
        <is>
          <t>GOOD(4)</t>
        </is>
      </c>
      <c r="DP23" s="40" t="inlineStr">
        <is>
          <t>GOOD(4)</t>
        </is>
      </c>
      <c r="DQ23" s="40" t="inlineStr">
        <is>
          <t>GOOD(4)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GOOD(4)</t>
        </is>
      </c>
      <c r="DW23" s="40" t="inlineStr">
        <is>
          <t>AVERAGE(3)</t>
        </is>
      </c>
      <c r="DX23" s="40" t="inlineStr">
        <is>
          <t>AVERAGE(3)</t>
        </is>
      </c>
      <c r="DY23" s="40" t="inlineStr">
        <is>
          <t>GOOD(4)</t>
        </is>
      </c>
      <c r="DZ23" s="53" t="inlineStr">
        <is>
          <t>GOOD(4)</t>
        </is>
      </c>
      <c r="EA23" s="54" t="inlineStr">
        <is>
          <t>Should work on controlling impulsive behavior in class.</t>
        </is>
      </c>
      <c r="EB23" s="55" t="inlineStr">
        <is>
          <t>To repeat JSS1</t>
        </is>
      </c>
      <c r="EC23" s="56" t="inlineStr">
        <is>
          <t>Atoyebi Vincent .O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>OGUNDIYA MUSLIMAT A.</t>
        </is>
      </c>
      <c r="C24" s="20" t="inlineStr">
        <is>
          <t>1944</t>
        </is>
      </c>
      <c r="D24" s="128" t="inlineStr">
        <is>
          <t>Female</t>
        </is>
      </c>
      <c r="E24" s="21" t="inlineStr">
        <is>
          <t>JSS 1A</t>
        </is>
      </c>
      <c r="F24" s="21" t="n">
        <v>38</v>
      </c>
      <c r="G24" s="21" t="n">
        <v>122</v>
      </c>
      <c r="H24" s="22" t="n">
        <v>102</v>
      </c>
      <c r="I24" s="26">
        <f>G24-H24</f>
        <v/>
      </c>
      <c r="J24" s="21" t="n">
        <v>10</v>
      </c>
      <c r="K24" s="21" t="n">
        <v>12</v>
      </c>
      <c r="L24" s="27">
        <f>SUM(J24:K24)</f>
        <v/>
      </c>
      <c r="M24" s="28" t="n">
        <v>51</v>
      </c>
      <c r="N24" s="28" t="n">
        <v>37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28</v>
      </c>
      <c r="Q24" s="21" t="n">
        <v>16</v>
      </c>
      <c r="R24" s="27">
        <f>SUM(P24:Q24)</f>
        <v/>
      </c>
      <c r="S24" s="28" t="n">
        <v>79</v>
      </c>
      <c r="T24" s="28" t="n">
        <v>15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24</v>
      </c>
      <c r="W24" s="21" t="n">
        <v>20</v>
      </c>
      <c r="X24" s="27">
        <f>SUM(V24:W24)</f>
        <v/>
      </c>
      <c r="Y24" s="28" t="n">
        <v>71</v>
      </c>
      <c r="Z24" s="28" t="n">
        <v>45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21</v>
      </c>
      <c r="AC24" s="21" t="n">
        <v>29</v>
      </c>
      <c r="AD24" s="27">
        <f>SUM(AB24:AC24)</f>
        <v/>
      </c>
      <c r="AE24" s="28" t="n">
        <v>87</v>
      </c>
      <c r="AF24" s="28" t="n">
        <v>68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16</v>
      </c>
      <c r="AI24" s="21" t="n">
        <v>23</v>
      </c>
      <c r="AJ24" s="27">
        <f>SUM(AH24:AI24)</f>
        <v/>
      </c>
      <c r="AK24" s="28" t="n">
        <v>66</v>
      </c>
      <c r="AL24" s="28" t="n">
        <v>38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10</v>
      </c>
      <c r="AU24" s="21" t="n">
        <v>19</v>
      </c>
      <c r="AV24" s="27">
        <f>SUM(AT24:AU24)</f>
        <v/>
      </c>
      <c r="AW24" s="28" t="n">
        <v>29</v>
      </c>
      <c r="AX24" s="30" t="n">
        <v>29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20</v>
      </c>
      <c r="BA24" s="21" t="n">
        <v>32</v>
      </c>
      <c r="BB24" s="27">
        <f>SUM(AZ24:BA24)</f>
        <v/>
      </c>
      <c r="BC24" s="28" t="n">
        <v>58</v>
      </c>
      <c r="BD24" s="28" t="n">
        <v>62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15</v>
      </c>
      <c r="BG24" s="21" t="n">
        <v>10</v>
      </c>
      <c r="BH24" s="27">
        <f>SUM(BF24:BG24)</f>
        <v/>
      </c>
      <c r="BI24" s="28" t="n">
        <v>54</v>
      </c>
      <c r="BJ24" s="28" t="n">
        <v>50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19</v>
      </c>
      <c r="BM24" s="21" t="n">
        <v>30</v>
      </c>
      <c r="BN24" s="27">
        <f>SUM(BL24:BM24)</f>
        <v/>
      </c>
      <c r="BO24" s="28" t="n">
        <v>44</v>
      </c>
      <c r="BP24" s="31" t="n">
        <v>60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29</v>
      </c>
      <c r="BY24" s="21" t="n">
        <v>40</v>
      </c>
      <c r="BZ24" s="27">
        <f>SUM(BX24:BY24)</f>
        <v/>
      </c>
      <c r="CA24" s="28" t="n">
        <v>50</v>
      </c>
      <c r="CB24" s="31" t="n">
        <v>57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19</v>
      </c>
      <c r="CE24" s="21" t="n">
        <v>30</v>
      </c>
      <c r="CF24" s="27">
        <f>SUM(CD24:CE24)</f>
        <v/>
      </c>
      <c r="CG24" s="28" t="n">
        <v>39</v>
      </c>
      <c r="CH24" s="31" t="n">
        <v>31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/>
      <c r="CQ24" s="21" t="n"/>
      <c r="CR24" s="27">
        <f>SUM(CP24:CQ24)</f>
        <v/>
      </c>
      <c r="CS24" s="28" t="n"/>
      <c r="CT24" s="31" t="n"/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>
        <v>30</v>
      </c>
      <c r="CW24" s="21" t="n">
        <v>20</v>
      </c>
      <c r="CX24" s="27">
        <f>SUM(CV24:CW24)</f>
        <v/>
      </c>
      <c r="CY24" s="28" t="n">
        <v>76</v>
      </c>
      <c r="CZ24" s="31" t="n">
        <v>63</v>
      </c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GOOD(4)</t>
        </is>
      </c>
      <c r="DK24" s="40" t="inlineStr">
        <is>
          <t>AVERAGE(3)</t>
        </is>
      </c>
      <c r="DL24" s="40" t="inlineStr">
        <is>
          <t>AVERAGE(3)</t>
        </is>
      </c>
      <c r="DM24" s="40" t="inlineStr">
        <is>
          <t>AVERAGE(3)</t>
        </is>
      </c>
      <c r="DN24" s="40" t="inlineStr">
        <is>
          <t>GOOD(4)</t>
        </is>
      </c>
      <c r="DO24" s="40" t="inlineStr">
        <is>
          <t>AVERAGE(3)</t>
        </is>
      </c>
      <c r="DP24" s="40" t="inlineStr">
        <is>
          <t>GOOD(4)</t>
        </is>
      </c>
      <c r="DQ24" s="40" t="inlineStr">
        <is>
          <t>AVERAGE(3)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AVERAGE(3)</t>
        </is>
      </c>
      <c r="DU24" s="40" t="inlineStr">
        <is>
          <t>AVERAGE(3)</t>
        </is>
      </c>
      <c r="DV24" s="40" t="inlineStr">
        <is>
          <t>GOOD(4)</t>
        </is>
      </c>
      <c r="DW24" s="40" t="inlineStr">
        <is>
          <t>AVERAGE(3)</t>
        </is>
      </c>
      <c r="DX24" s="40" t="inlineStr">
        <is>
          <t>AVERAGE(3)</t>
        </is>
      </c>
      <c r="DY24" s="40" t="inlineStr">
        <is>
          <t>AVERAGE(3)</t>
        </is>
      </c>
      <c r="DZ24" s="53" t="inlineStr">
        <is>
          <t>GOOD(4)</t>
        </is>
      </c>
      <c r="EA24" s="54" t="inlineStr">
        <is>
          <t>Shows consistent effort and improvement in academic work.</t>
        </is>
      </c>
      <c r="EB24" s="55" t="inlineStr">
        <is>
          <t>Promoted to JSS2</t>
        </is>
      </c>
      <c r="EC24" s="56" t="inlineStr">
        <is>
          <t>Atoyebi Vincent .O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 xml:space="preserve">OJEBISI OJENIHUN </t>
        </is>
      </c>
      <c r="C25" s="20" t="inlineStr">
        <is>
          <t>1952</t>
        </is>
      </c>
      <c r="D25" s="128" t="inlineStr">
        <is>
          <t>Female</t>
        </is>
      </c>
      <c r="E25" s="21" t="inlineStr">
        <is>
          <t>JSS 1A</t>
        </is>
      </c>
      <c r="F25" s="21" t="n">
        <v>38</v>
      </c>
      <c r="G25" s="21" t="n">
        <v>122</v>
      </c>
      <c r="H25" s="22" t="n">
        <v>98</v>
      </c>
      <c r="I25" s="26">
        <f>G25-H25</f>
        <v/>
      </c>
      <c r="J25" s="21" t="n">
        <v>24</v>
      </c>
      <c r="K25" s="21" t="n">
        <v>16</v>
      </c>
      <c r="L25" s="27">
        <f>SUM(J25:K25)</f>
        <v/>
      </c>
      <c r="M25" s="28" t="n">
        <v>45</v>
      </c>
      <c r="N25" s="28" t="n">
        <v>38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27</v>
      </c>
      <c r="Q25" s="21" t="n">
        <v>53</v>
      </c>
      <c r="R25" s="27">
        <f>SUM(P25:Q25)</f>
        <v/>
      </c>
      <c r="S25" s="28" t="n">
        <v>84</v>
      </c>
      <c r="T25" s="28" t="n">
        <v>61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16</v>
      </c>
      <c r="W25" s="21" t="n">
        <v>53</v>
      </c>
      <c r="X25" s="27">
        <f>SUM(V25:W25)</f>
        <v/>
      </c>
      <c r="Y25" s="28" t="n">
        <v>79</v>
      </c>
      <c r="Z25" s="28" t="n">
        <v>45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23</v>
      </c>
      <c r="AC25" s="21" t="n">
        <v>52</v>
      </c>
      <c r="AD25" s="27">
        <f>SUM(AB25:AC25)</f>
        <v/>
      </c>
      <c r="AE25" s="28" t="n">
        <v>72</v>
      </c>
      <c r="AF25" s="28" t="n">
        <v>74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25</v>
      </c>
      <c r="AI25" s="21" t="n">
        <v>38</v>
      </c>
      <c r="AJ25" s="27">
        <f>SUM(AH25:AI25)</f>
        <v/>
      </c>
      <c r="AK25" s="28" t="n">
        <v>49</v>
      </c>
      <c r="AL25" s="28" t="n">
        <v>61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23</v>
      </c>
      <c r="AU25" s="21" t="n">
        <v>36</v>
      </c>
      <c r="AV25" s="27">
        <f>SUM(AT25:AU25)</f>
        <v/>
      </c>
      <c r="AW25" s="28" t="n">
        <v>55</v>
      </c>
      <c r="AX25" s="30" t="n">
        <v>80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23</v>
      </c>
      <c r="BA25" s="21" t="n">
        <v>62</v>
      </c>
      <c r="BB25" s="27">
        <f>SUM(AZ25:BA25)</f>
        <v/>
      </c>
      <c r="BC25" s="28" t="n">
        <v>58</v>
      </c>
      <c r="BD25" s="28" t="n">
        <v>72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16</v>
      </c>
      <c r="BG25" s="21" t="n">
        <v>39</v>
      </c>
      <c r="BH25" s="27">
        <f>SUM(BF25:BG25)</f>
        <v/>
      </c>
      <c r="BI25" s="28" t="n">
        <v>46</v>
      </c>
      <c r="BJ25" s="28" t="n">
        <v>69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22</v>
      </c>
      <c r="BM25" s="21" t="n">
        <v>30</v>
      </c>
      <c r="BN25" s="27">
        <f>SUM(BL25:BM25)</f>
        <v/>
      </c>
      <c r="BO25" s="28" t="n">
        <v>32</v>
      </c>
      <c r="BP25" s="31" t="n">
        <v>47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24</v>
      </c>
      <c r="BY25" s="21" t="n">
        <v>30</v>
      </c>
      <c r="BZ25" s="27">
        <f>SUM(BX25:BY25)</f>
        <v/>
      </c>
      <c r="CA25" s="28" t="n">
        <v>51</v>
      </c>
      <c r="CB25" s="31" t="n">
        <v>41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21</v>
      </c>
      <c r="CE25" s="21" t="n">
        <v>42</v>
      </c>
      <c r="CF25" s="27">
        <f>SUM(CD25:CE25)</f>
        <v/>
      </c>
      <c r="CG25" s="28" t="n">
        <v>62</v>
      </c>
      <c r="CH25" s="31" t="n">
        <v>19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/>
      <c r="CQ25" s="21" t="n"/>
      <c r="CR25" s="27">
        <f>SUM(CP25:CQ25)</f>
        <v/>
      </c>
      <c r="CS25" s="28" t="n"/>
      <c r="CT25" s="31" t="n"/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>
        <v>28</v>
      </c>
      <c r="CW25" s="21" t="n">
        <v>35</v>
      </c>
      <c r="CX25" s="27">
        <f>SUM(CV25:CW25)</f>
        <v/>
      </c>
      <c r="CY25" s="28" t="n">
        <v>57</v>
      </c>
      <c r="CZ25" s="31" t="n">
        <v>60</v>
      </c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AVERAGE(3)</t>
        </is>
      </c>
      <c r="DK25" s="40" t="inlineStr">
        <is>
          <t>GOOD(4)</t>
        </is>
      </c>
      <c r="DL25" s="40" t="inlineStr">
        <is>
          <t>GOOD(4)</t>
        </is>
      </c>
      <c r="DM25" s="40" t="inlineStr">
        <is>
          <t>GOOD(4)</t>
        </is>
      </c>
      <c r="DN25" s="40" t="inlineStr">
        <is>
          <t>GOOD(4)</t>
        </is>
      </c>
      <c r="DO25" s="40" t="inlineStr">
        <is>
          <t>GOOD(4)</t>
        </is>
      </c>
      <c r="DP25" s="40" t="inlineStr">
        <is>
          <t>AVERAGE(3)</t>
        </is>
      </c>
      <c r="DQ25" s="40" t="inlineStr">
        <is>
          <t>GOOD(4)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GOOD(4)</t>
        </is>
      </c>
      <c r="DU25" s="40" t="inlineStr">
        <is>
          <t>GOOD(4)</t>
        </is>
      </c>
      <c r="DV25" s="40" t="inlineStr">
        <is>
          <t>GOOD(4)</t>
        </is>
      </c>
      <c r="DW25" s="40" t="inlineStr">
        <is>
          <t>GOOD(4)</t>
        </is>
      </c>
      <c r="DX25" s="40" t="inlineStr">
        <is>
          <t>AVERAGE(3)</t>
        </is>
      </c>
      <c r="DY25" s="40" t="inlineStr">
        <is>
          <t>GOOD(4)</t>
        </is>
      </c>
      <c r="DZ25" s="53" t="inlineStr">
        <is>
          <t>GOOD(4)</t>
        </is>
      </c>
      <c r="EA25" s="54" t="inlineStr">
        <is>
          <t>Excels in most subjects and demonstrates a strong grasp of concepts.</t>
        </is>
      </c>
      <c r="EB25" s="55" t="inlineStr">
        <is>
          <t>Promoted to JSS2</t>
        </is>
      </c>
      <c r="EC25" s="56" t="inlineStr">
        <is>
          <t>Atoyebi Vincent .O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 xml:space="preserve">OJELERE OJEFUNMILAYO </t>
        </is>
      </c>
      <c r="C26" s="20" t="inlineStr">
        <is>
          <t>1955</t>
        </is>
      </c>
      <c r="D26" s="128" t="inlineStr">
        <is>
          <t>Female</t>
        </is>
      </c>
      <c r="E26" s="21" t="inlineStr">
        <is>
          <t>JSS 1A</t>
        </is>
      </c>
      <c r="F26" s="21" t="n">
        <v>38</v>
      </c>
      <c r="G26" s="21" t="n">
        <v>122</v>
      </c>
      <c r="H26" s="22" t="n">
        <v>20</v>
      </c>
      <c r="I26" s="26">
        <f>G26-H26</f>
        <v/>
      </c>
      <c r="J26" s="21" t="n">
        <v>24</v>
      </c>
      <c r="K26" s="21" t="n">
        <v>31</v>
      </c>
      <c r="L26" s="27">
        <f>SUM(J26:K26)</f>
        <v/>
      </c>
      <c r="M26" s="28" t="n">
        <v>36</v>
      </c>
      <c r="N26" s="28" t="n">
        <v>41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15</v>
      </c>
      <c r="Q26" s="21" t="n">
        <v>32</v>
      </c>
      <c r="R26" s="27">
        <f>SUM(P26:Q26)</f>
        <v/>
      </c>
      <c r="S26" s="28" t="n">
        <v>49</v>
      </c>
      <c r="T26" s="28" t="n">
        <v>40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17</v>
      </c>
      <c r="W26" s="21" t="n">
        <v>50</v>
      </c>
      <c r="X26" s="27">
        <f>SUM(V26:W26)</f>
        <v/>
      </c>
      <c r="Y26" s="28" t="n">
        <v>74</v>
      </c>
      <c r="Z26" s="28" t="n">
        <v>45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27</v>
      </c>
      <c r="AC26" s="21" t="n">
        <v>25</v>
      </c>
      <c r="AD26" s="27">
        <f>SUM(AB26:AC26)</f>
        <v/>
      </c>
      <c r="AE26" s="28" t="n">
        <v>61</v>
      </c>
      <c r="AF26" s="28" t="n">
        <v>56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29</v>
      </c>
      <c r="AI26" s="21" t="n">
        <v>22</v>
      </c>
      <c r="AJ26" s="27">
        <f>SUM(AH26:AI26)</f>
        <v/>
      </c>
      <c r="AK26" s="28" t="n">
        <v>54</v>
      </c>
      <c r="AL26" s="28" t="n">
        <v>58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16</v>
      </c>
      <c r="AU26" s="21" t="n">
        <v>40</v>
      </c>
      <c r="AV26" s="27">
        <f>SUM(AT26:AU26)</f>
        <v/>
      </c>
      <c r="AW26" s="28" t="n">
        <v>40</v>
      </c>
      <c r="AX26" s="30" t="n">
        <v>52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22</v>
      </c>
      <c r="BA26" s="21" t="n">
        <v>34</v>
      </c>
      <c r="BB26" s="27">
        <f>SUM(AZ26:BA26)</f>
        <v/>
      </c>
      <c r="BC26" s="28" t="n">
        <v>45</v>
      </c>
      <c r="BD26" s="28" t="n">
        <v>55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15</v>
      </c>
      <c r="BG26" s="21" t="n">
        <v>39</v>
      </c>
      <c r="BH26" s="27">
        <f>SUM(BF26:BG26)</f>
        <v/>
      </c>
      <c r="BI26" s="28" t="n">
        <v>50</v>
      </c>
      <c r="BJ26" s="28" t="n">
        <v>59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21</v>
      </c>
      <c r="BM26" s="21" t="n">
        <v>34</v>
      </c>
      <c r="BN26" s="27">
        <f>SUM(BL26:BM26)</f>
        <v/>
      </c>
      <c r="BO26" s="28" t="n">
        <v>41</v>
      </c>
      <c r="BP26" s="31" t="n">
        <v>26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24</v>
      </c>
      <c r="BY26" s="21" t="n">
        <v>30</v>
      </c>
      <c r="BZ26" s="27">
        <f>SUM(BX26:BY26)</f>
        <v/>
      </c>
      <c r="CA26" s="28" t="n">
        <v>51</v>
      </c>
      <c r="CB26" s="31" t="n">
        <v>41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24</v>
      </c>
      <c r="CE26" s="21" t="n">
        <v>28</v>
      </c>
      <c r="CF26" s="27">
        <f>SUM(CD26:CE26)</f>
        <v/>
      </c>
      <c r="CG26" s="28" t="n">
        <v>48</v>
      </c>
      <c r="CH26" s="31" t="n">
        <v>26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/>
      <c r="CQ26" s="21" t="n"/>
      <c r="CR26" s="27">
        <f>SUM(CP26:CQ26)</f>
        <v/>
      </c>
      <c r="CS26" s="28" t="n"/>
      <c r="CT26" s="31" t="n"/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>
        <v>24</v>
      </c>
      <c r="CW26" s="21" t="n">
        <v>15</v>
      </c>
      <c r="CX26" s="27">
        <f>SUM(CV26:CW26)</f>
        <v/>
      </c>
      <c r="CY26" s="28" t="n">
        <v>67</v>
      </c>
      <c r="CZ26" s="31" t="n">
        <v>53</v>
      </c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AVERAGE(3)</t>
        </is>
      </c>
      <c r="DK26" s="40" t="inlineStr">
        <is>
          <t>AVERAGE(3)</t>
        </is>
      </c>
      <c r="DL26" s="40" t="inlineStr">
        <is>
          <t>AVERAGE(3)</t>
        </is>
      </c>
      <c r="DM26" s="40" t="inlineStr">
        <is>
          <t>AVERAGE(3)</t>
        </is>
      </c>
      <c r="DN26" s="40" t="inlineStr">
        <is>
          <t>AVERAGE(3)</t>
        </is>
      </c>
      <c r="DO26" s="40" t="inlineStr">
        <is>
          <t>GOOD(4)</t>
        </is>
      </c>
      <c r="DP26" s="40" t="inlineStr">
        <is>
          <t>AVERAGE(3)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AVERAGE(3)</t>
        </is>
      </c>
      <c r="DU26" s="40" t="inlineStr">
        <is>
          <t>AVERAGE(3)</t>
        </is>
      </c>
      <c r="DV26" s="40" t="inlineStr">
        <is>
          <t>AVERAGE(3)</t>
        </is>
      </c>
      <c r="DW26" s="40" t="inlineStr">
        <is>
          <t>GOOD(4)</t>
        </is>
      </c>
      <c r="DX26" s="40" t="inlineStr">
        <is>
          <t>AVERAGE(3)</t>
        </is>
      </c>
      <c r="DY26" s="40" t="inlineStr">
        <is>
          <t>AVERAGE(3)</t>
        </is>
      </c>
      <c r="DZ26" s="53" t="inlineStr">
        <is>
          <t>AVERAGE(3)</t>
        </is>
      </c>
      <c r="EA26" s="54" t="inlineStr">
        <is>
          <t>Should work on controlling impulsive behavior in class.</t>
        </is>
      </c>
      <c r="EB26" s="55" t="inlineStr">
        <is>
          <t>To repeat JSS1</t>
        </is>
      </c>
      <c r="EC26" s="56" t="inlineStr">
        <is>
          <t>Atoyebi Vincent .O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 xml:space="preserve">OJO OJENIYI </t>
        </is>
      </c>
      <c r="C27" s="20" t="inlineStr">
        <is>
          <t>2045</t>
        </is>
      </c>
      <c r="D27" s="128" t="inlineStr">
        <is>
          <t>Male</t>
        </is>
      </c>
      <c r="E27" s="21" t="inlineStr">
        <is>
          <t>JSS 1A</t>
        </is>
      </c>
      <c r="F27" s="21" t="n">
        <v>38</v>
      </c>
      <c r="G27" s="21" t="n">
        <v>122</v>
      </c>
      <c r="H27" s="22" t="n">
        <v>116</v>
      </c>
      <c r="I27" s="26">
        <f>G27-H27</f>
        <v/>
      </c>
      <c r="J27" s="21" t="n">
        <v>19</v>
      </c>
      <c r="K27" s="21" t="n">
        <v>23</v>
      </c>
      <c r="L27" s="27">
        <f>SUM(J27:K27)</f>
        <v/>
      </c>
      <c r="M27" s="28" t="n">
        <v>22</v>
      </c>
      <c r="N27" s="28" t="n">
        <v>25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19</v>
      </c>
      <c r="Q27" s="21" t="n">
        <v>23</v>
      </c>
      <c r="R27" s="27">
        <f>SUM(P27:Q27)</f>
        <v/>
      </c>
      <c r="S27" s="28" t="n">
        <v>42</v>
      </c>
      <c r="T27" s="28" t="n">
        <v>42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15</v>
      </c>
      <c r="W27" s="21" t="n">
        <v>25</v>
      </c>
      <c r="X27" s="27">
        <f>SUM(V27:W27)</f>
        <v/>
      </c>
      <c r="Y27" s="28" t="n">
        <v>21</v>
      </c>
      <c r="Z27" s="28" t="n">
        <v>25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19</v>
      </c>
      <c r="AC27" s="21" t="n">
        <v>23</v>
      </c>
      <c r="AD27" s="27">
        <f>SUM(AB27:AC27)</f>
        <v/>
      </c>
      <c r="AE27" s="28" t="n">
        <v>42</v>
      </c>
      <c r="AF27" s="28" t="n">
        <v>42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11</v>
      </c>
      <c r="AI27" s="21" t="n">
        <v>28</v>
      </c>
      <c r="AJ27" s="27">
        <f>SUM(AH27:AI27)</f>
        <v/>
      </c>
      <c r="AK27" s="28" t="n">
        <v>39</v>
      </c>
      <c r="AL27" s="28" t="n">
        <v>39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19</v>
      </c>
      <c r="AU27" s="21" t="n">
        <v>23</v>
      </c>
      <c r="AV27" s="27">
        <f>SUM(AT27:AU27)</f>
        <v/>
      </c>
      <c r="AW27" s="28" t="n">
        <v>42</v>
      </c>
      <c r="AX27" s="30" t="n">
        <v>42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19</v>
      </c>
      <c r="BA27" s="21" t="n">
        <v>23</v>
      </c>
      <c r="BB27" s="27">
        <f>SUM(AZ27:BA27)</f>
        <v/>
      </c>
      <c r="BC27" s="28" t="n">
        <v>42</v>
      </c>
      <c r="BD27" s="28" t="n">
        <v>42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10</v>
      </c>
      <c r="BG27" s="21" t="n">
        <v>21</v>
      </c>
      <c r="BH27" s="27">
        <f>SUM(BF27:BG27)</f>
        <v/>
      </c>
      <c r="BI27" s="28" t="n">
        <v>31</v>
      </c>
      <c r="BJ27" s="28" t="n">
        <v>31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14</v>
      </c>
      <c r="BM27" s="21" t="n">
        <v>20</v>
      </c>
      <c r="BN27" s="27">
        <f>SUM(BL27:BM27)</f>
        <v/>
      </c>
      <c r="BO27" s="28" t="n">
        <v>41</v>
      </c>
      <c r="BP27" s="31" t="n">
        <v>32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24</v>
      </c>
      <c r="BY27" s="21" t="n">
        <v>30</v>
      </c>
      <c r="BZ27" s="27">
        <f>SUM(BX27:BY27)</f>
        <v/>
      </c>
      <c r="CA27" s="28" t="n">
        <v>51</v>
      </c>
      <c r="CB27" s="31" t="n">
        <v>41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12</v>
      </c>
      <c r="CE27" s="21" t="n">
        <v>13</v>
      </c>
      <c r="CF27" s="27">
        <f>SUM(CD27:CE27)</f>
        <v/>
      </c>
      <c r="CG27" s="28" t="n">
        <v>11</v>
      </c>
      <c r="CH27" s="31" t="n">
        <v>14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12</v>
      </c>
      <c r="CW27" s="21" t="n">
        <v>15</v>
      </c>
      <c r="CX27" s="27">
        <f>SUM(CV27:CW27)</f>
        <v/>
      </c>
      <c r="CY27" s="28" t="n">
        <v>18</v>
      </c>
      <c r="CZ27" s="31" t="n">
        <v>22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GOOD(4)</t>
        </is>
      </c>
      <c r="DK27" s="40" t="inlineStr">
        <is>
          <t>AVERAGE(3)</t>
        </is>
      </c>
      <c r="DL27" s="40" t="inlineStr">
        <is>
          <t>GOOD(4)</t>
        </is>
      </c>
      <c r="DM27" s="40" t="inlineStr">
        <is>
          <t>GOOD(4)</t>
        </is>
      </c>
      <c r="DN27" s="40" t="inlineStr">
        <is>
          <t>GOOD(4)</t>
        </is>
      </c>
      <c r="DO27" s="40" t="inlineStr">
        <is>
          <t>AVERAGE(3)</t>
        </is>
      </c>
      <c r="DP27" s="40" t="inlineStr">
        <is>
          <t>GOOD(4)</t>
        </is>
      </c>
      <c r="DQ27" s="40" t="inlineStr">
        <is>
          <t>AVERAGE(3)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GOOD(4)</t>
        </is>
      </c>
      <c r="DU27" s="40" t="inlineStr">
        <is>
          <t>GOOD(4)</t>
        </is>
      </c>
      <c r="DV27" s="40" t="inlineStr">
        <is>
          <t>AVERAGE(3)</t>
        </is>
      </c>
      <c r="DW27" s="40" t="inlineStr">
        <is>
          <t>GOOD(4)</t>
        </is>
      </c>
      <c r="DX27" s="40" t="inlineStr">
        <is>
          <t>GOOD(4)</t>
        </is>
      </c>
      <c r="DY27" s="40" t="inlineStr">
        <is>
          <t>AVERAGE(3)</t>
        </is>
      </c>
      <c r="DZ27" s="53" t="inlineStr">
        <is>
          <t>GOOD(4)</t>
        </is>
      </c>
      <c r="EA27" s="54" t="inlineStr">
        <is>
          <t>Shows consistent effort and improvement in academic work.</t>
        </is>
      </c>
      <c r="EB27" s="55" t="inlineStr">
        <is>
          <t>Promoted to JSS2</t>
        </is>
      </c>
      <c r="EC27" s="56" t="inlineStr">
        <is>
          <t>Atoyebi Vincent .O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>OJO SAMSON ENIOLA</t>
        </is>
      </c>
      <c r="C28" s="20" t="inlineStr">
        <is>
          <t>1958</t>
        </is>
      </c>
      <c r="D28" s="128" t="inlineStr">
        <is>
          <t>Male</t>
        </is>
      </c>
      <c r="E28" s="21" t="inlineStr">
        <is>
          <t>JSS 1A</t>
        </is>
      </c>
      <c r="F28" s="21" t="n">
        <v>38</v>
      </c>
      <c r="G28" s="21" t="n">
        <v>122</v>
      </c>
      <c r="H28" s="22" t="n">
        <v>106</v>
      </c>
      <c r="I28" s="26">
        <f>G28-H28</f>
        <v/>
      </c>
      <c r="J28" s="21" t="n">
        <v>20</v>
      </c>
      <c r="K28" s="21" t="n">
        <v>11</v>
      </c>
      <c r="L28" s="27">
        <f>SUM(J28:K28)</f>
        <v/>
      </c>
      <c r="M28" s="28" t="n">
        <v>15</v>
      </c>
      <c r="N28" s="28" t="n">
        <v>16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21</v>
      </c>
      <c r="Q28" s="21" t="n">
        <v>29</v>
      </c>
      <c r="R28" s="27">
        <f>SUM(P28:Q28)</f>
        <v/>
      </c>
      <c r="S28" s="28" t="n">
        <v>46</v>
      </c>
      <c r="T28" s="28" t="n">
        <v>42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15</v>
      </c>
      <c r="W28" s="21" t="n">
        <v>40</v>
      </c>
      <c r="X28" s="27">
        <f>SUM(V28:W28)</f>
        <v/>
      </c>
      <c r="Y28" s="28" t="n">
        <v>57</v>
      </c>
      <c r="Z28" s="28" t="n">
        <v>56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25</v>
      </c>
      <c r="AC28" s="21" t="n">
        <v>27</v>
      </c>
      <c r="AD28" s="27">
        <f>SUM(AB28:AC28)</f>
        <v/>
      </c>
      <c r="AE28" s="28" t="n">
        <v>38</v>
      </c>
      <c r="AF28" s="28" t="n">
        <v>45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27</v>
      </c>
      <c r="AI28" s="21" t="n">
        <v>22</v>
      </c>
      <c r="AJ28" s="27">
        <f>SUM(AH28:AI28)</f>
        <v/>
      </c>
      <c r="AK28" s="28" t="n">
        <v>37</v>
      </c>
      <c r="AL28" s="28" t="n">
        <v>42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12</v>
      </c>
      <c r="AU28" s="21" t="n">
        <v>40</v>
      </c>
      <c r="AV28" s="27">
        <f>SUM(AT28:AU28)</f>
        <v/>
      </c>
      <c r="AW28" s="28" t="n">
        <v>31</v>
      </c>
      <c r="AX28" s="30" t="n">
        <v>28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24</v>
      </c>
      <c r="BA28" s="21" t="n">
        <v>26</v>
      </c>
      <c r="BB28" s="27">
        <f>SUM(AZ28:BA28)</f>
        <v/>
      </c>
      <c r="BC28" s="28" t="n">
        <v>39</v>
      </c>
      <c r="BD28" s="28" t="n">
        <v>39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14</v>
      </c>
      <c r="BG28" s="21" t="n">
        <v>32</v>
      </c>
      <c r="BH28" s="27">
        <f>SUM(BF28:BG28)</f>
        <v/>
      </c>
      <c r="BI28" s="28" t="n">
        <v>48</v>
      </c>
      <c r="BJ28" s="28" t="n">
        <v>38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18</v>
      </c>
      <c r="BM28" s="21" t="n">
        <v>34</v>
      </c>
      <c r="BN28" s="27">
        <f>SUM(BL28:BM28)</f>
        <v/>
      </c>
      <c r="BO28" s="28" t="n">
        <v>18</v>
      </c>
      <c r="BP28" s="31" t="n">
        <v>48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24</v>
      </c>
      <c r="BY28" s="21" t="n">
        <v>30</v>
      </c>
      <c r="BZ28" s="27">
        <f>SUM(BX28:BY28)</f>
        <v/>
      </c>
      <c r="CA28" s="28" t="n">
        <v>51</v>
      </c>
      <c r="CB28" s="31" t="n">
        <v>41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25</v>
      </c>
      <c r="CE28" s="21" t="n">
        <v>30</v>
      </c>
      <c r="CF28" s="27">
        <f>SUM(CD28:CE28)</f>
        <v/>
      </c>
      <c r="CG28" s="28" t="n">
        <v>21</v>
      </c>
      <c r="CH28" s="31" t="n">
        <v>24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24</v>
      </c>
      <c r="CW28" s="21" t="n">
        <v>20</v>
      </c>
      <c r="CX28" s="27">
        <f>SUM(CV28:CW28)</f>
        <v/>
      </c>
      <c r="CY28" s="28" t="n">
        <v>22</v>
      </c>
      <c r="CZ28" s="31" t="n">
        <v>33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GOOD(4)</t>
        </is>
      </c>
      <c r="DK28" s="40" t="inlineStr">
        <is>
          <t>GOOD(4)</t>
        </is>
      </c>
      <c r="DL28" s="40" t="inlineStr">
        <is>
          <t>GOOD(4)</t>
        </is>
      </c>
      <c r="DM28" s="40" t="inlineStr">
        <is>
          <t>AVERAGE(3)</t>
        </is>
      </c>
      <c r="DN28" s="40" t="inlineStr">
        <is>
          <t>AVERAGE(3)</t>
        </is>
      </c>
      <c r="DO28" s="40" t="inlineStr">
        <is>
          <t>AVERAGE(3)</t>
        </is>
      </c>
      <c r="DP28" s="40" t="inlineStr">
        <is>
          <t>AVERAGE(3)</t>
        </is>
      </c>
      <c r="DQ28" s="40" t="inlineStr">
        <is>
          <t>AVERAGE(3)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AVERAGE(3)</t>
        </is>
      </c>
      <c r="DU28" s="40" t="inlineStr">
        <is>
          <t>GOOD(4)</t>
        </is>
      </c>
      <c r="DV28" s="40" t="inlineStr">
        <is>
          <t>AVERAGE(3)</t>
        </is>
      </c>
      <c r="DW28" s="40" t="inlineStr">
        <is>
          <t>AVERAGE(3)</t>
        </is>
      </c>
      <c r="DX28" s="40" t="inlineStr">
        <is>
          <t>AVERAGE(3)</t>
        </is>
      </c>
      <c r="DY28" s="40" t="inlineStr">
        <is>
          <t>GOOD(4)</t>
        </is>
      </c>
      <c r="DZ28" s="53" t="inlineStr">
        <is>
          <t>AVERAGE(3)</t>
        </is>
      </c>
      <c r="EA28" s="54" t="inlineStr">
        <is>
          <t>Needs to focus more during lessons to achieve full potential.</t>
        </is>
      </c>
      <c r="EB28" s="55" t="inlineStr">
        <is>
          <t>Promoted to JSS2</t>
        </is>
      </c>
      <c r="EC28" s="56" t="inlineStr">
        <is>
          <t>Atoyebi Vincent .O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>OJO SAMSON KAYODE</t>
        </is>
      </c>
      <c r="C29" s="20" t="inlineStr">
        <is>
          <t>1959</t>
        </is>
      </c>
      <c r="D29" s="128" t="inlineStr">
        <is>
          <t>Male</t>
        </is>
      </c>
      <c r="E29" s="21" t="inlineStr">
        <is>
          <t>JSS 1A</t>
        </is>
      </c>
      <c r="F29" s="21" t="n">
        <v>38</v>
      </c>
      <c r="G29" s="21" t="n">
        <v>122</v>
      </c>
      <c r="H29" s="22" t="n">
        <v>20</v>
      </c>
      <c r="I29" s="26">
        <f>G29-H29</f>
        <v/>
      </c>
      <c r="J29" s="21" t="n">
        <v>20</v>
      </c>
      <c r="K29" s="21" t="n">
        <v>10</v>
      </c>
      <c r="L29" s="27">
        <f>SUM(J29:K29)</f>
        <v/>
      </c>
      <c r="M29" s="28" t="n">
        <v>23</v>
      </c>
      <c r="N29" s="28" t="n">
        <v>33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21</v>
      </c>
      <c r="Q29" s="21" t="n">
        <v>27</v>
      </c>
      <c r="R29" s="27">
        <f>SUM(P29:Q29)</f>
        <v/>
      </c>
      <c r="S29" s="28" t="n">
        <v>63</v>
      </c>
      <c r="T29" s="28" t="n">
        <v>56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15</v>
      </c>
      <c r="W29" s="21" t="n">
        <v>40</v>
      </c>
      <c r="X29" s="27">
        <f>SUM(V29:W29)</f>
        <v/>
      </c>
      <c r="Y29" s="28" t="n">
        <v>60</v>
      </c>
      <c r="Z29" s="28" t="n">
        <v>58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25</v>
      </c>
      <c r="AC29" s="21" t="n">
        <v>27</v>
      </c>
      <c r="AD29" s="27">
        <f>SUM(AB29:AC29)</f>
        <v/>
      </c>
      <c r="AE29" s="28" t="n">
        <v>48</v>
      </c>
      <c r="AF29" s="28" t="n">
        <v>50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30</v>
      </c>
      <c r="AI29" s="21" t="n">
        <v>25</v>
      </c>
      <c r="AJ29" s="27">
        <f>SUM(AH29:AI29)</f>
        <v/>
      </c>
      <c r="AK29" s="28" t="n">
        <v>61</v>
      </c>
      <c r="AL29" s="28" t="n">
        <v>25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14</v>
      </c>
      <c r="AU29" s="21" t="n">
        <v>37</v>
      </c>
      <c r="AV29" s="27">
        <f>SUM(AT29:AU29)</f>
        <v/>
      </c>
      <c r="AW29" s="28" t="n">
        <v>31</v>
      </c>
      <c r="AX29" s="30" t="n">
        <v>46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23</v>
      </c>
      <c r="BA29" s="21" t="n">
        <v>27</v>
      </c>
      <c r="BB29" s="27">
        <f>SUM(AZ29:BA29)</f>
        <v/>
      </c>
      <c r="BC29" s="28" t="n">
        <v>50</v>
      </c>
      <c r="BD29" s="28" t="n">
        <v>54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14</v>
      </c>
      <c r="BG29" s="21" t="n">
        <v>34</v>
      </c>
      <c r="BH29" s="27">
        <f>SUM(BF29:BG29)</f>
        <v/>
      </c>
      <c r="BI29" s="28" t="n">
        <v>58</v>
      </c>
      <c r="BJ29" s="28" t="n">
        <v>55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20</v>
      </c>
      <c r="BM29" s="21" t="n">
        <v>30</v>
      </c>
      <c r="BN29" s="27">
        <f>SUM(BL29:BM29)</f>
        <v/>
      </c>
      <c r="BO29" s="28" t="n">
        <v>51</v>
      </c>
      <c r="BP29" s="31" t="n">
        <v>57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24</v>
      </c>
      <c r="BY29" s="21" t="n">
        <v>30</v>
      </c>
      <c r="BZ29" s="27">
        <f>SUM(BX29:BY29)</f>
        <v/>
      </c>
      <c r="CA29" s="28" t="n">
        <v>51</v>
      </c>
      <c r="CB29" s="31" t="n">
        <v>41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21</v>
      </c>
      <c r="CE29" s="21" t="n">
        <v>37</v>
      </c>
      <c r="CF29" s="27">
        <f>SUM(CD29:CE29)</f>
        <v/>
      </c>
      <c r="CG29" s="28" t="n">
        <v>14</v>
      </c>
      <c r="CH29" s="31" t="n">
        <v>14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28</v>
      </c>
      <c r="CW29" s="21" t="n">
        <v>20</v>
      </c>
      <c r="CX29" s="27">
        <f>SUM(CV29:CW29)</f>
        <v/>
      </c>
      <c r="CY29" s="28" t="n">
        <v>58</v>
      </c>
      <c r="CZ29" s="31" t="n">
        <v>53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GOOD(4)</t>
        </is>
      </c>
      <c r="DK29" s="40" t="inlineStr">
        <is>
          <t>GOOD(4)</t>
        </is>
      </c>
      <c r="DL29" s="40" t="inlineStr">
        <is>
          <t>AVERAGE(3)</t>
        </is>
      </c>
      <c r="DM29" s="40" t="inlineStr">
        <is>
          <t>GOOD(4)</t>
        </is>
      </c>
      <c r="DN29" s="40" t="inlineStr">
        <is>
          <t>GOOD(4)</t>
        </is>
      </c>
      <c r="DO29" s="40" t="inlineStr">
        <is>
          <t>GOOD(4)</t>
        </is>
      </c>
      <c r="DP29" s="40" t="inlineStr">
        <is>
          <t>GOOD(4)</t>
        </is>
      </c>
      <c r="DQ29" s="40" t="inlineStr">
        <is>
          <t>AVERAGE(3)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AVERAGE(3)</t>
        </is>
      </c>
      <c r="DU29" s="40" t="inlineStr">
        <is>
          <t>AVERAGE(3)</t>
        </is>
      </c>
      <c r="DV29" s="40" t="inlineStr">
        <is>
          <t>AVERAGE(3)</t>
        </is>
      </c>
      <c r="DW29" s="40" t="inlineStr">
        <is>
          <t>AVERAGE(3)</t>
        </is>
      </c>
      <c r="DX29" s="40" t="inlineStr">
        <is>
          <t>GOOD(4)</t>
        </is>
      </c>
      <c r="DY29" s="40" t="inlineStr">
        <is>
          <t>GOOD(4)</t>
        </is>
      </c>
      <c r="DZ29" s="53" t="inlineStr">
        <is>
          <t>GOOD(4)</t>
        </is>
      </c>
      <c r="EA29" s="54" t="inlineStr">
        <is>
          <t>Demonstrates a positive attitude and respect for rules.</t>
        </is>
      </c>
      <c r="EB29" s="55" t="inlineStr">
        <is>
          <t>To repeat JSS1</t>
        </is>
      </c>
      <c r="EC29" s="56" t="inlineStr">
        <is>
          <t>Atoyebi Vincent .O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OLADAYO FELIX </t>
        </is>
      </c>
      <c r="C30" s="20" t="inlineStr">
        <is>
          <t>2064</t>
        </is>
      </c>
      <c r="D30" s="128" t="inlineStr">
        <is>
          <t>Male</t>
        </is>
      </c>
      <c r="E30" s="21" t="inlineStr">
        <is>
          <t>JSS 1A</t>
        </is>
      </c>
      <c r="F30" s="21" t="n">
        <v>38</v>
      </c>
      <c r="G30" s="21" t="n">
        <v>122</v>
      </c>
      <c r="H30" s="22" t="n">
        <v>26</v>
      </c>
      <c r="I30" s="26">
        <f>G30-H30</f>
        <v/>
      </c>
      <c r="J30" s="21" t="n">
        <v>11</v>
      </c>
      <c r="K30" s="21" t="n">
        <v>25</v>
      </c>
      <c r="L30" s="27">
        <f>SUM(J30:K30)</f>
        <v/>
      </c>
      <c r="M30" s="28" t="n">
        <v>39</v>
      </c>
      <c r="N30" s="28" t="n">
        <v>23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14</v>
      </c>
      <c r="Q30" s="21" t="n">
        <v>16</v>
      </c>
      <c r="R30" s="27">
        <f>SUM(P30:Q30)</f>
        <v/>
      </c>
      <c r="S30" s="28" t="n">
        <v>16</v>
      </c>
      <c r="T30" s="28" t="n">
        <v>10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15</v>
      </c>
      <c r="W30" s="21" t="n">
        <v>30</v>
      </c>
      <c r="X30" s="27">
        <f>SUM(V30:W30)</f>
        <v/>
      </c>
      <c r="Y30" s="28" t="n">
        <v>35</v>
      </c>
      <c r="Z30" s="28" t="n">
        <v>22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13</v>
      </c>
      <c r="AC30" s="21" t="n">
        <v>25</v>
      </c>
      <c r="AD30" s="27">
        <f>SUM(AB30:AC30)</f>
        <v/>
      </c>
      <c r="AE30" s="28" t="n">
        <v>40</v>
      </c>
      <c r="AF30" s="28" t="n">
        <v>39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19</v>
      </c>
      <c r="AI30" s="21" t="n">
        <v>20</v>
      </c>
      <c r="AJ30" s="27">
        <f>SUM(AH30:AI30)</f>
        <v/>
      </c>
      <c r="AK30" s="28" t="n">
        <v>39</v>
      </c>
      <c r="AL30" s="28" t="n">
        <v>39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14</v>
      </c>
      <c r="AU30" s="21" t="n">
        <v>25</v>
      </c>
      <c r="AV30" s="27">
        <f>SUM(AT30:AU30)</f>
        <v/>
      </c>
      <c r="AW30" s="28" t="n">
        <v>39</v>
      </c>
      <c r="AX30" s="30" t="n">
        <v>39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10</v>
      </c>
      <c r="BA30" s="21" t="n">
        <v>29</v>
      </c>
      <c r="BB30" s="27">
        <f>SUM(AZ30:BA30)</f>
        <v/>
      </c>
      <c r="BC30" s="28" t="n">
        <v>39</v>
      </c>
      <c r="BD30" s="28" t="n">
        <v>39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12</v>
      </c>
      <c r="BG30" s="21" t="n">
        <v>10</v>
      </c>
      <c r="BH30" s="27">
        <f>SUM(BF30:BG30)</f>
        <v/>
      </c>
      <c r="BI30" s="28" t="n">
        <v>22</v>
      </c>
      <c r="BJ30" s="28" t="n">
        <v>22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19</v>
      </c>
      <c r="BM30" s="21" t="n">
        <v>35</v>
      </c>
      <c r="BN30" s="27">
        <f>SUM(BL30:BM30)</f>
        <v/>
      </c>
      <c r="BO30" s="28" t="n">
        <v>45</v>
      </c>
      <c r="BP30" s="31" t="n">
        <v>20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24</v>
      </c>
      <c r="BY30" s="21" t="n">
        <v>30</v>
      </c>
      <c r="BZ30" s="27">
        <f>SUM(BX30:BY30)</f>
        <v/>
      </c>
      <c r="CA30" s="28" t="n">
        <v>51</v>
      </c>
      <c r="CB30" s="31" t="n">
        <v>41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15</v>
      </c>
      <c r="CE30" s="21" t="n">
        <v>10</v>
      </c>
      <c r="CF30" s="27">
        <f>SUM(CD30:CE30)</f>
        <v/>
      </c>
      <c r="CG30" s="28" t="n">
        <v>14</v>
      </c>
      <c r="CH30" s="31" t="n">
        <v>11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10</v>
      </c>
      <c r="CW30" s="21" t="n">
        <v>15</v>
      </c>
      <c r="CX30" s="27">
        <f>SUM(CV30:CW30)</f>
        <v/>
      </c>
      <c r="CY30" s="28" t="n">
        <v>20</v>
      </c>
      <c r="CZ30" s="31" t="n">
        <v>22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AVERAGE(3)</t>
        </is>
      </c>
      <c r="DK30" s="40" t="inlineStr">
        <is>
          <t>AVERAGE(3)</t>
        </is>
      </c>
      <c r="DL30" s="40" t="inlineStr">
        <is>
          <t>GOOD(4)</t>
        </is>
      </c>
      <c r="DM30" s="40" t="inlineStr">
        <is>
          <t>GOOD(4)</t>
        </is>
      </c>
      <c r="DN30" s="40" t="inlineStr">
        <is>
          <t>AVERAGE(3)</t>
        </is>
      </c>
      <c r="DO30" s="40" t="inlineStr">
        <is>
          <t>GOOD(4)</t>
        </is>
      </c>
      <c r="DP30" s="40" t="inlineStr">
        <is>
          <t>AVERAGE(3)</t>
        </is>
      </c>
      <c r="DQ30" s="40" t="inlineStr">
        <is>
          <t>GOOD(4)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GOOD(4)</t>
        </is>
      </c>
      <c r="DU30" s="40" t="inlineStr">
        <is>
          <t>AVERAGE(3)</t>
        </is>
      </c>
      <c r="DV30" s="40" t="inlineStr">
        <is>
          <t>GOOD(4)</t>
        </is>
      </c>
      <c r="DW30" s="40" t="inlineStr">
        <is>
          <t>AVERAGE(3)</t>
        </is>
      </c>
      <c r="DX30" s="40" t="inlineStr">
        <is>
          <t>GOOD(4)</t>
        </is>
      </c>
      <c r="DY30" s="40" t="inlineStr">
        <is>
          <t>GOOD(4)</t>
        </is>
      </c>
      <c r="DZ30" s="53" t="inlineStr">
        <is>
          <t>GOOD(4)</t>
        </is>
      </c>
      <c r="EA30" s="54" t="inlineStr">
        <is>
          <t>Is a quiet student but attentive and engaged.</t>
        </is>
      </c>
      <c r="EB30" s="55" t="inlineStr">
        <is>
          <t>To repeat JSS1</t>
        </is>
      </c>
      <c r="EC30" s="56" t="inlineStr">
        <is>
          <t>Atoyebi Vincent .O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 xml:space="preserve">OLADIPUPO JONATHAN </t>
        </is>
      </c>
      <c r="C31" s="20" t="inlineStr">
        <is>
          <t>2039</t>
        </is>
      </c>
      <c r="D31" s="128" t="inlineStr">
        <is>
          <t>Male</t>
        </is>
      </c>
      <c r="E31" s="21" t="inlineStr">
        <is>
          <t>JSS 1A</t>
        </is>
      </c>
      <c r="F31" s="21" t="n">
        <v>38</v>
      </c>
      <c r="G31" s="21" t="n">
        <v>122</v>
      </c>
      <c r="H31" s="22" t="n">
        <v>23</v>
      </c>
      <c r="I31" s="26">
        <f>G31-H31</f>
        <v/>
      </c>
      <c r="J31" s="21" t="n">
        <v>14</v>
      </c>
      <c r="K31" s="21" t="n">
        <v>12</v>
      </c>
      <c r="L31" s="27">
        <f>SUM(J31:K31)</f>
        <v/>
      </c>
      <c r="M31" s="28" t="n">
        <v>26</v>
      </c>
      <c r="N31" s="28" t="n">
        <v>23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15</v>
      </c>
      <c r="Q31" s="21" t="n">
        <v>15</v>
      </c>
      <c r="R31" s="27">
        <f>SUM(P31:Q31)</f>
        <v/>
      </c>
      <c r="S31" s="28" t="n">
        <v>10</v>
      </c>
      <c r="T31" s="28" t="n">
        <v>20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17</v>
      </c>
      <c r="W31" s="21" t="n">
        <v>30</v>
      </c>
      <c r="X31" s="27">
        <f>SUM(V31:W31)</f>
        <v/>
      </c>
      <c r="Y31" s="28" t="n">
        <v>22</v>
      </c>
      <c r="Z31" s="28" t="n">
        <v>32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11</v>
      </c>
      <c r="AC31" s="21" t="n">
        <v>29</v>
      </c>
      <c r="AD31" s="27">
        <f>SUM(AB31:AC31)</f>
        <v/>
      </c>
      <c r="AE31" s="28" t="n">
        <v>40</v>
      </c>
      <c r="AF31" s="28" t="n">
        <v>40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19</v>
      </c>
      <c r="AI31" s="21" t="n">
        <v>20</v>
      </c>
      <c r="AJ31" s="27">
        <f>SUM(AH31:AI31)</f>
        <v/>
      </c>
      <c r="AK31" s="28" t="n">
        <v>39</v>
      </c>
      <c r="AL31" s="28" t="n">
        <v>39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14</v>
      </c>
      <c r="AU31" s="21" t="n">
        <v>25</v>
      </c>
      <c r="AV31" s="27">
        <f>SUM(AT31:AU31)</f>
        <v/>
      </c>
      <c r="AW31" s="28" t="n">
        <v>39</v>
      </c>
      <c r="AX31" s="30" t="n">
        <v>39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9</v>
      </c>
      <c r="BA31" s="21" t="n">
        <v>29</v>
      </c>
      <c r="BB31" s="27">
        <f>SUM(AZ31:BA31)</f>
        <v/>
      </c>
      <c r="BC31" s="28" t="n">
        <v>38</v>
      </c>
      <c r="BD31" s="28" t="n">
        <v>38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10</v>
      </c>
      <c r="BG31" s="21" t="n">
        <v>12</v>
      </c>
      <c r="BH31" s="27">
        <f>SUM(BF31:BG31)</f>
        <v/>
      </c>
      <c r="BI31" s="28" t="n">
        <v>9</v>
      </c>
      <c r="BJ31" s="28" t="n">
        <v>16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19</v>
      </c>
      <c r="BM31" s="21" t="n">
        <v>30</v>
      </c>
      <c r="BN31" s="27">
        <f>SUM(BL31:BM31)</f>
        <v/>
      </c>
      <c r="BO31" s="28" t="n">
        <v>41</v>
      </c>
      <c r="BP31" s="31" t="n">
        <v>25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24</v>
      </c>
      <c r="BY31" s="21" t="n">
        <v>30</v>
      </c>
      <c r="BZ31" s="27">
        <f>SUM(BX31:BY31)</f>
        <v/>
      </c>
      <c r="CA31" s="28" t="n">
        <v>51</v>
      </c>
      <c r="CB31" s="31" t="n">
        <v>41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15</v>
      </c>
      <c r="CE31" s="21" t="n">
        <v>10</v>
      </c>
      <c r="CF31" s="27">
        <f>SUM(CD31:CE31)</f>
        <v/>
      </c>
      <c r="CG31" s="28" t="n">
        <v>14</v>
      </c>
      <c r="CH31" s="31" t="n">
        <v>11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>
        <v>10</v>
      </c>
      <c r="CW31" s="21" t="n">
        <v>15</v>
      </c>
      <c r="CX31" s="27">
        <f>SUM(CV31:CW31)</f>
        <v/>
      </c>
      <c r="CY31" s="28" t="n">
        <v>17</v>
      </c>
      <c r="CZ31" s="31" t="n">
        <v>21</v>
      </c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GOOD(4)</t>
        </is>
      </c>
      <c r="DK31" s="40" t="inlineStr">
        <is>
          <t>AVERAGE(3)</t>
        </is>
      </c>
      <c r="DL31" s="40" t="inlineStr">
        <is>
          <t>AVERAGE(3)</t>
        </is>
      </c>
      <c r="DM31" s="40" t="inlineStr">
        <is>
          <t>GOOD(4)</t>
        </is>
      </c>
      <c r="DN31" s="40" t="inlineStr">
        <is>
          <t>GOOD(4)</t>
        </is>
      </c>
      <c r="DO31" s="40" t="inlineStr">
        <is>
          <t>GOOD(4)</t>
        </is>
      </c>
      <c r="DP31" s="40" t="inlineStr">
        <is>
          <t>GOOD(4)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AVERAGE(3)</t>
        </is>
      </c>
      <c r="DU31" s="40" t="inlineStr">
        <is>
          <t>GOOD(4)</t>
        </is>
      </c>
      <c r="DV31" s="40" t="inlineStr">
        <is>
          <t>AVERAGE(3)</t>
        </is>
      </c>
      <c r="DW31" s="40" t="inlineStr">
        <is>
          <t>GOOD(4)</t>
        </is>
      </c>
      <c r="DX31" s="40" t="inlineStr">
        <is>
          <t>GOOD(4)</t>
        </is>
      </c>
      <c r="DY31" s="40" t="inlineStr">
        <is>
          <t>GOOD(4)</t>
        </is>
      </c>
      <c r="DZ31" s="53" t="inlineStr">
        <is>
          <t>GOOD(4)</t>
        </is>
      </c>
      <c r="EA31" s="54" t="inlineStr">
        <is>
          <t>Consistently well-behaved and sets a good example for peers.</t>
        </is>
      </c>
      <c r="EB31" s="55" t="inlineStr">
        <is>
          <t>To repeat JSS1</t>
        </is>
      </c>
      <c r="EC31" s="56" t="inlineStr">
        <is>
          <t>Atoyebi Vincent .O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 xml:space="preserve">OLADOKUN EZRA </t>
        </is>
      </c>
      <c r="C32" s="20" t="inlineStr">
        <is>
          <t>2057</t>
        </is>
      </c>
      <c r="D32" s="128" t="inlineStr">
        <is>
          <t>Male</t>
        </is>
      </c>
      <c r="E32" s="21" t="inlineStr">
        <is>
          <t>JSS 1A</t>
        </is>
      </c>
      <c r="F32" s="21" t="n">
        <v>38</v>
      </c>
      <c r="G32" s="21" t="n">
        <v>122</v>
      </c>
      <c r="H32" s="22" t="n">
        <v>122</v>
      </c>
      <c r="I32" s="26">
        <f>G32-H32</f>
        <v/>
      </c>
      <c r="J32" s="21" t="n">
        <v>13</v>
      </c>
      <c r="K32" s="21" t="n">
        <v>12</v>
      </c>
      <c r="L32" s="27">
        <f>SUM(J32:K32)</f>
        <v/>
      </c>
      <c r="M32" s="28" t="n">
        <v>26</v>
      </c>
      <c r="N32" s="28" t="n">
        <v>28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17</v>
      </c>
      <c r="Q32" s="21" t="n">
        <v>13</v>
      </c>
      <c r="R32" s="27">
        <f>SUM(P32:Q32)</f>
        <v/>
      </c>
      <c r="S32" s="28" t="n">
        <v>16</v>
      </c>
      <c r="T32" s="28" t="n">
        <v>12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17</v>
      </c>
      <c r="W32" s="21" t="n">
        <v>30</v>
      </c>
      <c r="X32" s="27">
        <f>SUM(V32:W32)</f>
        <v/>
      </c>
      <c r="Y32" s="28" t="n">
        <v>32</v>
      </c>
      <c r="Z32" s="28" t="n">
        <v>23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10</v>
      </c>
      <c r="AC32" s="21" t="n">
        <v>29</v>
      </c>
      <c r="AD32" s="27">
        <f>SUM(AB32:AC32)</f>
        <v/>
      </c>
      <c r="AE32" s="28" t="n">
        <v>39</v>
      </c>
      <c r="AF32" s="28" t="n">
        <v>39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17</v>
      </c>
      <c r="AI32" s="21" t="n">
        <v>20</v>
      </c>
      <c r="AJ32" s="27">
        <f>SUM(AH32:AI32)</f>
        <v/>
      </c>
      <c r="AK32" s="28" t="n">
        <v>37</v>
      </c>
      <c r="AL32" s="28" t="n">
        <v>37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19</v>
      </c>
      <c r="AU32" s="21" t="n">
        <v>20</v>
      </c>
      <c r="AV32" s="27">
        <f>SUM(AT32:AU32)</f>
        <v/>
      </c>
      <c r="AW32" s="28" t="n">
        <v>39</v>
      </c>
      <c r="AX32" s="30" t="n">
        <v>39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10</v>
      </c>
      <c r="BA32" s="21" t="n">
        <v>29</v>
      </c>
      <c r="BB32" s="27">
        <f>SUM(AZ32:BA32)</f>
        <v/>
      </c>
      <c r="BC32" s="28" t="n">
        <v>39</v>
      </c>
      <c r="BD32" s="28" t="n">
        <v>39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10</v>
      </c>
      <c r="BG32" s="21" t="n">
        <v>12</v>
      </c>
      <c r="BH32" s="27">
        <f>SUM(BF32:BG32)</f>
        <v/>
      </c>
      <c r="BI32" s="28" t="n">
        <v>22</v>
      </c>
      <c r="BJ32" s="28" t="n">
        <v>22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19</v>
      </c>
      <c r="BM32" s="21" t="n">
        <v>20</v>
      </c>
      <c r="BN32" s="27">
        <f>SUM(BL32:BM32)</f>
        <v/>
      </c>
      <c r="BO32" s="28" t="n">
        <v>44</v>
      </c>
      <c r="BP32" s="31" t="n">
        <v>35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24</v>
      </c>
      <c r="BY32" s="21" t="n">
        <v>30</v>
      </c>
      <c r="BZ32" s="27">
        <f>SUM(BX32:BY32)</f>
        <v/>
      </c>
      <c r="CA32" s="28" t="n">
        <v>51</v>
      </c>
      <c r="CB32" s="31" t="n">
        <v>41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10</v>
      </c>
      <c r="CE32" s="21" t="n">
        <v>11</v>
      </c>
      <c r="CF32" s="27">
        <f>SUM(CD32:CE32)</f>
        <v/>
      </c>
      <c r="CG32" s="28" t="n">
        <v>13</v>
      </c>
      <c r="CH32" s="31" t="n">
        <v>12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10</v>
      </c>
      <c r="CW32" s="21" t="n">
        <v>15</v>
      </c>
      <c r="CX32" s="27">
        <f>SUM(CV32:CW32)</f>
        <v/>
      </c>
      <c r="CY32" s="28" t="n">
        <v>20</v>
      </c>
      <c r="CZ32" s="31" t="n">
        <v>22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GOOD(4)</t>
        </is>
      </c>
      <c r="DK32" s="40" t="inlineStr">
        <is>
          <t>GOOD(4)</t>
        </is>
      </c>
      <c r="DL32" s="40" t="inlineStr">
        <is>
          <t>GOOD(4)</t>
        </is>
      </c>
      <c r="DM32" s="40" t="inlineStr">
        <is>
          <t>GOOD(4)</t>
        </is>
      </c>
      <c r="DN32" s="40" t="inlineStr">
        <is>
          <t>GOOD(4)</t>
        </is>
      </c>
      <c r="DO32" s="40" t="inlineStr">
        <is>
          <t>GOOD(4)</t>
        </is>
      </c>
      <c r="DP32" s="40" t="inlineStr">
        <is>
          <t>GOOD(4)</t>
        </is>
      </c>
      <c r="DQ32" s="40" t="inlineStr">
        <is>
          <t>GOOD(4)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AVERAGE(3)</t>
        </is>
      </c>
      <c r="DU32" s="40" t="inlineStr">
        <is>
          <t>AVERAGE(3)</t>
        </is>
      </c>
      <c r="DV32" s="40" t="inlineStr">
        <is>
          <t>GOOD(4)</t>
        </is>
      </c>
      <c r="DW32" s="40" t="inlineStr">
        <is>
          <t>AVERAGE(3)</t>
        </is>
      </c>
      <c r="DX32" s="40" t="inlineStr">
        <is>
          <t>GOOD(4)</t>
        </is>
      </c>
      <c r="DY32" s="40" t="inlineStr">
        <is>
          <t>GOOD(4)</t>
        </is>
      </c>
      <c r="DZ32" s="53" t="inlineStr">
        <is>
          <t>GOOD(4)</t>
        </is>
      </c>
      <c r="EA32" s="54" t="inlineStr">
        <is>
          <t>Needs to focus more during lessons to achieve full potential.</t>
        </is>
      </c>
      <c r="EB32" s="55" t="inlineStr">
        <is>
          <t>Promoted to JSS2</t>
        </is>
      </c>
      <c r="EC32" s="56" t="inlineStr">
        <is>
          <t>Atoyebi Vincent .O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>OLADUNNI JANET O.</t>
        </is>
      </c>
      <c r="C33" s="20" t="inlineStr">
        <is>
          <t>2051</t>
        </is>
      </c>
      <c r="D33" s="128" t="inlineStr">
        <is>
          <t>Female</t>
        </is>
      </c>
      <c r="E33" s="21" t="inlineStr">
        <is>
          <t>JSS 1A</t>
        </is>
      </c>
      <c r="F33" s="21" t="n">
        <v>38</v>
      </c>
      <c r="G33" s="21" t="n">
        <v>122</v>
      </c>
      <c r="H33" s="22" t="n">
        <v>118</v>
      </c>
      <c r="I33" s="26">
        <f>G33-H33</f>
        <v/>
      </c>
      <c r="J33" s="21" t="n">
        <v>30</v>
      </c>
      <c r="K33" s="21" t="n">
        <v>20</v>
      </c>
      <c r="L33" s="27">
        <f>SUM(J33:K33)</f>
        <v/>
      </c>
      <c r="M33" s="28" t="n">
        <v>69</v>
      </c>
      <c r="N33" s="28" t="n">
        <v>62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26</v>
      </c>
      <c r="Q33" s="21" t="n">
        <v>62</v>
      </c>
      <c r="R33" s="27">
        <f>SUM(P33:Q33)</f>
        <v/>
      </c>
      <c r="S33" s="28" t="n">
        <v>80</v>
      </c>
      <c r="T33" s="28" t="n">
        <v>79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25</v>
      </c>
      <c r="W33" s="21" t="n">
        <v>50</v>
      </c>
      <c r="X33" s="27">
        <f>SUM(V33:W33)</f>
        <v/>
      </c>
      <c r="Y33" s="28" t="n">
        <v>83</v>
      </c>
      <c r="Z33" s="28" t="n">
        <v>46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13</v>
      </c>
      <c r="AC33" s="21" t="n">
        <v>25</v>
      </c>
      <c r="AD33" s="27">
        <f>SUM(AB33:AC33)</f>
        <v/>
      </c>
      <c r="AE33" s="28" t="n">
        <v>40</v>
      </c>
      <c r="AF33" s="28" t="n">
        <v>39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27</v>
      </c>
      <c r="AI33" s="21" t="n">
        <v>33</v>
      </c>
      <c r="AJ33" s="27">
        <f>SUM(AH33:AI33)</f>
        <v/>
      </c>
      <c r="AK33" s="28" t="n">
        <v>79</v>
      </c>
      <c r="AL33" s="28" t="n">
        <v>65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20</v>
      </c>
      <c r="AU33" s="21" t="n">
        <v>34</v>
      </c>
      <c r="AV33" s="27">
        <f>SUM(AT33:AU33)</f>
        <v/>
      </c>
      <c r="AW33" s="28" t="n">
        <v>51</v>
      </c>
      <c r="AX33" s="30" t="n">
        <v>79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24</v>
      </c>
      <c r="BA33" s="21" t="n">
        <v>69</v>
      </c>
      <c r="BB33" s="27">
        <f>SUM(AZ33:BA33)</f>
        <v/>
      </c>
      <c r="BC33" s="28" t="n">
        <v>52</v>
      </c>
      <c r="BD33" s="28" t="n">
        <v>72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17</v>
      </c>
      <c r="BG33" s="21" t="n">
        <v>41</v>
      </c>
      <c r="BH33" s="27">
        <f>SUM(BF33:BG33)</f>
        <v/>
      </c>
      <c r="BI33" s="28" t="n">
        <v>59</v>
      </c>
      <c r="BJ33" s="28" t="n">
        <v>64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20</v>
      </c>
      <c r="BM33" s="21" t="n">
        <v>39</v>
      </c>
      <c r="BN33" s="27">
        <f>SUM(BL33:BM33)</f>
        <v/>
      </c>
      <c r="BO33" s="28" t="n">
        <v>56</v>
      </c>
      <c r="BP33" s="31" t="n">
        <v>62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24</v>
      </c>
      <c r="BY33" s="21" t="n">
        <v>30</v>
      </c>
      <c r="BZ33" s="27">
        <f>SUM(BX33:BY33)</f>
        <v/>
      </c>
      <c r="CA33" s="28" t="n">
        <v>51</v>
      </c>
      <c r="CB33" s="31" t="n">
        <v>41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22</v>
      </c>
      <c r="CE33" s="21" t="n">
        <v>33</v>
      </c>
      <c r="CF33" s="27">
        <f>SUM(CD33:CE33)</f>
        <v/>
      </c>
      <c r="CG33" s="28" t="n">
        <v>54</v>
      </c>
      <c r="CH33" s="31" t="n">
        <v>37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>
        <v>24</v>
      </c>
      <c r="CQ33" s="21" t="n">
        <v>50</v>
      </c>
      <c r="CR33" s="27">
        <f>SUM(CP33:CQ33)</f>
        <v/>
      </c>
      <c r="CS33" s="28" t="n">
        <v>74</v>
      </c>
      <c r="CT33" s="31" t="n">
        <v>65</v>
      </c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28</v>
      </c>
      <c r="CW33" s="21" t="n">
        <v>40</v>
      </c>
      <c r="CX33" s="27">
        <f>SUM(CV33:CW33)</f>
        <v/>
      </c>
      <c r="CY33" s="28" t="n">
        <v>72</v>
      </c>
      <c r="CZ33" s="31" t="n">
        <v>70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AVERAGE(3)</t>
        </is>
      </c>
      <c r="DK33" s="40" t="inlineStr">
        <is>
          <t>AVERAGE(3)</t>
        </is>
      </c>
      <c r="DL33" s="40" t="inlineStr">
        <is>
          <t>GOOD(4)</t>
        </is>
      </c>
      <c r="DM33" s="40" t="inlineStr">
        <is>
          <t>AVERAGE(3)</t>
        </is>
      </c>
      <c r="DN33" s="40" t="inlineStr">
        <is>
          <t>BELOW AVERAGE(2)</t>
        </is>
      </c>
      <c r="DO33" s="40" t="inlineStr">
        <is>
          <t>AVERAGE(3)</t>
        </is>
      </c>
      <c r="DP33" s="40" t="inlineStr">
        <is>
          <t>GOOD(4)</t>
        </is>
      </c>
      <c r="DQ33" s="40" t="inlineStr">
        <is>
          <t>GOOD(4)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GOOD(4)</t>
        </is>
      </c>
      <c r="DU33" s="40" t="inlineStr">
        <is>
          <t>GOOD(4)</t>
        </is>
      </c>
      <c r="DV33" s="40" t="inlineStr">
        <is>
          <t>BELOW AVERAGE(2)</t>
        </is>
      </c>
      <c r="DW33" s="40" t="inlineStr">
        <is>
          <t>GOOD(4)</t>
        </is>
      </c>
      <c r="DX33" s="40" t="inlineStr">
        <is>
          <t>GOOD(4)</t>
        </is>
      </c>
      <c r="DY33" s="40" t="inlineStr">
        <is>
          <t>GOOD(4)</t>
        </is>
      </c>
      <c r="DZ33" s="53" t="inlineStr">
        <is>
          <t>AVERAGE(3)</t>
        </is>
      </c>
      <c r="EA33" s="54" t="inlineStr">
        <is>
          <t>Shows consistent effort and improvement in academic work.</t>
        </is>
      </c>
      <c r="EB33" s="55" t="inlineStr">
        <is>
          <t>Promoted to JSS2</t>
        </is>
      </c>
      <c r="EC33" s="56" t="inlineStr">
        <is>
          <t>Atoyebi Vincent .O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 xml:space="preserve">OMOTOSHO ISLAMIYAT </t>
        </is>
      </c>
      <c r="C34" s="20" t="inlineStr">
        <is>
          <t>1967</t>
        </is>
      </c>
      <c r="D34" s="128" t="inlineStr">
        <is>
          <t>Female</t>
        </is>
      </c>
      <c r="E34" s="21" t="inlineStr">
        <is>
          <t>JSS 1A</t>
        </is>
      </c>
      <c r="F34" s="21" t="n">
        <v>38</v>
      </c>
      <c r="G34" s="21" t="n">
        <v>122</v>
      </c>
      <c r="H34" s="22" t="n">
        <v>110</v>
      </c>
      <c r="I34" s="26">
        <f>G34-H34</f>
        <v/>
      </c>
      <c r="J34" s="21" t="n">
        <v>24</v>
      </c>
      <c r="K34" s="21" t="n">
        <v>14</v>
      </c>
      <c r="L34" s="27">
        <f>SUM(J34:K34)</f>
        <v/>
      </c>
      <c r="M34" s="28" t="n">
        <v>34</v>
      </c>
      <c r="N34" s="28" t="n">
        <v>20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12</v>
      </c>
      <c r="Q34" s="21" t="n">
        <v>29</v>
      </c>
      <c r="R34" s="27">
        <f>SUM(P34:Q34)</f>
        <v/>
      </c>
      <c r="S34" s="28" t="n">
        <v>45</v>
      </c>
      <c r="T34" s="28" t="n">
        <v>42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25</v>
      </c>
      <c r="W34" s="21" t="n">
        <v>29</v>
      </c>
      <c r="X34" s="27">
        <f>SUM(V34:W34)</f>
        <v/>
      </c>
      <c r="Y34" s="28" t="n">
        <v>62</v>
      </c>
      <c r="Z34" s="28" t="n">
        <v>50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17</v>
      </c>
      <c r="AC34" s="21" t="n">
        <v>56</v>
      </c>
      <c r="AD34" s="27">
        <f>SUM(AB34:AC34)</f>
        <v/>
      </c>
      <c r="AE34" s="28" t="n">
        <v>93</v>
      </c>
      <c r="AF34" s="28" t="n">
        <v>83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28</v>
      </c>
      <c r="AI34" s="21" t="n">
        <v>27</v>
      </c>
      <c r="AJ34" s="27">
        <f>SUM(AH34:AI34)</f>
        <v/>
      </c>
      <c r="AK34" s="28" t="n">
        <v>77</v>
      </c>
      <c r="AL34" s="28" t="n">
        <v>69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20</v>
      </c>
      <c r="AU34" s="21" t="n">
        <v>30</v>
      </c>
      <c r="AV34" s="27">
        <f>SUM(AT34:AU34)</f>
        <v/>
      </c>
      <c r="AW34" s="28" t="n">
        <v>50</v>
      </c>
      <c r="AX34" s="30" t="n">
        <v>39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24</v>
      </c>
      <c r="BA34" s="21" t="n">
        <v>53</v>
      </c>
      <c r="BB34" s="27">
        <f>SUM(AZ34:BA34)</f>
        <v/>
      </c>
      <c r="BC34" s="28" t="n">
        <v>62</v>
      </c>
      <c r="BD34" s="28" t="n">
        <v>70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14</v>
      </c>
      <c r="BG34" s="21" t="n">
        <v>39</v>
      </c>
      <c r="BH34" s="27">
        <f>SUM(BF34:BG34)</f>
        <v/>
      </c>
      <c r="BI34" s="28" t="n">
        <v>50</v>
      </c>
      <c r="BJ34" s="28" t="n">
        <v>59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15</v>
      </c>
      <c r="BM34" s="21" t="n">
        <v>35</v>
      </c>
      <c r="BN34" s="27">
        <f>SUM(BL34:BM34)</f>
        <v/>
      </c>
      <c r="BO34" s="28" t="n">
        <v>38</v>
      </c>
      <c r="BP34" s="31" t="n">
        <v>77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24</v>
      </c>
      <c r="BY34" s="21" t="n">
        <v>30</v>
      </c>
      <c r="BZ34" s="27">
        <f>SUM(BX34:BY34)</f>
        <v/>
      </c>
      <c r="CA34" s="28" t="n">
        <v>51</v>
      </c>
      <c r="CB34" s="31" t="n">
        <v>41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18</v>
      </c>
      <c r="CE34" s="21" t="n">
        <v>34</v>
      </c>
      <c r="CF34" s="27">
        <f>SUM(CD34:CE34)</f>
        <v/>
      </c>
      <c r="CG34" s="28" t="n">
        <v>57</v>
      </c>
      <c r="CH34" s="31" t="n">
        <v>22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>
        <v>24</v>
      </c>
      <c r="CQ34" s="21" t="n">
        <v>50</v>
      </c>
      <c r="CR34" s="27">
        <f>SUM(CP34:CQ34)</f>
        <v/>
      </c>
      <c r="CS34" s="28" t="n">
        <v>74</v>
      </c>
      <c r="CT34" s="31" t="n">
        <v>65</v>
      </c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/>
      <c r="CW34" s="21" t="n"/>
      <c r="CX34" s="27">
        <f>SUM(CV34:CW34)</f>
        <v/>
      </c>
      <c r="CY34" s="28" t="n"/>
      <c r="CZ34" s="31" t="n"/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GOOD(4)</t>
        </is>
      </c>
      <c r="DK34" s="40" t="inlineStr">
        <is>
          <t>GOOD(4)</t>
        </is>
      </c>
      <c r="DL34" s="40" t="inlineStr">
        <is>
          <t>GOOD(4)</t>
        </is>
      </c>
      <c r="DM34" s="40" t="inlineStr">
        <is>
          <t>GOOD(4)</t>
        </is>
      </c>
      <c r="DN34" s="40" t="inlineStr">
        <is>
          <t>AVERAGE(3)</t>
        </is>
      </c>
      <c r="DO34" s="40" t="inlineStr">
        <is>
          <t>GOOD(4)</t>
        </is>
      </c>
      <c r="DP34" s="40" t="inlineStr">
        <is>
          <t>AVERAGE(3)</t>
        </is>
      </c>
      <c r="DQ34" s="40" t="inlineStr">
        <is>
          <t>AVERAGE(3)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AVERAGE(3)</t>
        </is>
      </c>
      <c r="DU34" s="40" t="inlineStr">
        <is>
          <t>AVERAGE(3)</t>
        </is>
      </c>
      <c r="DV34" s="40" t="inlineStr">
        <is>
          <t>GOOD(4)</t>
        </is>
      </c>
      <c r="DW34" s="40" t="inlineStr">
        <is>
          <t>AVERAGE(3)</t>
        </is>
      </c>
      <c r="DX34" s="40" t="inlineStr">
        <is>
          <t>GOOD(4)</t>
        </is>
      </c>
      <c r="DY34" s="40" t="inlineStr">
        <is>
          <t>AVERAGE(3)</t>
        </is>
      </c>
      <c r="DZ34" s="53" t="inlineStr">
        <is>
          <t>GOOD(4)</t>
        </is>
      </c>
      <c r="EA34" s="54" t="inlineStr">
        <is>
          <t>Needs to focus more during lessons to achieve full potential.</t>
        </is>
      </c>
      <c r="EB34" s="55" t="inlineStr">
        <is>
          <t>Promoted to JSS2</t>
        </is>
      </c>
      <c r="EC34" s="56" t="inlineStr">
        <is>
          <t>Atoyebi Vincent .O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inlineStr">
        <is>
          <t>OYEWUMI KOWIYAT A.</t>
        </is>
      </c>
      <c r="C35" s="20" t="inlineStr">
        <is>
          <t>1972</t>
        </is>
      </c>
      <c r="D35" s="128" t="inlineStr">
        <is>
          <t>Female</t>
        </is>
      </c>
      <c r="E35" s="21" t="inlineStr">
        <is>
          <t>JSS 1A</t>
        </is>
      </c>
      <c r="F35" s="21" t="n">
        <v>38</v>
      </c>
      <c r="G35" s="21" t="n">
        <v>122</v>
      </c>
      <c r="H35" s="22" t="n">
        <v>23</v>
      </c>
      <c r="I35" s="26">
        <f>G35-H35</f>
        <v/>
      </c>
      <c r="J35" s="21" t="n">
        <v>20</v>
      </c>
      <c r="K35" s="21" t="n">
        <v>38</v>
      </c>
      <c r="L35" s="27">
        <f>SUM(J35:K35)</f>
        <v/>
      </c>
      <c r="M35" s="28" t="n">
        <v>48</v>
      </c>
      <c r="N35" s="28" t="n">
        <v>37</v>
      </c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>
        <v>18</v>
      </c>
      <c r="Q35" s="21" t="n">
        <v>34</v>
      </c>
      <c r="R35" s="27">
        <f>SUM(P35:Q35)</f>
        <v/>
      </c>
      <c r="S35" s="28" t="n">
        <v>57</v>
      </c>
      <c r="T35" s="28" t="n">
        <v>22</v>
      </c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>
        <v>17</v>
      </c>
      <c r="W35" s="21" t="n">
        <v>40</v>
      </c>
      <c r="X35" s="27">
        <f>SUM(V35:W35)</f>
        <v/>
      </c>
      <c r="Y35" s="28" t="n">
        <v>58</v>
      </c>
      <c r="Z35" s="28" t="n">
        <v>54</v>
      </c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>
        <v>25</v>
      </c>
      <c r="AC35" s="21" t="n">
        <v>27</v>
      </c>
      <c r="AD35" s="27">
        <f>SUM(AB35:AC35)</f>
        <v/>
      </c>
      <c r="AE35" s="28" t="n">
        <v>58</v>
      </c>
      <c r="AF35" s="28" t="n">
        <v>55</v>
      </c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>
        <v>28</v>
      </c>
      <c r="AI35" s="21" t="n">
        <v>22</v>
      </c>
      <c r="AJ35" s="27">
        <f>SUM(AH35:AI35)</f>
        <v/>
      </c>
      <c r="AK35" s="28" t="n">
        <v>71</v>
      </c>
      <c r="AL35" s="28" t="n">
        <v>44</v>
      </c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>
        <v>20</v>
      </c>
      <c r="AU35" s="21" t="n">
        <v>45</v>
      </c>
      <c r="AV35" s="27">
        <f>SUM(AT35:AU35)</f>
        <v/>
      </c>
      <c r="AW35" s="28" t="n">
        <v>36</v>
      </c>
      <c r="AX35" s="30" t="n">
        <v>24</v>
      </c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>
        <v>23</v>
      </c>
      <c r="BA35" s="21" t="n">
        <v>29</v>
      </c>
      <c r="BB35" s="27">
        <f>SUM(AZ35:BA35)</f>
        <v/>
      </c>
      <c r="BC35" s="28" t="n">
        <v>55</v>
      </c>
      <c r="BD35" s="28" t="n">
        <v>54</v>
      </c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>
        <v>15</v>
      </c>
      <c r="BG35" s="21" t="n">
        <v>33</v>
      </c>
      <c r="BH35" s="27">
        <f>SUM(BF35:BG35)</f>
        <v/>
      </c>
      <c r="BI35" s="28" t="n">
        <v>51</v>
      </c>
      <c r="BJ35" s="28" t="n">
        <v>34</v>
      </c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>
        <v>22</v>
      </c>
      <c r="BM35" s="21" t="n">
        <v>31</v>
      </c>
      <c r="BN35" s="27">
        <f>SUM(BL35:BM35)</f>
        <v/>
      </c>
      <c r="BO35" s="28" t="n">
        <v>40</v>
      </c>
      <c r="BP35" s="31" t="n">
        <v>44</v>
      </c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>
        <v>24</v>
      </c>
      <c r="BY35" s="21" t="n">
        <v>30</v>
      </c>
      <c r="BZ35" s="27">
        <f>SUM(BX35:BY35)</f>
        <v/>
      </c>
      <c r="CA35" s="28" t="n">
        <v>51</v>
      </c>
      <c r="CB35" s="31" t="n">
        <v>41</v>
      </c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>
        <v>18</v>
      </c>
      <c r="CE35" s="21" t="n">
        <v>34</v>
      </c>
      <c r="CF35" s="27">
        <f>SUM(CD35:CE35)</f>
        <v/>
      </c>
      <c r="CG35" s="28" t="n">
        <v>28</v>
      </c>
      <c r="CH35" s="31" t="n">
        <v>19</v>
      </c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>
        <v>12</v>
      </c>
      <c r="CQ35" s="21" t="n">
        <v>30</v>
      </c>
      <c r="CR35" s="27">
        <f>SUM(CP35:CQ35)</f>
        <v/>
      </c>
      <c r="CS35" s="28" t="n">
        <v>42</v>
      </c>
      <c r="CT35" s="31" t="n">
        <v>39</v>
      </c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AVERAGE(3)</t>
        </is>
      </c>
      <c r="DK35" s="40" t="inlineStr">
        <is>
          <t>GOOD(4)</t>
        </is>
      </c>
      <c r="DL35" s="40" t="inlineStr">
        <is>
          <t>AVERAGE(3)</t>
        </is>
      </c>
      <c r="DM35" s="40" t="inlineStr">
        <is>
          <t>AVERAGE(3)</t>
        </is>
      </c>
      <c r="DN35" s="40" t="inlineStr">
        <is>
          <t>GOOD(4)</t>
        </is>
      </c>
      <c r="DO35" s="40" t="inlineStr">
        <is>
          <t>AVERAGE(3)</t>
        </is>
      </c>
      <c r="DP35" s="40" t="inlineStr">
        <is>
          <t>AVERAGE(3)</t>
        </is>
      </c>
      <c r="DQ35" s="40" t="inlineStr">
        <is>
          <t>GOOD(4)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GOOD(4)</t>
        </is>
      </c>
      <c r="DU35" s="40" t="inlineStr">
        <is>
          <t>GOOD(4)</t>
        </is>
      </c>
      <c r="DV35" s="40" t="inlineStr">
        <is>
          <t>GOOD(4)</t>
        </is>
      </c>
      <c r="DW35" s="40" t="inlineStr">
        <is>
          <t>AVERAGE(3)</t>
        </is>
      </c>
      <c r="DX35" s="40" t="inlineStr">
        <is>
          <t>AVERAGE(3)</t>
        </is>
      </c>
      <c r="DY35" s="40" t="inlineStr">
        <is>
          <t>AVERAGE(3)</t>
        </is>
      </c>
      <c r="DZ35" s="53" t="inlineStr">
        <is>
          <t>AVERAGE(3)</t>
        </is>
      </c>
      <c r="EA35" s="54" t="inlineStr">
        <is>
          <t>Needs reminders to stay on task and avoid distractions.</t>
        </is>
      </c>
      <c r="EB35" s="55" t="inlineStr">
        <is>
          <t>To repeat JSS1</t>
        </is>
      </c>
      <c r="EC35" s="56" t="inlineStr">
        <is>
          <t>Atoyebi Vincent .O</t>
        </is>
      </c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inlineStr">
        <is>
          <t xml:space="preserve">PERU FATIMAH </t>
        </is>
      </c>
      <c r="C36" s="20" t="inlineStr">
        <is>
          <t>1818</t>
        </is>
      </c>
      <c r="D36" s="128" t="inlineStr">
        <is>
          <t>Female</t>
        </is>
      </c>
      <c r="E36" s="21" t="inlineStr">
        <is>
          <t>JSS 1A</t>
        </is>
      </c>
      <c r="F36" s="21" t="n">
        <v>38</v>
      </c>
      <c r="G36" s="21" t="n">
        <v>122</v>
      </c>
      <c r="H36" s="22" t="n">
        <v>58</v>
      </c>
      <c r="I36" s="26">
        <f>G36-H36</f>
        <v/>
      </c>
      <c r="J36" s="21" t="n">
        <v>12</v>
      </c>
      <c r="K36" s="21" t="n">
        <v>12</v>
      </c>
      <c r="L36" s="27">
        <f>SUM(J36:K36)</f>
        <v/>
      </c>
      <c r="M36" s="28" t="n">
        <v>25</v>
      </c>
      <c r="N36" s="28" t="n">
        <v>10</v>
      </c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>
        <v>16</v>
      </c>
      <c r="Q36" s="21" t="n">
        <v>10</v>
      </c>
      <c r="R36" s="27">
        <f>SUM(P36:Q36)</f>
        <v/>
      </c>
      <c r="S36" s="28" t="n">
        <v>23</v>
      </c>
      <c r="T36" s="28" t="n">
        <v>23</v>
      </c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>
        <v>13</v>
      </c>
      <c r="W36" s="21" t="n">
        <v>34</v>
      </c>
      <c r="X36" s="27">
        <f>SUM(V36:W36)</f>
        <v/>
      </c>
      <c r="Y36" s="28" t="n">
        <v>31</v>
      </c>
      <c r="Z36" s="28" t="n">
        <v>32</v>
      </c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>
        <v>13</v>
      </c>
      <c r="AC36" s="21" t="n">
        <v>25</v>
      </c>
      <c r="AD36" s="27">
        <f>SUM(AB36:AC36)</f>
        <v/>
      </c>
      <c r="AE36" s="28" t="n">
        <v>40</v>
      </c>
      <c r="AF36" s="28" t="n">
        <v>39</v>
      </c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>
        <v>10</v>
      </c>
      <c r="AI36" s="21" t="n">
        <v>29</v>
      </c>
      <c r="AJ36" s="27">
        <f>SUM(AH36:AI36)</f>
        <v/>
      </c>
      <c r="AK36" s="28" t="n">
        <v>0</v>
      </c>
      <c r="AL36" s="28" t="n">
        <v>15</v>
      </c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>
        <v>16</v>
      </c>
      <c r="AU36" s="21" t="n">
        <v>23</v>
      </c>
      <c r="AV36" s="27">
        <f>SUM(AT36:AU36)</f>
        <v/>
      </c>
      <c r="AW36" s="28" t="n">
        <v>39</v>
      </c>
      <c r="AX36" s="30" t="n">
        <v>39</v>
      </c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>
        <v>10</v>
      </c>
      <c r="BA36" s="21" t="n">
        <v>28</v>
      </c>
      <c r="BB36" s="27">
        <f>SUM(AZ36:BA36)</f>
        <v/>
      </c>
      <c r="BC36" s="28" t="n">
        <v>38</v>
      </c>
      <c r="BD36" s="28" t="n">
        <v>38</v>
      </c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>
        <v>10</v>
      </c>
      <c r="BG36" s="21" t="n">
        <v>21</v>
      </c>
      <c r="BH36" s="27">
        <f>SUM(BF36:BG36)</f>
        <v/>
      </c>
      <c r="BI36" s="28" t="n">
        <v>12</v>
      </c>
      <c r="BJ36" s="28" t="n">
        <v>20</v>
      </c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>
        <v>15</v>
      </c>
      <c r="BM36" s="21" t="n">
        <v>20</v>
      </c>
      <c r="BN36" s="27">
        <f>SUM(BL36:BM36)</f>
        <v/>
      </c>
      <c r="BO36" s="28" t="n">
        <v>41</v>
      </c>
      <c r="BP36" s="31" t="n">
        <v>30</v>
      </c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>
        <v>24</v>
      </c>
      <c r="BY36" s="21" t="n">
        <v>30</v>
      </c>
      <c r="BZ36" s="27">
        <f>SUM(BX36:BY36)</f>
        <v/>
      </c>
      <c r="CA36" s="28" t="n">
        <v>51</v>
      </c>
      <c r="CB36" s="31" t="n">
        <v>41</v>
      </c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>
        <v>12</v>
      </c>
      <c r="CE36" s="21" t="n">
        <v>12</v>
      </c>
      <c r="CF36" s="27">
        <f>SUM(CD36:CE36)</f>
        <v/>
      </c>
      <c r="CG36" s="28" t="n">
        <v>11</v>
      </c>
      <c r="CH36" s="31" t="n">
        <v>11</v>
      </c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>
        <v>12</v>
      </c>
      <c r="CQ36" s="21" t="n">
        <v>13</v>
      </c>
      <c r="CR36" s="27">
        <f>SUM(CP36:CQ36)</f>
        <v/>
      </c>
      <c r="CS36" s="28" t="n">
        <v>11</v>
      </c>
      <c r="CT36" s="31" t="n">
        <v>12</v>
      </c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AVERAGE(3)</t>
        </is>
      </c>
      <c r="DK36" s="40" t="inlineStr">
        <is>
          <t>GOOD(4)</t>
        </is>
      </c>
      <c r="DL36" s="40" t="inlineStr">
        <is>
          <t>GOOD(4)</t>
        </is>
      </c>
      <c r="DM36" s="40" t="inlineStr">
        <is>
          <t>GOOD(4)</t>
        </is>
      </c>
      <c r="DN36" s="40" t="inlineStr">
        <is>
          <t>AVERAGE(3)</t>
        </is>
      </c>
      <c r="DO36" s="40" t="inlineStr">
        <is>
          <t>AVERAGE(3)</t>
        </is>
      </c>
      <c r="DP36" s="40" t="inlineStr">
        <is>
          <t>GOOD(4)</t>
        </is>
      </c>
      <c r="DQ36" s="40" t="inlineStr">
        <is>
          <t>GOOD(4)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AVERAGE(3)</t>
        </is>
      </c>
      <c r="DU36" s="40" t="inlineStr">
        <is>
          <t>AVERAGE(3)</t>
        </is>
      </c>
      <c r="DV36" s="40" t="inlineStr">
        <is>
          <t xml:space="preserve"> GOOD(4)</t>
        </is>
      </c>
      <c r="DW36" s="40" t="inlineStr">
        <is>
          <t>GOOD(4)</t>
        </is>
      </c>
      <c r="DX36" s="40" t="inlineStr">
        <is>
          <t>AVERAGE(3)</t>
        </is>
      </c>
      <c r="DY36" s="40" t="inlineStr">
        <is>
          <t>AVERAGE(3)</t>
        </is>
      </c>
      <c r="DZ36" s="53" t="inlineStr">
        <is>
          <t>GOOD(4)</t>
        </is>
      </c>
      <c r="EA36" s="54" t="inlineStr">
        <is>
          <t>Needs to focus more during lessons to achieve full potential.</t>
        </is>
      </c>
      <c r="EB36" s="55" t="inlineStr">
        <is>
          <t>Promoted to JSS2</t>
        </is>
      </c>
      <c r="EC36" s="56" t="inlineStr">
        <is>
          <t>Atoyebi Vincent .O</t>
        </is>
      </c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inlineStr">
        <is>
          <t>RASAQ QUYYUM A.</t>
        </is>
      </c>
      <c r="C37" s="20" t="inlineStr">
        <is>
          <t>1976</t>
        </is>
      </c>
      <c r="D37" s="128" t="inlineStr">
        <is>
          <t>Male</t>
        </is>
      </c>
      <c r="E37" s="21" t="inlineStr">
        <is>
          <t>JSS 1A</t>
        </is>
      </c>
      <c r="F37" s="21" t="n">
        <v>38</v>
      </c>
      <c r="G37" s="21" t="n">
        <v>122</v>
      </c>
      <c r="H37" s="22" t="n">
        <v>33</v>
      </c>
      <c r="I37" s="26">
        <f>G37-H37</f>
        <v/>
      </c>
      <c r="J37" s="21" t="n">
        <v>25</v>
      </c>
      <c r="K37" s="21" t="n">
        <v>28</v>
      </c>
      <c r="L37" s="27">
        <f>SUM(J37:K37)</f>
        <v/>
      </c>
      <c r="M37" s="28" t="n">
        <v>45</v>
      </c>
      <c r="N37" s="28" t="n">
        <v>49</v>
      </c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>
        <v>16</v>
      </c>
      <c r="Q37" s="21" t="n">
        <v>34</v>
      </c>
      <c r="R37" s="27">
        <f>SUM(P37:Q37)</f>
        <v/>
      </c>
      <c r="S37" s="28" t="n">
        <v>50</v>
      </c>
      <c r="T37" s="28" t="n">
        <v>45</v>
      </c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>
        <v>14</v>
      </c>
      <c r="W37" s="21" t="n">
        <v>36</v>
      </c>
      <c r="X37" s="27">
        <f>SUM(V37:W37)</f>
        <v/>
      </c>
      <c r="Y37" s="28" t="n">
        <v>60</v>
      </c>
      <c r="Z37" s="28" t="n">
        <v>50</v>
      </c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>
        <v>15</v>
      </c>
      <c r="AC37" s="21" t="n">
        <v>40</v>
      </c>
      <c r="AD37" s="27">
        <f>SUM(AB37:AC37)</f>
        <v/>
      </c>
      <c r="AE37" s="28" t="n">
        <v>25</v>
      </c>
      <c r="AF37" s="28" t="n">
        <v>20</v>
      </c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>
        <v>25</v>
      </c>
      <c r="AI37" s="21" t="n">
        <v>27</v>
      </c>
      <c r="AJ37" s="27">
        <f>SUM(AH37:AI37)</f>
        <v/>
      </c>
      <c r="AK37" s="28" t="n">
        <v>60</v>
      </c>
      <c r="AL37" s="28" t="n">
        <v>33</v>
      </c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>
        <v>16</v>
      </c>
      <c r="AU37" s="21" t="n">
        <v>35</v>
      </c>
      <c r="AV37" s="27">
        <f>SUM(AT37:AU37)</f>
        <v/>
      </c>
      <c r="AW37" s="28" t="n">
        <v>31</v>
      </c>
      <c r="AX37" s="30" t="n">
        <v>18</v>
      </c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>
        <v>22</v>
      </c>
      <c r="BA37" s="21" t="n">
        <v>51</v>
      </c>
      <c r="BB37" s="27">
        <f>SUM(AZ37:BA37)</f>
        <v/>
      </c>
      <c r="BC37" s="28" t="n">
        <v>46</v>
      </c>
      <c r="BD37" s="28" t="n">
        <v>40</v>
      </c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>
        <v>14</v>
      </c>
      <c r="BG37" s="21" t="n">
        <v>32</v>
      </c>
      <c r="BH37" s="27">
        <f>SUM(BF37:BG37)</f>
        <v/>
      </c>
      <c r="BI37" s="28" t="n">
        <v>46</v>
      </c>
      <c r="BJ37" s="28" t="n">
        <v>35</v>
      </c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>
        <v>19</v>
      </c>
      <c r="BM37" s="21" t="n">
        <v>31</v>
      </c>
      <c r="BN37" s="27">
        <f>SUM(BL37:BM37)</f>
        <v/>
      </c>
      <c r="BO37" s="28" t="n">
        <v>29</v>
      </c>
      <c r="BP37" s="31" t="n">
        <v>61</v>
      </c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>
        <v>24</v>
      </c>
      <c r="BY37" s="21" t="n">
        <v>30</v>
      </c>
      <c r="BZ37" s="27">
        <f>SUM(BX37:BY37)</f>
        <v/>
      </c>
      <c r="CA37" s="28" t="n">
        <v>51</v>
      </c>
      <c r="CB37" s="31" t="n">
        <v>41</v>
      </c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>
        <v>15</v>
      </c>
      <c r="CE37" s="21" t="n">
        <v>40</v>
      </c>
      <c r="CF37" s="27">
        <f>SUM(CD37:CE37)</f>
        <v/>
      </c>
      <c r="CG37" s="28" t="n">
        <v>25</v>
      </c>
      <c r="CH37" s="31" t="n">
        <v>20</v>
      </c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>
        <v>10</v>
      </c>
      <c r="CQ37" s="21" t="n">
        <v>18</v>
      </c>
      <c r="CR37" s="27">
        <f>SUM(CP37:CQ37)</f>
        <v/>
      </c>
      <c r="CS37" s="28" t="n">
        <v>36</v>
      </c>
      <c r="CT37" s="31" t="n">
        <v>31</v>
      </c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GOOD(4)</t>
        </is>
      </c>
      <c r="DK37" s="40" t="inlineStr">
        <is>
          <t>GOOD(4)</t>
        </is>
      </c>
      <c r="DL37" s="40" t="inlineStr">
        <is>
          <t>GOOD(4)</t>
        </is>
      </c>
      <c r="DM37" s="40" t="inlineStr">
        <is>
          <t>AVERAGE(3)</t>
        </is>
      </c>
      <c r="DN37" s="40" t="inlineStr">
        <is>
          <t>GOOD(4)</t>
        </is>
      </c>
      <c r="DO37" s="40" t="inlineStr">
        <is>
          <t>GOOD(4)</t>
        </is>
      </c>
      <c r="DP37" s="40" t="inlineStr">
        <is>
          <t>GOOD(4)</t>
        </is>
      </c>
      <c r="DQ37" s="40" t="inlineStr">
        <is>
          <t>GOOD(4)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GOOD(4)</t>
        </is>
      </c>
      <c r="DU37" s="40" t="inlineStr">
        <is>
          <t>GOOD(4)</t>
        </is>
      </c>
      <c r="DV37" s="40" t="inlineStr">
        <is>
          <t>GOOD(4)</t>
        </is>
      </c>
      <c r="DW37" s="40" t="inlineStr">
        <is>
          <t>AVERAGE(3)</t>
        </is>
      </c>
      <c r="DX37" s="40" t="inlineStr">
        <is>
          <t>GOOD(4)</t>
        </is>
      </c>
      <c r="DY37" s="40" t="inlineStr">
        <is>
          <t>AVERAGE(3)</t>
        </is>
      </c>
      <c r="DZ37" s="53" t="inlineStr">
        <is>
          <t>GOOD(4)</t>
        </is>
      </c>
      <c r="EA37" s="54" t="inlineStr">
        <is>
          <t>Needs to focus more during lessons to achieve full potential.</t>
        </is>
      </c>
      <c r="EB37" s="55" t="inlineStr">
        <is>
          <t>To repeat JSS1</t>
        </is>
      </c>
      <c r="EC37" s="56" t="inlineStr">
        <is>
          <t>Atoyebi Vincent .O</t>
        </is>
      </c>
      <c r="ED37" s="57" t="inlineStr">
        <is>
          <t>Next Term Begins on Monday, 15th September, 2025</t>
        </is>
      </c>
    </row>
    <row r="38" ht="30.6" customHeight="1" s="6">
      <c r="A38" s="18" t="n">
        <v>35</v>
      </c>
      <c r="B38" s="19" t="inlineStr">
        <is>
          <t xml:space="preserve">SAKA AISHAT </t>
        </is>
      </c>
      <c r="C38" s="20" t="inlineStr">
        <is>
          <t>2047</t>
        </is>
      </c>
      <c r="D38" s="128" t="inlineStr">
        <is>
          <t>Female</t>
        </is>
      </c>
      <c r="E38" s="21" t="inlineStr">
        <is>
          <t>JSS 1A</t>
        </is>
      </c>
      <c r="F38" s="21" t="n">
        <v>38</v>
      </c>
      <c r="G38" s="21" t="n">
        <v>122</v>
      </c>
      <c r="H38" s="22" t="n">
        <v>94</v>
      </c>
      <c r="I38" s="26">
        <f>G38-H38</f>
        <v/>
      </c>
      <c r="J38" s="21" t="n">
        <v>15</v>
      </c>
      <c r="K38" s="21" t="n">
        <v>12</v>
      </c>
      <c r="L38" s="27">
        <f>SUM(J38:K38)</f>
        <v/>
      </c>
      <c r="M38" s="28" t="n">
        <v>19</v>
      </c>
      <c r="N38" s="28" t="n">
        <v>15</v>
      </c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>
        <v>15</v>
      </c>
      <c r="Q38" s="21" t="n">
        <v>12</v>
      </c>
      <c r="R38" s="27">
        <f>SUM(P38:Q38)</f>
        <v/>
      </c>
      <c r="S38" s="28" t="n">
        <v>19</v>
      </c>
      <c r="T38" s="28" t="n">
        <v>15</v>
      </c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>
        <v>10</v>
      </c>
      <c r="W38" s="21" t="n">
        <v>15</v>
      </c>
      <c r="X38" s="27">
        <f>SUM(V38:W38)</f>
        <v/>
      </c>
      <c r="Y38" s="28" t="n">
        <v>20</v>
      </c>
      <c r="Z38" s="28" t="n">
        <v>10</v>
      </c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>
        <v>8</v>
      </c>
      <c r="AC38" s="21" t="n">
        <v>13</v>
      </c>
      <c r="AD38" s="27">
        <f>SUM(AB38:AC38)</f>
        <v/>
      </c>
      <c r="AE38" s="28" t="n">
        <v>21</v>
      </c>
      <c r="AF38" s="28" t="n">
        <v>21</v>
      </c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>
        <v>10</v>
      </c>
      <c r="AI38" s="21" t="n">
        <v>19</v>
      </c>
      <c r="AJ38" s="27">
        <f>SUM(AH38:AI38)</f>
        <v/>
      </c>
      <c r="AK38" s="28" t="n">
        <v>29</v>
      </c>
      <c r="AL38" s="28" t="n">
        <v>29</v>
      </c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>
        <v>13</v>
      </c>
      <c r="AU38" s="21" t="n">
        <v>26</v>
      </c>
      <c r="AV38" s="27">
        <f>SUM(AT38:AU38)</f>
        <v/>
      </c>
      <c r="AW38" s="28" t="n">
        <v>39</v>
      </c>
      <c r="AX38" s="30" t="n">
        <v>39</v>
      </c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>
        <v>9</v>
      </c>
      <c r="BA38" s="21" t="n">
        <v>30</v>
      </c>
      <c r="BB38" s="27">
        <f>SUM(AZ38:BA38)</f>
        <v/>
      </c>
      <c r="BC38" s="28" t="n">
        <v>39</v>
      </c>
      <c r="BD38" s="28" t="n">
        <v>39</v>
      </c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>
        <v>5</v>
      </c>
      <c r="BG38" s="21" t="n">
        <v>10</v>
      </c>
      <c r="BH38" s="27">
        <f>SUM(BF38:BG38)</f>
        <v/>
      </c>
      <c r="BI38" s="28" t="n">
        <v>15</v>
      </c>
      <c r="BJ38" s="28" t="n">
        <v>15</v>
      </c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>
        <v>15</v>
      </c>
      <c r="BM38" s="21" t="n">
        <v>30</v>
      </c>
      <c r="BN38" s="27">
        <f>SUM(BL38:BM38)</f>
        <v/>
      </c>
      <c r="BO38" s="28" t="n">
        <v>36</v>
      </c>
      <c r="BP38" s="31" t="n">
        <v>25</v>
      </c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>
        <v>24</v>
      </c>
      <c r="BY38" s="21" t="n">
        <v>30</v>
      </c>
      <c r="BZ38" s="27">
        <f>SUM(BX38:BY38)</f>
        <v/>
      </c>
      <c r="CA38" s="28" t="n">
        <v>51</v>
      </c>
      <c r="CB38" s="31" t="n">
        <v>41</v>
      </c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>
        <v>15</v>
      </c>
      <c r="CE38" s="21" t="n">
        <v>12</v>
      </c>
      <c r="CF38" s="27">
        <f>SUM(CD38:CE38)</f>
        <v/>
      </c>
      <c r="CG38" s="28" t="n">
        <v>13</v>
      </c>
      <c r="CH38" s="31" t="n">
        <v>11</v>
      </c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>
        <v>10</v>
      </c>
      <c r="CQ38" s="21" t="n">
        <v>11</v>
      </c>
      <c r="CR38" s="27">
        <f>SUM(CP38:CQ38)</f>
        <v/>
      </c>
      <c r="CS38" s="28" t="n">
        <v>13</v>
      </c>
      <c r="CT38" s="31" t="n">
        <v>12</v>
      </c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>
        <v>24</v>
      </c>
      <c r="CW38" s="21" t="n">
        <v>30</v>
      </c>
      <c r="CX38" s="27">
        <f>SUM(CV38:CW38)</f>
        <v/>
      </c>
      <c r="CY38" s="28" t="n">
        <v>64</v>
      </c>
      <c r="CZ38" s="31" t="n">
        <v>59</v>
      </c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GOOD(4)</t>
        </is>
      </c>
      <c r="DK38" s="40" t="inlineStr">
        <is>
          <t>AVERAGE(3)</t>
        </is>
      </c>
      <c r="DL38" s="40" t="inlineStr">
        <is>
          <t>GOOD(4)</t>
        </is>
      </c>
      <c r="DM38" s="40" t="inlineStr">
        <is>
          <t>AVERAGE(3)</t>
        </is>
      </c>
      <c r="DN38" s="40" t="inlineStr">
        <is>
          <t>GOOD(4)</t>
        </is>
      </c>
      <c r="DO38" s="40" t="inlineStr">
        <is>
          <t>GOOD(4)</t>
        </is>
      </c>
      <c r="DP38" s="40" t="inlineStr">
        <is>
          <t>GOOD(4)</t>
        </is>
      </c>
      <c r="DQ38" s="40" t="inlineStr">
        <is>
          <t>GOOD(4)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GOOD(4)</t>
        </is>
      </c>
      <c r="DU38" s="40" t="inlineStr">
        <is>
          <t>GOOD(4)</t>
        </is>
      </c>
      <c r="DV38" s="40" t="inlineStr">
        <is>
          <t>GOOD(4)</t>
        </is>
      </c>
      <c r="DW38" s="40" t="inlineStr">
        <is>
          <t>AVERAGE(3)</t>
        </is>
      </c>
      <c r="DX38" s="40" t="inlineStr">
        <is>
          <t>GOOD(4)</t>
        </is>
      </c>
      <c r="DY38" s="40" t="inlineStr">
        <is>
          <t>GOOD(4)</t>
        </is>
      </c>
      <c r="DZ38" s="53" t="inlineStr">
        <is>
          <t>GOOD(4)</t>
        </is>
      </c>
      <c r="EA38" s="54" t="inlineStr">
        <is>
          <t>Completes assignments on time and with care.</t>
        </is>
      </c>
      <c r="EB38" s="55" t="inlineStr">
        <is>
          <t>Promoted to JSS2</t>
        </is>
      </c>
      <c r="EC38" s="56" t="inlineStr">
        <is>
          <t>Atoyebi Vincent .O</t>
        </is>
      </c>
      <c r="ED38" s="57" t="inlineStr">
        <is>
          <t>Next Term Begins on Monday, 15th September, 2025</t>
        </is>
      </c>
    </row>
    <row r="39" ht="30.6" customHeight="1" s="6">
      <c r="A39" s="18" t="n">
        <v>36</v>
      </c>
      <c r="B39" s="19" t="inlineStr">
        <is>
          <t>SIKIRU SOFIAT AJOKE</t>
        </is>
      </c>
      <c r="C39" s="20" t="inlineStr">
        <is>
          <t>1978</t>
        </is>
      </c>
      <c r="D39" s="128" t="inlineStr">
        <is>
          <t>Female</t>
        </is>
      </c>
      <c r="E39" s="21" t="inlineStr">
        <is>
          <t>JSS 1A</t>
        </is>
      </c>
      <c r="F39" s="21" t="n">
        <v>38</v>
      </c>
      <c r="G39" s="21" t="n">
        <v>122</v>
      </c>
      <c r="H39" s="22" t="n">
        <v>118</v>
      </c>
      <c r="I39" s="26">
        <f>G39-H39</f>
        <v/>
      </c>
      <c r="J39" s="21" t="n">
        <v>26</v>
      </c>
      <c r="K39" s="21" t="n">
        <v>16</v>
      </c>
      <c r="L39" s="27">
        <f>SUM(J39:K39)</f>
        <v/>
      </c>
      <c r="M39" s="28" t="n">
        <v>58</v>
      </c>
      <c r="N39" s="28" t="n">
        <v>31</v>
      </c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>
        <v>21</v>
      </c>
      <c r="Q39" s="21" t="n">
        <v>30</v>
      </c>
      <c r="R39" s="27">
        <f>SUM(P39:Q39)</f>
        <v/>
      </c>
      <c r="S39" s="28" t="n">
        <v>47</v>
      </c>
      <c r="T39" s="28" t="n">
        <v>49</v>
      </c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>
        <v>20</v>
      </c>
      <c r="W39" s="21" t="n">
        <v>30</v>
      </c>
      <c r="X39" s="27">
        <f>SUM(V39:W39)</f>
        <v/>
      </c>
      <c r="Y39" s="28" t="n">
        <v>84</v>
      </c>
      <c r="Z39" s="28" t="n">
        <v>50</v>
      </c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>
        <v>19</v>
      </c>
      <c r="AC39" s="21" t="n">
        <v>35</v>
      </c>
      <c r="AD39" s="27">
        <f>SUM(AB39:AC39)</f>
        <v/>
      </c>
      <c r="AE39" s="28" t="n">
        <v>90</v>
      </c>
      <c r="AF39" s="28" t="n">
        <v>72</v>
      </c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>
        <v>24</v>
      </c>
      <c r="AI39" s="21" t="n">
        <v>26</v>
      </c>
      <c r="AJ39" s="27">
        <f>SUM(AH39:AI39)</f>
        <v/>
      </c>
      <c r="AK39" s="28" t="n">
        <v>82</v>
      </c>
      <c r="AL39" s="28" t="n">
        <v>25</v>
      </c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>
        <v>12</v>
      </c>
      <c r="AU39" s="21" t="n">
        <v>40</v>
      </c>
      <c r="AV39" s="27">
        <f>SUM(AT39:AU39)</f>
        <v/>
      </c>
      <c r="AW39" s="28" t="n">
        <v>54</v>
      </c>
      <c r="AX39" s="30" t="n">
        <v>32</v>
      </c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>
        <v>23</v>
      </c>
      <c r="BA39" s="21" t="n">
        <v>28</v>
      </c>
      <c r="BB39" s="27">
        <f>SUM(AZ39:BA39)</f>
        <v/>
      </c>
      <c r="BC39" s="28" t="n">
        <v>69</v>
      </c>
      <c r="BD39" s="28" t="n">
        <v>55</v>
      </c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>
        <v>16</v>
      </c>
      <c r="BG39" s="21" t="n">
        <v>34</v>
      </c>
      <c r="BH39" s="27">
        <f>SUM(BF39:BG39)</f>
        <v/>
      </c>
      <c r="BI39" s="28" t="n">
        <v>49</v>
      </c>
      <c r="BJ39" s="28" t="n">
        <v>48</v>
      </c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>
        <v>13</v>
      </c>
      <c r="BM39" s="21" t="n">
        <v>38</v>
      </c>
      <c r="BN39" s="27">
        <f>SUM(BL39:BM39)</f>
        <v/>
      </c>
      <c r="BO39" s="28" t="n">
        <v>48</v>
      </c>
      <c r="BP39" s="31" t="n">
        <v>48</v>
      </c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>
        <v>24</v>
      </c>
      <c r="BY39" s="21" t="n">
        <v>30</v>
      </c>
      <c r="BZ39" s="27">
        <f>SUM(BX39:BY39)</f>
        <v/>
      </c>
      <c r="CA39" s="28" t="n">
        <v>51</v>
      </c>
      <c r="CB39" s="31" t="n">
        <v>41</v>
      </c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>
        <v>20</v>
      </c>
      <c r="CE39" s="21" t="n">
        <v>30</v>
      </c>
      <c r="CF39" s="27">
        <f>SUM(CD39:CE39)</f>
        <v/>
      </c>
      <c r="CG39" s="28" t="n">
        <v>58</v>
      </c>
      <c r="CH39" s="31" t="n">
        <v>13</v>
      </c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/>
      <c r="CQ39" s="21" t="n"/>
      <c r="CR39" s="27">
        <f>SUM(CP39:CQ39)</f>
        <v/>
      </c>
      <c r="CS39" s="28" t="n"/>
      <c r="CT39" s="31" t="n"/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>
        <v>24</v>
      </c>
      <c r="CW39" s="21" t="n">
        <v>30</v>
      </c>
      <c r="CX39" s="27">
        <f>SUM(CV39:CW39)</f>
        <v/>
      </c>
      <c r="CY39" s="28" t="n">
        <v>64</v>
      </c>
      <c r="CZ39" s="31" t="n">
        <v>59</v>
      </c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GOOD(4)</t>
        </is>
      </c>
      <c r="DK39" s="40" t="inlineStr">
        <is>
          <t>AVERAGE(3)</t>
        </is>
      </c>
      <c r="DL39" s="40" t="inlineStr">
        <is>
          <t>GOOD(4)</t>
        </is>
      </c>
      <c r="DM39" s="40" t="inlineStr">
        <is>
          <t>GOOD(4)</t>
        </is>
      </c>
      <c r="DN39" s="40" t="inlineStr">
        <is>
          <t>AVERAGE(3)</t>
        </is>
      </c>
      <c r="DO39" s="40" t="inlineStr">
        <is>
          <t>GOOD(4)</t>
        </is>
      </c>
      <c r="DP39" s="40" t="inlineStr">
        <is>
          <t>AVERAGE(3)</t>
        </is>
      </c>
      <c r="DQ39" s="40" t="inlineStr">
        <is>
          <t>AVERAGE(3)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AVERAGE(3)</t>
        </is>
      </c>
      <c r="DU39" s="40" t="inlineStr">
        <is>
          <t>AVERAGE(3)</t>
        </is>
      </c>
      <c r="DV39" s="40" t="inlineStr">
        <is>
          <t>AVERAGE(3)</t>
        </is>
      </c>
      <c r="DW39" s="40" t="inlineStr">
        <is>
          <t>AVERAGE(3)</t>
        </is>
      </c>
      <c r="DX39" s="40" t="inlineStr">
        <is>
          <t>AVERAGE(3)</t>
        </is>
      </c>
      <c r="DY39" s="40" t="inlineStr">
        <is>
          <t>GOOD(4)</t>
        </is>
      </c>
      <c r="DZ39" s="53" t="inlineStr">
        <is>
          <t>AVERAGE(3)</t>
        </is>
      </c>
      <c r="EA39" s="54" t="inlineStr">
        <is>
          <t>Needs to focus more during lessons to achieve full potential.</t>
        </is>
      </c>
      <c r="EB39" s="55" t="inlineStr">
        <is>
          <t>Promoted to JSS2</t>
        </is>
      </c>
      <c r="EC39" s="56" t="inlineStr">
        <is>
          <t>Atoyebi Vincent .O</t>
        </is>
      </c>
      <c r="ED39" s="57" t="inlineStr">
        <is>
          <t>Next Term Begins on Monday, 15th September, 2025</t>
        </is>
      </c>
    </row>
    <row r="40" ht="30.6" customHeight="1" s="6">
      <c r="A40" s="18" t="n">
        <v>37</v>
      </c>
      <c r="B40" s="19" t="inlineStr">
        <is>
          <t xml:space="preserve">TAIWO JANET </t>
        </is>
      </c>
      <c r="C40" s="20" t="inlineStr">
        <is>
          <t>1982</t>
        </is>
      </c>
      <c r="D40" s="128" t="inlineStr">
        <is>
          <t>Female</t>
        </is>
      </c>
      <c r="E40" s="21" t="inlineStr">
        <is>
          <t>JSS 1A</t>
        </is>
      </c>
      <c r="F40" s="21" t="n">
        <v>38</v>
      </c>
      <c r="G40" s="21" t="n">
        <v>122</v>
      </c>
      <c r="H40" s="22" t="n">
        <v>23</v>
      </c>
      <c r="I40" s="26">
        <f>G40-H40</f>
        <v/>
      </c>
      <c r="J40" s="21" t="n">
        <v>24</v>
      </c>
      <c r="K40" s="21" t="n">
        <v>32</v>
      </c>
      <c r="L40" s="27">
        <f>SUM(J40:K40)</f>
        <v/>
      </c>
      <c r="M40" s="28" t="n">
        <v>69</v>
      </c>
      <c r="N40" s="28" t="n">
        <v>62</v>
      </c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>
        <v>24</v>
      </c>
      <c r="Q40" s="21" t="n">
        <v>48</v>
      </c>
      <c r="R40" s="27">
        <f>SUM(P40:Q40)</f>
        <v/>
      </c>
      <c r="S40" s="28" t="n">
        <v>75</v>
      </c>
      <c r="T40" s="28" t="n">
        <v>74</v>
      </c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>
        <v>29</v>
      </c>
      <c r="W40" s="21" t="n">
        <v>50</v>
      </c>
      <c r="X40" s="27">
        <f>SUM(V40:W40)</f>
        <v/>
      </c>
      <c r="Y40" s="28" t="n">
        <v>82</v>
      </c>
      <c r="Z40" s="28" t="n">
        <v>50</v>
      </c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>
        <v>26</v>
      </c>
      <c r="AC40" s="21" t="n">
        <v>54</v>
      </c>
      <c r="AD40" s="27">
        <f>SUM(AB40:AC40)</f>
        <v/>
      </c>
      <c r="AE40" s="28" t="n">
        <v>81</v>
      </c>
      <c r="AF40" s="28" t="n">
        <v>80</v>
      </c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>
        <v>27</v>
      </c>
      <c r="AI40" s="21" t="n">
        <v>37</v>
      </c>
      <c r="AJ40" s="27">
        <f>SUM(AH40:AI40)</f>
        <v/>
      </c>
      <c r="AK40" s="28" t="n">
        <v>66</v>
      </c>
      <c r="AL40" s="28" t="n">
        <v>81</v>
      </c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>
        <v>24</v>
      </c>
      <c r="AU40" s="21" t="n">
        <v>32</v>
      </c>
      <c r="AV40" s="27">
        <f>SUM(AT40:AU40)</f>
        <v/>
      </c>
      <c r="AW40" s="28" t="n">
        <v>52</v>
      </c>
      <c r="AX40" s="30" t="n">
        <v>57</v>
      </c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>
        <v>23</v>
      </c>
      <c r="BA40" s="21" t="n">
        <v>34</v>
      </c>
      <c r="BB40" s="27">
        <f>SUM(AZ40:BA40)</f>
        <v/>
      </c>
      <c r="BC40" s="28" t="n">
        <v>68</v>
      </c>
      <c r="BD40" s="28" t="n">
        <v>60</v>
      </c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>
        <v>16</v>
      </c>
      <c r="BG40" s="21" t="n">
        <v>50</v>
      </c>
      <c r="BH40" s="27">
        <f>SUM(BF40:BG40)</f>
        <v/>
      </c>
      <c r="BI40" s="28" t="n">
        <v>51</v>
      </c>
      <c r="BJ40" s="28" t="n">
        <v>66</v>
      </c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>
        <v>19</v>
      </c>
      <c r="BM40" s="21" t="n">
        <v>38</v>
      </c>
      <c r="BN40" s="27">
        <f>SUM(BL40:BM40)</f>
        <v/>
      </c>
      <c r="BO40" s="28" t="n">
        <v>57</v>
      </c>
      <c r="BP40" s="31" t="n">
        <v>61</v>
      </c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>
        <v>24</v>
      </c>
      <c r="BY40" s="21" t="n">
        <v>30</v>
      </c>
      <c r="BZ40" s="27">
        <f>SUM(BX40:BY40)</f>
        <v/>
      </c>
      <c r="CA40" s="28" t="n">
        <v>51</v>
      </c>
      <c r="CB40" s="31" t="n">
        <v>41</v>
      </c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>
        <v>27</v>
      </c>
      <c r="CE40" s="21" t="n">
        <v>38</v>
      </c>
      <c r="CF40" s="27">
        <f>SUM(CD40:CE40)</f>
        <v/>
      </c>
      <c r="CG40" s="28" t="n">
        <v>57</v>
      </c>
      <c r="CH40" s="31" t="n">
        <v>32</v>
      </c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/>
      <c r="CQ40" s="21" t="n"/>
      <c r="CR40" s="27">
        <f>SUM(CP40:CQ40)</f>
        <v/>
      </c>
      <c r="CS40" s="28" t="n"/>
      <c r="CT40" s="31" t="n"/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>
        <v>28</v>
      </c>
      <c r="CW40" s="21" t="n">
        <v>41</v>
      </c>
      <c r="CX40" s="27">
        <f>SUM(CV40:CW40)</f>
        <v/>
      </c>
      <c r="CY40" s="28" t="n">
        <v>62</v>
      </c>
      <c r="CZ40" s="31" t="n">
        <v>66</v>
      </c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GOOD(4)</t>
        </is>
      </c>
      <c r="DK40" s="40" t="inlineStr">
        <is>
          <t>AVERAGE(3)</t>
        </is>
      </c>
      <c r="DL40" s="40" t="inlineStr">
        <is>
          <t>GOOD(4)</t>
        </is>
      </c>
      <c r="DM40" s="40" t="inlineStr">
        <is>
          <t>AVERAGE(3)</t>
        </is>
      </c>
      <c r="DN40" s="40" t="inlineStr">
        <is>
          <t>AVERAGE(3)</t>
        </is>
      </c>
      <c r="DO40" s="40" t="inlineStr">
        <is>
          <t>AVERAGE(3)</t>
        </is>
      </c>
      <c r="DP40" s="40" t="inlineStr">
        <is>
          <t>AVERAGE(3)</t>
        </is>
      </c>
      <c r="DQ40" s="40" t="inlineStr">
        <is>
          <t>GOOD(4)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GOOD(4)</t>
        </is>
      </c>
      <c r="DU40" s="40" t="inlineStr">
        <is>
          <t>AVERAGE(3)</t>
        </is>
      </c>
      <c r="DV40" s="40" t="inlineStr">
        <is>
          <t>AVERAGE(3)</t>
        </is>
      </c>
      <c r="DW40" s="40" t="inlineStr">
        <is>
          <t>GOOD(4)</t>
        </is>
      </c>
      <c r="DX40" s="40" t="inlineStr">
        <is>
          <t>GOOD(4)</t>
        </is>
      </c>
      <c r="DY40" s="40" t="inlineStr">
        <is>
          <t>GOOD(4)</t>
        </is>
      </c>
      <c r="DZ40" s="53" t="inlineStr">
        <is>
          <t>AVERAGE(3)</t>
        </is>
      </c>
      <c r="EA40" s="54" t="inlineStr">
        <is>
          <t>Needs reminders to stay on task and avoid distractions.</t>
        </is>
      </c>
      <c r="EB40" s="55" t="inlineStr">
        <is>
          <t>To repeat JSS1</t>
        </is>
      </c>
      <c r="EC40" s="56" t="inlineStr">
        <is>
          <t>Atoyebi Vincent .O</t>
        </is>
      </c>
      <c r="ED40" s="57" t="inlineStr">
        <is>
          <t>Next Term Begins on Monday, 15th September, 2025</t>
        </is>
      </c>
    </row>
    <row r="41" ht="30.6" customHeight="1" s="6">
      <c r="A41" s="18" t="n">
        <v>38</v>
      </c>
      <c r="B41" s="19" t="inlineStr">
        <is>
          <t xml:space="preserve">TEWOGBOLA OJEWUMI </t>
        </is>
      </c>
      <c r="C41" s="20" t="inlineStr">
        <is>
          <t>2041</t>
        </is>
      </c>
      <c r="D41" s="128" t="inlineStr">
        <is>
          <t>Male</t>
        </is>
      </c>
      <c r="E41" s="21" t="inlineStr">
        <is>
          <t>JSS 1A</t>
        </is>
      </c>
      <c r="F41" s="21" t="n">
        <v>38</v>
      </c>
      <c r="G41" s="21" t="n">
        <v>122</v>
      </c>
      <c r="H41" s="22" t="n">
        <v>122</v>
      </c>
      <c r="I41" s="26">
        <f>G41-H41</f>
        <v/>
      </c>
      <c r="J41" s="21" t="n">
        <v>10</v>
      </c>
      <c r="K41" s="21" t="n">
        <v>12</v>
      </c>
      <c r="L41" s="27">
        <f>SUM(J41:K41)</f>
        <v/>
      </c>
      <c r="M41" s="28" t="n">
        <v>14</v>
      </c>
      <c r="N41" s="28" t="n">
        <v>13</v>
      </c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>
        <v>11</v>
      </c>
      <c r="Q41" s="21" t="n">
        <v>17</v>
      </c>
      <c r="R41" s="27">
        <f>SUM(P41:Q41)</f>
        <v/>
      </c>
      <c r="S41" s="28" t="n">
        <v>28</v>
      </c>
      <c r="T41" s="28" t="n">
        <v>28</v>
      </c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>
        <v>14</v>
      </c>
      <c r="W41" s="21" t="n">
        <v>20</v>
      </c>
      <c r="X41" s="27">
        <f>SUM(V41:W41)</f>
        <v/>
      </c>
      <c r="Y41" s="28" t="n">
        <v>33</v>
      </c>
      <c r="Z41" s="28" t="n">
        <v>25</v>
      </c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>
        <v>11</v>
      </c>
      <c r="AC41" s="21" t="n">
        <v>17</v>
      </c>
      <c r="AD41" s="27">
        <f>SUM(AB41:AC41)</f>
        <v/>
      </c>
      <c r="AE41" s="28" t="n">
        <v>28</v>
      </c>
      <c r="AF41" s="28" t="n">
        <v>28</v>
      </c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>
        <v>11</v>
      </c>
      <c r="AI41" s="21" t="n">
        <v>17</v>
      </c>
      <c r="AJ41" s="27">
        <f>SUM(AH41:AI41)</f>
        <v/>
      </c>
      <c r="AK41" s="28" t="n">
        <v>28</v>
      </c>
      <c r="AL41" s="28" t="n">
        <v>28</v>
      </c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>
        <v>17</v>
      </c>
      <c r="AU41" s="21" t="n">
        <v>22</v>
      </c>
      <c r="AV41" s="27">
        <f>SUM(AT41:AU41)</f>
        <v/>
      </c>
      <c r="AW41" s="28" t="n">
        <v>39</v>
      </c>
      <c r="AX41" s="30" t="n">
        <v>39</v>
      </c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>
        <v>12</v>
      </c>
      <c r="BA41" s="21" t="n">
        <v>28</v>
      </c>
      <c r="BB41" s="27">
        <f>SUM(AZ41:BA41)</f>
        <v/>
      </c>
      <c r="BC41" s="28" t="n">
        <v>40</v>
      </c>
      <c r="BD41" s="28" t="n">
        <v>40</v>
      </c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>
        <v>5</v>
      </c>
      <c r="BG41" s="21" t="n">
        <v>12</v>
      </c>
      <c r="BH41" s="27">
        <f>SUM(BF41:BG41)</f>
        <v/>
      </c>
      <c r="BI41" s="28" t="n">
        <v>9</v>
      </c>
      <c r="BJ41" s="28" t="n">
        <v>13</v>
      </c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>
        <v>15</v>
      </c>
      <c r="BM41" s="21" t="n">
        <v>39</v>
      </c>
      <c r="BN41" s="27">
        <f>SUM(BL41:BM41)</f>
        <v/>
      </c>
      <c r="BO41" s="28" t="n">
        <v>45</v>
      </c>
      <c r="BP41" s="31" t="n">
        <v>20</v>
      </c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>
        <v>24</v>
      </c>
      <c r="BY41" s="21" t="n">
        <v>30</v>
      </c>
      <c r="BZ41" s="27">
        <f>SUM(BX41:BY41)</f>
        <v/>
      </c>
      <c r="CA41" s="28" t="n">
        <v>51</v>
      </c>
      <c r="CB41" s="31" t="n">
        <v>41</v>
      </c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>
        <v>15</v>
      </c>
      <c r="CE41" s="21" t="n">
        <v>12</v>
      </c>
      <c r="CF41" s="27">
        <f>SUM(CD41:CE41)</f>
        <v/>
      </c>
      <c r="CG41" s="28" t="n">
        <v>13</v>
      </c>
      <c r="CH41" s="31" t="n">
        <v>11</v>
      </c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>
        <v>29</v>
      </c>
      <c r="CQ41" s="21" t="n">
        <v>67</v>
      </c>
      <c r="CR41" s="27">
        <f>SUM(CP41:CQ41)</f>
        <v/>
      </c>
      <c r="CS41" s="28" t="n">
        <v>84</v>
      </c>
      <c r="CT41" s="31" t="n">
        <v>85</v>
      </c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>
        <v>12</v>
      </c>
      <c r="CW41" s="21" t="n">
        <v>20</v>
      </c>
      <c r="CX41" s="27">
        <f>SUM(CV41:CW41)</f>
        <v/>
      </c>
      <c r="CY41" s="28" t="n">
        <v>20</v>
      </c>
      <c r="CZ41" s="31" t="n">
        <v>26</v>
      </c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GOOD(4)</t>
        </is>
      </c>
      <c r="DK41" s="40" t="inlineStr">
        <is>
          <t>GOOD(4)</t>
        </is>
      </c>
      <c r="DL41" s="40" t="inlineStr">
        <is>
          <t>GOOD(4)</t>
        </is>
      </c>
      <c r="DM41" s="40" t="inlineStr">
        <is>
          <t>GOOD(4)</t>
        </is>
      </c>
      <c r="DN41" s="40" t="inlineStr">
        <is>
          <t>AVERAGE(3)</t>
        </is>
      </c>
      <c r="DO41" s="40" t="inlineStr">
        <is>
          <t>GOOD(4)</t>
        </is>
      </c>
      <c r="DP41" s="40" t="inlineStr">
        <is>
          <t>GOOD(4)</t>
        </is>
      </c>
      <c r="DQ41" s="40" t="inlineStr">
        <is>
          <t>AVERAGE(3)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GOOD(4)</t>
        </is>
      </c>
      <c r="DU41" s="40" t="inlineStr">
        <is>
          <t>AVERAGE(3)</t>
        </is>
      </c>
      <c r="DV41" s="40" t="inlineStr">
        <is>
          <t>AVERAGE(3)</t>
        </is>
      </c>
      <c r="DW41" s="40" t="inlineStr">
        <is>
          <t>GOOD(4)</t>
        </is>
      </c>
      <c r="DX41" s="40" t="inlineStr">
        <is>
          <t>GOOD(4)</t>
        </is>
      </c>
      <c r="DY41" s="40" t="inlineStr">
        <is>
          <t>AVERAGE(3)</t>
        </is>
      </c>
      <c r="DZ41" s="53" t="inlineStr">
        <is>
          <t>GOOD(4)</t>
        </is>
      </c>
      <c r="EA41" s="54" t="inlineStr">
        <is>
          <t>Completes assignments on time and with care.</t>
        </is>
      </c>
      <c r="EB41" s="55" t="inlineStr">
        <is>
          <t>Promoted to JSS2</t>
        </is>
      </c>
      <c r="EC41" s="56" t="inlineStr">
        <is>
          <t>Atoyebi Vincent .O</t>
        </is>
      </c>
      <c r="ED41" s="57" t="inlineStr">
        <is>
          <t>Next Term Begins on Monday, 15th September, 2025</t>
        </is>
      </c>
    </row>
    <row r="42" ht="30.6" customHeight="1" s="6">
      <c r="A42" s="18" t="n">
        <v>39</v>
      </c>
      <c r="B42" s="19" t="inlineStr">
        <is>
          <t>TIJANI KHAIRAT A.</t>
        </is>
      </c>
      <c r="C42" s="20" t="inlineStr">
        <is>
          <t>1984</t>
        </is>
      </c>
      <c r="D42" s="128" t="inlineStr">
        <is>
          <t>Female</t>
        </is>
      </c>
      <c r="E42" s="21" t="inlineStr">
        <is>
          <t>JSS 1A</t>
        </is>
      </c>
      <c r="F42" s="22" t="n"/>
      <c r="G42" s="22" t="n"/>
      <c r="H42" s="22" t="n"/>
      <c r="I42" s="26">
        <f>G42-H42</f>
        <v/>
      </c>
      <c r="J42" s="21" t="n">
        <v>27</v>
      </c>
      <c r="K42" s="21" t="n">
        <v>47</v>
      </c>
      <c r="L42" s="27">
        <f>SUM(J42:K42)</f>
        <v/>
      </c>
      <c r="M42" s="28" t="n">
        <v>44</v>
      </c>
      <c r="N42" s="28" t="n">
        <v>87</v>
      </c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>
        <v>27</v>
      </c>
      <c r="Q42" s="21" t="n">
        <v>66</v>
      </c>
      <c r="R42" s="27">
        <f>SUM(P42:Q42)</f>
        <v/>
      </c>
      <c r="S42" s="28" t="n">
        <v>84</v>
      </c>
      <c r="T42" s="28" t="n">
        <v>84</v>
      </c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>
        <v>30</v>
      </c>
      <c r="W42" s="21" t="n">
        <v>52</v>
      </c>
      <c r="X42" s="27">
        <f>SUM(V42:W42)</f>
        <v/>
      </c>
      <c r="Y42" s="28" t="n">
        <v>78</v>
      </c>
      <c r="Z42" s="28" t="n">
        <v>65</v>
      </c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>
        <v>27</v>
      </c>
      <c r="AC42" s="21" t="n">
        <v>68</v>
      </c>
      <c r="AD42" s="27">
        <f>SUM(AB42:AC42)</f>
        <v/>
      </c>
      <c r="AE42" s="28" t="n">
        <v>92</v>
      </c>
      <c r="AF42" s="28" t="n">
        <v>94</v>
      </c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>
        <v>29</v>
      </c>
      <c r="AI42" s="21" t="n">
        <v>61</v>
      </c>
      <c r="AJ42" s="27">
        <f>SUM(AH42:AI42)</f>
        <v/>
      </c>
      <c r="AK42" s="28" t="n">
        <v>99</v>
      </c>
      <c r="AL42" s="28" t="n">
        <v>94</v>
      </c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>
        <v>24</v>
      </c>
      <c r="AU42" s="21" t="n">
        <v>32</v>
      </c>
      <c r="AV42" s="27">
        <f>SUM(AT42:AU42)</f>
        <v/>
      </c>
      <c r="AW42" s="28" t="n">
        <v>52</v>
      </c>
      <c r="AX42" s="30" t="n">
        <v>57</v>
      </c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>
        <v>24</v>
      </c>
      <c r="BA42" s="21" t="n">
        <v>60</v>
      </c>
      <c r="BB42" s="27">
        <f>SUM(AZ42:BA42)</f>
        <v/>
      </c>
      <c r="BC42" s="28" t="n">
        <v>78</v>
      </c>
      <c r="BD42" s="28" t="n">
        <v>84</v>
      </c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>
        <v>15</v>
      </c>
      <c r="BG42" s="21" t="n">
        <v>57</v>
      </c>
      <c r="BH42" s="27">
        <f>SUM(BF42:BG42)</f>
        <v/>
      </c>
      <c r="BI42" s="28" t="n">
        <v>57</v>
      </c>
      <c r="BJ42" s="28" t="n">
        <v>65</v>
      </c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>
        <v>23</v>
      </c>
      <c r="BM42" s="21" t="n">
        <v>64</v>
      </c>
      <c r="BN42" s="27">
        <f>SUM(BL42:BM42)</f>
        <v/>
      </c>
      <c r="BO42" s="28" t="n">
        <v>64</v>
      </c>
      <c r="BP42" s="31" t="n">
        <v>40</v>
      </c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>
        <v>24</v>
      </c>
      <c r="BY42" s="21" t="n">
        <v>30</v>
      </c>
      <c r="BZ42" s="27">
        <f>SUM(BX42:BY42)</f>
        <v/>
      </c>
      <c r="CA42" s="28" t="n">
        <v>51</v>
      </c>
      <c r="CB42" s="31" t="n">
        <v>41</v>
      </c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>
        <v>27</v>
      </c>
      <c r="CE42" s="21" t="n">
        <v>40</v>
      </c>
      <c r="CF42" s="27">
        <f>SUM(CD42:CE42)</f>
        <v/>
      </c>
      <c r="CG42" s="28" t="n">
        <v>69</v>
      </c>
      <c r="CH42" s="31" t="n">
        <v>49</v>
      </c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>
        <v>29</v>
      </c>
      <c r="CQ42" s="21" t="n">
        <v>67</v>
      </c>
      <c r="CR42" s="27">
        <f>SUM(CP42:CQ42)</f>
        <v/>
      </c>
      <c r="CS42" s="28" t="n">
        <v>84</v>
      </c>
      <c r="CT42" s="31" t="n">
        <v>85</v>
      </c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AVERAGE(3)</t>
        </is>
      </c>
      <c r="DK42" s="40" t="inlineStr">
        <is>
          <t>GOOD(4)</t>
        </is>
      </c>
      <c r="DL42" s="40" t="inlineStr">
        <is>
          <t>GOOD(4)</t>
        </is>
      </c>
      <c r="DM42" s="40" t="inlineStr">
        <is>
          <t>GOOD(4)</t>
        </is>
      </c>
      <c r="DN42" s="40" t="inlineStr">
        <is>
          <t>AVERAGE(3)</t>
        </is>
      </c>
      <c r="DO42" s="40" t="inlineStr">
        <is>
          <t>CHOOSE RATING</t>
        </is>
      </c>
      <c r="DP42" s="40" t="inlineStr">
        <is>
          <t>EXCELLENT(5)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Add the Tutor's Comment . . .</t>
        </is>
      </c>
      <c r="EB42" s="55" t="inlineStr">
        <is>
          <t>Choose Principals comment</t>
        </is>
      </c>
      <c r="EC42" s="56" t="n"/>
      <c r="ED42" s="57" t="inlineStr">
        <is>
          <t>Next Term Begins on Monday, 15th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GOOD(4)</t>
        </is>
      </c>
      <c r="DK43" s="40" t="inlineStr">
        <is>
          <t>GOOD(4)</t>
        </is>
      </c>
      <c r="DL43" s="40" t="inlineStr">
        <is>
          <t>GOOD(4)</t>
        </is>
      </c>
      <c r="DM43" s="40" t="inlineStr">
        <is>
          <t>GOOD(4)</t>
        </is>
      </c>
      <c r="DN43" s="40" t="inlineStr">
        <is>
          <t>GOOD(4)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n"/>
      <c r="ED43" s="57" t="inlineStr">
        <is>
          <t>Next Term Begins on Monday, 15th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GOOD(4)</t>
        </is>
      </c>
      <c r="DK44" s="40" t="inlineStr">
        <is>
          <t>GOOD(4)</t>
        </is>
      </c>
      <c r="DL44" s="40" t="inlineStr">
        <is>
          <t>GOOD(4)</t>
        </is>
      </c>
      <c r="DM44" s="40" t="inlineStr">
        <is>
          <t>GOOD(4)</t>
        </is>
      </c>
      <c r="DN44" s="40" t="inlineStr">
        <is>
          <t>GOOD(4)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15th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GOOD(4)</t>
        </is>
      </c>
      <c r="DK45" s="40" t="inlineStr">
        <is>
          <t>GOOD(4)</t>
        </is>
      </c>
      <c r="DL45" s="40" t="inlineStr">
        <is>
          <t>GOOD(4)</t>
        </is>
      </c>
      <c r="DM45" s="40" t="inlineStr">
        <is>
          <t>GOOD(4)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15th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15th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15th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CHOOSE RATING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15th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24" sqref="A24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  <row r="24">
      <c r="A24" s="2" t="inlineStr">
        <is>
          <t>soloomon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2025-08-08T18:21:55Z</dcterms:modified>
  <cp:lastModifiedBy>LENOVO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